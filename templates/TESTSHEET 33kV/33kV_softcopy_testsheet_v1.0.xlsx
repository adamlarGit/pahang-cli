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defaultThemeVersion="124226"/>
  <xr:revisionPtr revIDLastSave="0" documentId="13_ncr:1_{A4079EE5-642B-412C-9A65-AE954D3C956C}" xr6:coauthVersionLast="47" xr6:coauthVersionMax="47" xr10:uidLastSave="{00000000-0000-0000-0000-000000000000}"/>
  <bookViews>
    <workbookView xWindow="-120" yWindow="-120" windowWidth="29040" windowHeight="15720" tabRatio="737" activeTab="1" xr2:uid="{00000000-000D-0000-FFFF-FFFF00000000}"/>
  </bookViews>
  <sheets>
    <sheet name="33kV (Main)" sheetId="22" r:id="rId1"/>
    <sheet name="33kV (Extra)" sheetId="23" r:id="rId2"/>
    <sheet name="33kV (Extra) (2)" sheetId="30" r:id="rId3"/>
    <sheet name="11kV (Main)" sheetId="31" r:id="rId4"/>
    <sheet name="11kV (Extra)" sheetId="33" r:id="rId5"/>
    <sheet name="11kV (Extra) (2)" sheetId="34" r:id="rId6"/>
    <sheet name="11kV (Extra) (3)" sheetId="35" r:id="rId7"/>
    <sheet name="TX" sheetId="29" r:id="rId8"/>
    <sheet name="Visual Inspection" sheetId="13" r:id="rId9"/>
    <sheet name="RAW DATA" sheetId="25" r:id="rId10"/>
  </sheets>
  <definedNames>
    <definedName name="_xlnm.Print_Area" localSheetId="8">'Visual Inspection'!$A$1:$P$87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1" l="1"/>
  <c r="D8" i="31"/>
  <c r="D7" i="31"/>
  <c r="D6" i="31"/>
  <c r="J60" i="23"/>
  <c r="J54" i="23"/>
  <c r="J60" i="30"/>
  <c r="J54" i="30"/>
  <c r="J60" i="31"/>
  <c r="J60" i="33"/>
  <c r="J54" i="33"/>
  <c r="J60" i="35"/>
  <c r="J54" i="35"/>
  <c r="J60" i="34"/>
  <c r="J54" i="34"/>
  <c r="S60" i="22"/>
  <c r="S58" i="22"/>
  <c r="S57" i="22"/>
  <c r="S54" i="22"/>
  <c r="S52" i="22"/>
  <c r="S51" i="22"/>
  <c r="S48" i="22"/>
  <c r="S46" i="22"/>
  <c r="S45" i="22"/>
  <c r="S42" i="22"/>
  <c r="S40" i="22"/>
  <c r="S39" i="22"/>
  <c r="S36" i="22"/>
  <c r="S34" i="22"/>
  <c r="S33" i="22"/>
  <c r="S30" i="22"/>
  <c r="S28" i="22"/>
  <c r="S27" i="22"/>
  <c r="S24" i="22"/>
  <c r="S22" i="22"/>
  <c r="S21" i="22"/>
  <c r="S18" i="22"/>
  <c r="S16" i="22"/>
  <c r="S15" i="22"/>
  <c r="S60" i="23"/>
  <c r="S58" i="23"/>
  <c r="S57" i="23"/>
  <c r="S54" i="23"/>
  <c r="S52" i="23"/>
  <c r="S51" i="23"/>
  <c r="S48" i="23"/>
  <c r="S46" i="23"/>
  <c r="S45" i="23"/>
  <c r="S42" i="23"/>
  <c r="S40" i="23"/>
  <c r="S39" i="23"/>
  <c r="S36" i="23"/>
  <c r="S34" i="23"/>
  <c r="S33" i="23"/>
  <c r="S30" i="23"/>
  <c r="S28" i="23"/>
  <c r="S27" i="23"/>
  <c r="S24" i="23"/>
  <c r="S22" i="23"/>
  <c r="S21" i="23"/>
  <c r="S18" i="23"/>
  <c r="S16" i="23"/>
  <c r="S15" i="23"/>
  <c r="S60" i="30"/>
  <c r="S58" i="30"/>
  <c r="S57" i="30"/>
  <c r="S54" i="30"/>
  <c r="S52" i="30"/>
  <c r="S51" i="30"/>
  <c r="S48" i="30"/>
  <c r="S46" i="30"/>
  <c r="S45" i="30"/>
  <c r="S42" i="30"/>
  <c r="S40" i="30"/>
  <c r="S39" i="30"/>
  <c r="S36" i="30"/>
  <c r="S34" i="30"/>
  <c r="S33" i="30"/>
  <c r="S30" i="30"/>
  <c r="S28" i="30"/>
  <c r="S27" i="30"/>
  <c r="S24" i="30"/>
  <c r="S22" i="30"/>
  <c r="S21" i="30"/>
  <c r="S18" i="30"/>
  <c r="S16" i="30"/>
  <c r="S15" i="30"/>
  <c r="S60" i="31"/>
  <c r="S58" i="31"/>
  <c r="S57" i="31"/>
  <c r="S54" i="31"/>
  <c r="S52" i="31"/>
  <c r="S51" i="31"/>
  <c r="S48" i="31"/>
  <c r="S46" i="31"/>
  <c r="S45" i="31"/>
  <c r="S42" i="31"/>
  <c r="S40" i="31"/>
  <c r="S39" i="31"/>
  <c r="S36" i="31"/>
  <c r="S34" i="31"/>
  <c r="S33" i="31"/>
  <c r="S30" i="31"/>
  <c r="S28" i="31"/>
  <c r="S27" i="31"/>
  <c r="S24" i="31"/>
  <c r="S22" i="31"/>
  <c r="S21" i="31"/>
  <c r="S18" i="31"/>
  <c r="S16" i="31"/>
  <c r="S15" i="31"/>
  <c r="S60" i="33"/>
  <c r="S58" i="33"/>
  <c r="S57" i="33"/>
  <c r="S54" i="33"/>
  <c r="S52" i="33"/>
  <c r="S51" i="33"/>
  <c r="S48" i="33"/>
  <c r="S46" i="33"/>
  <c r="S45" i="33"/>
  <c r="S42" i="33"/>
  <c r="S40" i="33"/>
  <c r="S39" i="33"/>
  <c r="S36" i="33"/>
  <c r="S34" i="33"/>
  <c r="S33" i="33"/>
  <c r="S30" i="33"/>
  <c r="S28" i="33"/>
  <c r="S27" i="33"/>
  <c r="S24" i="33"/>
  <c r="S22" i="33"/>
  <c r="S21" i="33"/>
  <c r="S18" i="33"/>
  <c r="S16" i="33"/>
  <c r="S15" i="33"/>
  <c r="S60" i="34"/>
  <c r="S58" i="34"/>
  <c r="S57" i="34"/>
  <c r="S54" i="34"/>
  <c r="S52" i="34"/>
  <c r="S51" i="34"/>
  <c r="S48" i="34"/>
  <c r="S46" i="34"/>
  <c r="S45" i="34"/>
  <c r="S42" i="34"/>
  <c r="S40" i="34"/>
  <c r="S39" i="34"/>
  <c r="S36" i="34"/>
  <c r="S34" i="34"/>
  <c r="S33" i="34"/>
  <c r="S30" i="34"/>
  <c r="S28" i="34"/>
  <c r="S27" i="34"/>
  <c r="S24" i="34"/>
  <c r="S22" i="34"/>
  <c r="S21" i="34"/>
  <c r="S18" i="34"/>
  <c r="S16" i="34"/>
  <c r="S15" i="34"/>
  <c r="S60" i="35"/>
  <c r="S58" i="35"/>
  <c r="S57" i="35"/>
  <c r="S54" i="35"/>
  <c r="S52" i="35"/>
  <c r="S51" i="35"/>
  <c r="S48" i="35"/>
  <c r="S46" i="35"/>
  <c r="S45" i="35"/>
  <c r="S42" i="35"/>
  <c r="S40" i="35"/>
  <c r="S39" i="35"/>
  <c r="S36" i="35"/>
  <c r="S34" i="35"/>
  <c r="S33" i="35"/>
  <c r="S30" i="35"/>
  <c r="S28" i="35"/>
  <c r="S27" i="35"/>
  <c r="S24" i="35"/>
  <c r="S22" i="35"/>
  <c r="S21" i="35"/>
  <c r="S18" i="35"/>
  <c r="S16" i="35"/>
  <c r="S15" i="35"/>
  <c r="I45" i="29"/>
  <c r="H45" i="29"/>
  <c r="I42" i="29"/>
  <c r="H42" i="29"/>
  <c r="I39" i="29"/>
  <c r="H39" i="29"/>
  <c r="I36" i="29"/>
  <c r="H36" i="29"/>
  <c r="I33" i="29"/>
  <c r="H33" i="29"/>
  <c r="O45" i="29"/>
  <c r="N45" i="29"/>
  <c r="O42" i="29"/>
  <c r="N42" i="29"/>
  <c r="O39" i="29"/>
  <c r="N39" i="29"/>
  <c r="O36" i="29"/>
  <c r="N36" i="29"/>
  <c r="O33" i="29"/>
  <c r="N33" i="29"/>
  <c r="AA45" i="29"/>
  <c r="Z45" i="29"/>
  <c r="AA42" i="29"/>
  <c r="Z42" i="29"/>
  <c r="AA39" i="29"/>
  <c r="Z39" i="29"/>
  <c r="AA36" i="29"/>
  <c r="Z36" i="29"/>
  <c r="AA33" i="29"/>
  <c r="Z33" i="29"/>
  <c r="U45" i="29"/>
  <c r="T45" i="29"/>
  <c r="U42" i="29"/>
  <c r="T42" i="29"/>
  <c r="U39" i="29"/>
  <c r="T39" i="29"/>
  <c r="U36" i="29"/>
  <c r="T36" i="29"/>
  <c r="U33" i="29"/>
  <c r="T33" i="29"/>
  <c r="Z26" i="29"/>
  <c r="Y26" i="29"/>
  <c r="Z23" i="29"/>
  <c r="Y23" i="29"/>
  <c r="Z20" i="29"/>
  <c r="Y20" i="29"/>
  <c r="Z17" i="29"/>
  <c r="Y17" i="29"/>
  <c r="Z14" i="29"/>
  <c r="Y14" i="29"/>
  <c r="U26" i="29"/>
  <c r="U23" i="29"/>
  <c r="U20" i="29"/>
  <c r="U17" i="29"/>
  <c r="U14" i="29"/>
  <c r="T26" i="29"/>
  <c r="T23" i="29"/>
  <c r="T20" i="29"/>
  <c r="T17" i="29"/>
  <c r="T14" i="29"/>
  <c r="O62" i="35"/>
  <c r="N62" i="35"/>
  <c r="O61" i="35"/>
  <c r="N61" i="35"/>
  <c r="O60" i="35"/>
  <c r="N60" i="35"/>
  <c r="O59" i="35"/>
  <c r="N59" i="35"/>
  <c r="O58" i="35"/>
  <c r="N58" i="35"/>
  <c r="O57" i="35"/>
  <c r="N57" i="35"/>
  <c r="O56" i="35"/>
  <c r="N56" i="35"/>
  <c r="O55" i="35"/>
  <c r="N55" i="35"/>
  <c r="O54" i="35"/>
  <c r="N54" i="35"/>
  <c r="O53" i="35"/>
  <c r="N53" i="35"/>
  <c r="O52" i="35"/>
  <c r="N52" i="35"/>
  <c r="O51" i="35"/>
  <c r="N51" i="35"/>
  <c r="O50" i="35"/>
  <c r="N50" i="35"/>
  <c r="O49" i="35"/>
  <c r="N49" i="35"/>
  <c r="O48" i="35"/>
  <c r="N48" i="35"/>
  <c r="J48" i="35"/>
  <c r="O47" i="35"/>
  <c r="N47" i="35"/>
  <c r="O46" i="35"/>
  <c r="N46" i="35"/>
  <c r="O45" i="35"/>
  <c r="N45" i="35"/>
  <c r="O44" i="35"/>
  <c r="N44" i="35"/>
  <c r="O43" i="35"/>
  <c r="N43" i="35"/>
  <c r="O42" i="35"/>
  <c r="N42" i="35"/>
  <c r="J42" i="35"/>
  <c r="O41" i="35"/>
  <c r="N41" i="35"/>
  <c r="O40" i="35"/>
  <c r="N40" i="35"/>
  <c r="O39" i="35"/>
  <c r="N39" i="35"/>
  <c r="O38" i="35"/>
  <c r="N38" i="35"/>
  <c r="O37" i="35"/>
  <c r="N37" i="35"/>
  <c r="O36" i="35"/>
  <c r="N36" i="35"/>
  <c r="J36" i="35"/>
  <c r="O35" i="35"/>
  <c r="N35" i="35"/>
  <c r="O34" i="35"/>
  <c r="N34" i="35"/>
  <c r="O33" i="35"/>
  <c r="N33" i="35"/>
  <c r="O32" i="35"/>
  <c r="N32" i="35"/>
  <c r="O31" i="35"/>
  <c r="N31" i="35"/>
  <c r="O30" i="35"/>
  <c r="N30" i="35"/>
  <c r="J30" i="35"/>
  <c r="O29" i="35"/>
  <c r="N29" i="35"/>
  <c r="O28" i="35"/>
  <c r="N28" i="35"/>
  <c r="O27" i="35"/>
  <c r="N27" i="35"/>
  <c r="O26" i="35"/>
  <c r="N26" i="35"/>
  <c r="O25" i="35"/>
  <c r="N25" i="35"/>
  <c r="O24" i="35"/>
  <c r="N24" i="35"/>
  <c r="J24" i="35"/>
  <c r="O23" i="35"/>
  <c r="N23" i="35"/>
  <c r="O22" i="35"/>
  <c r="N22" i="35"/>
  <c r="O21" i="35"/>
  <c r="N21" i="35"/>
  <c r="O20" i="35"/>
  <c r="N20" i="35"/>
  <c r="O19" i="35"/>
  <c r="N19" i="35"/>
  <c r="O18" i="35"/>
  <c r="N18" i="35"/>
  <c r="J18" i="35"/>
  <c r="O17" i="35"/>
  <c r="N17" i="35"/>
  <c r="O16" i="35"/>
  <c r="N16" i="35"/>
  <c r="O15" i="35"/>
  <c r="N15" i="35"/>
  <c r="L11" i="35"/>
  <c r="L10" i="35"/>
  <c r="L9" i="35"/>
  <c r="D9" i="35"/>
  <c r="U8" i="35"/>
  <c r="L8" i="35"/>
  <c r="D8" i="35"/>
  <c r="U7" i="35"/>
  <c r="L7" i="35"/>
  <c r="D7" i="35"/>
  <c r="U6" i="35"/>
  <c r="M6" i="35"/>
  <c r="L6" i="35"/>
  <c r="D6" i="35"/>
  <c r="V2" i="35"/>
  <c r="O62" i="34"/>
  <c r="N62" i="34"/>
  <c r="O61" i="34"/>
  <c r="N61" i="34"/>
  <c r="O60" i="34"/>
  <c r="N60" i="34"/>
  <c r="O59" i="34"/>
  <c r="N59" i="34"/>
  <c r="O58" i="34"/>
  <c r="N58" i="34"/>
  <c r="O57" i="34"/>
  <c r="N57" i="34"/>
  <c r="O56" i="34"/>
  <c r="N56" i="34"/>
  <c r="O55" i="34"/>
  <c r="N55" i="34"/>
  <c r="O54" i="34"/>
  <c r="N54" i="34"/>
  <c r="O53" i="34"/>
  <c r="N53" i="34"/>
  <c r="O52" i="34"/>
  <c r="N52" i="34"/>
  <c r="O51" i="34"/>
  <c r="N51" i="34"/>
  <c r="O50" i="34"/>
  <c r="N50" i="34"/>
  <c r="O49" i="34"/>
  <c r="N49" i="34"/>
  <c r="O48" i="34"/>
  <c r="N48" i="34"/>
  <c r="J48" i="34"/>
  <c r="O47" i="34"/>
  <c r="N47" i="34"/>
  <c r="O46" i="34"/>
  <c r="N46" i="34"/>
  <c r="O45" i="34"/>
  <c r="N45" i="34"/>
  <c r="O44" i="34"/>
  <c r="N44" i="34"/>
  <c r="O43" i="34"/>
  <c r="N43" i="34"/>
  <c r="O42" i="34"/>
  <c r="N42" i="34"/>
  <c r="J42" i="34"/>
  <c r="O41" i="34"/>
  <c r="N41" i="34"/>
  <c r="O40" i="34"/>
  <c r="N40" i="34"/>
  <c r="O39" i="34"/>
  <c r="N39" i="34"/>
  <c r="O38" i="34"/>
  <c r="N38" i="34"/>
  <c r="O37" i="34"/>
  <c r="N37" i="34"/>
  <c r="O36" i="34"/>
  <c r="N36" i="34"/>
  <c r="J36" i="34"/>
  <c r="O35" i="34"/>
  <c r="N35" i="34"/>
  <c r="O34" i="34"/>
  <c r="N34" i="34"/>
  <c r="O33" i="34"/>
  <c r="N33" i="34"/>
  <c r="O32" i="34"/>
  <c r="N32" i="34"/>
  <c r="O31" i="34"/>
  <c r="N31" i="34"/>
  <c r="O30" i="34"/>
  <c r="N30" i="34"/>
  <c r="J30" i="34"/>
  <c r="O29" i="34"/>
  <c r="N29" i="34"/>
  <c r="O28" i="34"/>
  <c r="N28" i="34"/>
  <c r="O27" i="34"/>
  <c r="N27" i="34"/>
  <c r="O26" i="34"/>
  <c r="N26" i="34"/>
  <c r="O25" i="34"/>
  <c r="N25" i="34"/>
  <c r="O24" i="34"/>
  <c r="N24" i="34"/>
  <c r="J24" i="34"/>
  <c r="O23" i="34"/>
  <c r="N23" i="34"/>
  <c r="O22" i="34"/>
  <c r="N22" i="34"/>
  <c r="O21" i="34"/>
  <c r="N21" i="34"/>
  <c r="O20" i="34"/>
  <c r="N20" i="34"/>
  <c r="O19" i="34"/>
  <c r="N19" i="34"/>
  <c r="O18" i="34"/>
  <c r="N18" i="34"/>
  <c r="J18" i="34"/>
  <c r="O17" i="34"/>
  <c r="N17" i="34"/>
  <c r="O16" i="34"/>
  <c r="N16" i="34"/>
  <c r="O15" i="34"/>
  <c r="N15" i="34"/>
  <c r="L11" i="34"/>
  <c r="L10" i="34"/>
  <c r="L9" i="34"/>
  <c r="D9" i="34"/>
  <c r="U8" i="34"/>
  <c r="L8" i="34"/>
  <c r="D8" i="34"/>
  <c r="U7" i="34"/>
  <c r="L7" i="34"/>
  <c r="D7" i="34"/>
  <c r="U6" i="34"/>
  <c r="M6" i="34"/>
  <c r="L6" i="34"/>
  <c r="D6" i="34"/>
  <c r="V2" i="34"/>
  <c r="D7" i="33"/>
  <c r="D6" i="33"/>
  <c r="D9" i="33"/>
  <c r="D8" i="33"/>
  <c r="V2" i="33"/>
  <c r="M6" i="33"/>
  <c r="L11" i="33"/>
  <c r="L10" i="33"/>
  <c r="L9" i="33"/>
  <c r="L8" i="33"/>
  <c r="L7" i="33"/>
  <c r="L6" i="33"/>
  <c r="O62" i="33"/>
  <c r="N62" i="33"/>
  <c r="O61" i="33"/>
  <c r="N61" i="33"/>
  <c r="O60" i="33"/>
  <c r="N60" i="33"/>
  <c r="O59" i="33"/>
  <c r="N59" i="33"/>
  <c r="O58" i="33"/>
  <c r="N58" i="33"/>
  <c r="O57" i="33"/>
  <c r="N57" i="33"/>
  <c r="O56" i="33"/>
  <c r="N56" i="33"/>
  <c r="O55" i="33"/>
  <c r="N55" i="33"/>
  <c r="O54" i="33"/>
  <c r="N54" i="33"/>
  <c r="O53" i="33"/>
  <c r="N53" i="33"/>
  <c r="O52" i="33"/>
  <c r="N52" i="33"/>
  <c r="O51" i="33"/>
  <c r="N51" i="33"/>
  <c r="O50" i="33"/>
  <c r="N50" i="33"/>
  <c r="O49" i="33"/>
  <c r="N49" i="33"/>
  <c r="O48" i="33"/>
  <c r="N48" i="33"/>
  <c r="J48" i="33"/>
  <c r="O47" i="33"/>
  <c r="N47" i="33"/>
  <c r="O46" i="33"/>
  <c r="N46" i="33"/>
  <c r="O45" i="33"/>
  <c r="N45" i="33"/>
  <c r="O44" i="33"/>
  <c r="N44" i="33"/>
  <c r="O43" i="33"/>
  <c r="N43" i="33"/>
  <c r="O42" i="33"/>
  <c r="N42" i="33"/>
  <c r="J42" i="33"/>
  <c r="O41" i="33"/>
  <c r="N41" i="33"/>
  <c r="O40" i="33"/>
  <c r="N40" i="33"/>
  <c r="O39" i="33"/>
  <c r="N39" i="33"/>
  <c r="O38" i="33"/>
  <c r="N38" i="33"/>
  <c r="O37" i="33"/>
  <c r="N37" i="33"/>
  <c r="O36" i="33"/>
  <c r="N36" i="33"/>
  <c r="J36" i="33"/>
  <c r="O35" i="33"/>
  <c r="N35" i="33"/>
  <c r="O34" i="33"/>
  <c r="N34" i="33"/>
  <c r="O33" i="33"/>
  <c r="N33" i="33"/>
  <c r="O32" i="33"/>
  <c r="N32" i="33"/>
  <c r="O31" i="33"/>
  <c r="N31" i="33"/>
  <c r="O30" i="33"/>
  <c r="N30" i="33"/>
  <c r="J30" i="33"/>
  <c r="O29" i="33"/>
  <c r="N29" i="33"/>
  <c r="O28" i="33"/>
  <c r="N28" i="33"/>
  <c r="O27" i="33"/>
  <c r="N27" i="33"/>
  <c r="O26" i="33"/>
  <c r="N26" i="33"/>
  <c r="O25" i="33"/>
  <c r="N25" i="33"/>
  <c r="O24" i="33"/>
  <c r="N24" i="33"/>
  <c r="J24" i="33"/>
  <c r="O23" i="33"/>
  <c r="N23" i="33"/>
  <c r="O22" i="33"/>
  <c r="N22" i="33"/>
  <c r="O21" i="33"/>
  <c r="N21" i="33"/>
  <c r="O20" i="33"/>
  <c r="N20" i="33"/>
  <c r="O19" i="33"/>
  <c r="N19" i="33"/>
  <c r="O18" i="33"/>
  <c r="N18" i="33"/>
  <c r="J18" i="33"/>
  <c r="O17" i="33"/>
  <c r="N17" i="33"/>
  <c r="O16" i="33"/>
  <c r="N16" i="33"/>
  <c r="O15" i="33"/>
  <c r="N15" i="33"/>
  <c r="U8" i="33"/>
  <c r="U7" i="33"/>
  <c r="U6" i="33"/>
  <c r="M6" i="23"/>
  <c r="M6" i="30"/>
  <c r="L79" i="31"/>
  <c r="E79" i="31"/>
  <c r="O74" i="31"/>
  <c r="N74" i="31"/>
  <c r="O73" i="31"/>
  <c r="N73" i="31"/>
  <c r="O72" i="31"/>
  <c r="O71" i="31"/>
  <c r="O70" i="31"/>
  <c r="O69" i="31"/>
  <c r="O68" i="31"/>
  <c r="N68" i="31"/>
  <c r="O67" i="31"/>
  <c r="N67" i="31"/>
  <c r="O66" i="31"/>
  <c r="O65" i="31"/>
  <c r="O64" i="31"/>
  <c r="O63" i="31"/>
  <c r="O62" i="31"/>
  <c r="N62" i="31"/>
  <c r="O61" i="31"/>
  <c r="N61" i="31"/>
  <c r="O60" i="31"/>
  <c r="N60" i="31"/>
  <c r="O59" i="31"/>
  <c r="N59" i="31"/>
  <c r="O58" i="31"/>
  <c r="N58" i="31"/>
  <c r="O57" i="31"/>
  <c r="N57" i="31"/>
  <c r="O56" i="31"/>
  <c r="N56" i="31"/>
  <c r="O55" i="31"/>
  <c r="N55" i="31"/>
  <c r="O54" i="31"/>
  <c r="N54" i="31"/>
  <c r="J54" i="31"/>
  <c r="O53" i="31"/>
  <c r="N53" i="31"/>
  <c r="O52" i="31"/>
  <c r="N52" i="31"/>
  <c r="O51" i="31"/>
  <c r="N51" i="31"/>
  <c r="O50" i="31"/>
  <c r="N50" i="31"/>
  <c r="O49" i="31"/>
  <c r="N49" i="31"/>
  <c r="O48" i="31"/>
  <c r="N48" i="31"/>
  <c r="J48" i="31"/>
  <c r="O47" i="31"/>
  <c r="N47" i="31"/>
  <c r="O46" i="31"/>
  <c r="N46" i="31"/>
  <c r="O45" i="31"/>
  <c r="N45" i="31"/>
  <c r="O44" i="31"/>
  <c r="N44" i="31"/>
  <c r="O43" i="31"/>
  <c r="N43" i="31"/>
  <c r="O42" i="31"/>
  <c r="N42" i="31"/>
  <c r="J42" i="31"/>
  <c r="O41" i="31"/>
  <c r="N41" i="31"/>
  <c r="O40" i="31"/>
  <c r="N40" i="31"/>
  <c r="O39" i="31"/>
  <c r="N39" i="31"/>
  <c r="O38" i="31"/>
  <c r="N38" i="31"/>
  <c r="O37" i="31"/>
  <c r="N37" i="31"/>
  <c r="O36" i="31"/>
  <c r="N36" i="31"/>
  <c r="J36" i="31"/>
  <c r="O35" i="31"/>
  <c r="N35" i="31"/>
  <c r="O34" i="31"/>
  <c r="N34" i="31"/>
  <c r="O33" i="31"/>
  <c r="N33" i="31"/>
  <c r="O32" i="31"/>
  <c r="N32" i="31"/>
  <c r="O31" i="31"/>
  <c r="N31" i="31"/>
  <c r="O30" i="31"/>
  <c r="N30" i="31"/>
  <c r="J30" i="31"/>
  <c r="O29" i="31"/>
  <c r="N29" i="31"/>
  <c r="O28" i="31"/>
  <c r="N28" i="31"/>
  <c r="O27" i="31"/>
  <c r="N27" i="31"/>
  <c r="O26" i="31"/>
  <c r="N26" i="31"/>
  <c r="O25" i="31"/>
  <c r="N25" i="31"/>
  <c r="O24" i="31"/>
  <c r="N24" i="31"/>
  <c r="J24" i="31"/>
  <c r="O23" i="31"/>
  <c r="N23" i="31"/>
  <c r="O22" i="31"/>
  <c r="N22" i="31"/>
  <c r="O21" i="31"/>
  <c r="N21" i="31"/>
  <c r="O20" i="31"/>
  <c r="N20" i="31"/>
  <c r="O19" i="31"/>
  <c r="N19" i="31"/>
  <c r="O18" i="31"/>
  <c r="N18" i="31"/>
  <c r="J18" i="31"/>
  <c r="O17" i="31"/>
  <c r="N17" i="31"/>
  <c r="O16" i="31"/>
  <c r="N16" i="31"/>
  <c r="O15" i="31"/>
  <c r="N15" i="31"/>
  <c r="O62" i="30"/>
  <c r="N62" i="30"/>
  <c r="O61" i="30"/>
  <c r="N61" i="30"/>
  <c r="O60" i="30"/>
  <c r="N60" i="30"/>
  <c r="O59" i="30"/>
  <c r="N59" i="30"/>
  <c r="O58" i="30"/>
  <c r="N58" i="30"/>
  <c r="O57" i="30"/>
  <c r="N57" i="30"/>
  <c r="O56" i="30"/>
  <c r="N56" i="30"/>
  <c r="O55" i="30"/>
  <c r="N55" i="30"/>
  <c r="O54" i="30"/>
  <c r="N54" i="30"/>
  <c r="O53" i="30"/>
  <c r="N53" i="30"/>
  <c r="O52" i="30"/>
  <c r="N52" i="30"/>
  <c r="O51" i="30"/>
  <c r="N51" i="30"/>
  <c r="O50" i="30"/>
  <c r="N50" i="30"/>
  <c r="O49" i="30"/>
  <c r="N49" i="30"/>
  <c r="O48" i="30"/>
  <c r="N48" i="30"/>
  <c r="J48" i="30"/>
  <c r="O47" i="30"/>
  <c r="N47" i="30"/>
  <c r="O46" i="30"/>
  <c r="N46" i="30"/>
  <c r="O45" i="30"/>
  <c r="N45" i="30"/>
  <c r="O44" i="30"/>
  <c r="N44" i="30"/>
  <c r="O43" i="30"/>
  <c r="N43" i="30"/>
  <c r="O42" i="30"/>
  <c r="N42" i="30"/>
  <c r="J42" i="30"/>
  <c r="O41" i="30"/>
  <c r="N41" i="30"/>
  <c r="O40" i="30"/>
  <c r="N40" i="30"/>
  <c r="O39" i="30"/>
  <c r="N39" i="30"/>
  <c r="O38" i="30"/>
  <c r="N38" i="30"/>
  <c r="O37" i="30"/>
  <c r="N37" i="30"/>
  <c r="O36" i="30"/>
  <c r="N36" i="30"/>
  <c r="J36" i="30"/>
  <c r="O35" i="30"/>
  <c r="N35" i="30"/>
  <c r="O34" i="30"/>
  <c r="N34" i="30"/>
  <c r="O33" i="30"/>
  <c r="N33" i="30"/>
  <c r="O32" i="30"/>
  <c r="N32" i="30"/>
  <c r="O31" i="30"/>
  <c r="N31" i="30"/>
  <c r="O30" i="30"/>
  <c r="N30" i="30"/>
  <c r="J30" i="30"/>
  <c r="O29" i="30"/>
  <c r="N29" i="30"/>
  <c r="O28" i="30"/>
  <c r="N28" i="30"/>
  <c r="O27" i="30"/>
  <c r="N27" i="30"/>
  <c r="O26" i="30"/>
  <c r="N26" i="30"/>
  <c r="O25" i="30"/>
  <c r="N25" i="30"/>
  <c r="O24" i="30"/>
  <c r="N24" i="30"/>
  <c r="J24" i="30"/>
  <c r="O23" i="30"/>
  <c r="N23" i="30"/>
  <c r="O22" i="30"/>
  <c r="N22" i="30"/>
  <c r="O21" i="30"/>
  <c r="N21" i="30"/>
  <c r="O20" i="30"/>
  <c r="N20" i="30"/>
  <c r="O19" i="30"/>
  <c r="N19" i="30"/>
  <c r="O18" i="30"/>
  <c r="N18" i="30"/>
  <c r="J18" i="30"/>
  <c r="O17" i="30"/>
  <c r="N17" i="30"/>
  <c r="O16" i="30"/>
  <c r="N16" i="30"/>
  <c r="O15" i="30"/>
  <c r="N15" i="30"/>
  <c r="L11" i="30"/>
  <c r="L10" i="30"/>
  <c r="L9" i="30"/>
  <c r="D9" i="30"/>
  <c r="U8" i="30"/>
  <c r="L8" i="30"/>
  <c r="D8" i="30"/>
  <c r="U7" i="30"/>
  <c r="L7" i="30"/>
  <c r="D7" i="30"/>
  <c r="U6" i="30"/>
  <c r="L6" i="30"/>
  <c r="D6" i="30"/>
  <c r="V2" i="30"/>
  <c r="O62" i="23"/>
  <c r="O61" i="23"/>
  <c r="O60" i="23"/>
  <c r="O59" i="23"/>
  <c r="O58" i="23"/>
  <c r="O57" i="23"/>
  <c r="O56" i="23"/>
  <c r="O55" i="23"/>
  <c r="O54" i="23"/>
  <c r="O53" i="23"/>
  <c r="O52" i="23"/>
  <c r="O51" i="23"/>
  <c r="O50" i="23"/>
  <c r="O49" i="23"/>
  <c r="O48" i="23"/>
  <c r="O47" i="23"/>
  <c r="O46" i="23"/>
  <c r="O45" i="23"/>
  <c r="O44" i="23"/>
  <c r="O43" i="23"/>
  <c r="O42" i="23"/>
  <c r="O41" i="23"/>
  <c r="O40" i="23"/>
  <c r="O39" i="23"/>
  <c r="O38" i="23"/>
  <c r="O37" i="23"/>
  <c r="O36" i="23"/>
  <c r="O35" i="23"/>
  <c r="O34" i="23"/>
  <c r="O33" i="23"/>
  <c r="O32" i="23"/>
  <c r="O31" i="23"/>
  <c r="O30" i="23"/>
  <c r="O29" i="23"/>
  <c r="O28" i="23"/>
  <c r="O27" i="23"/>
  <c r="O26" i="23"/>
  <c r="O25" i="23"/>
  <c r="O24" i="23"/>
  <c r="O23" i="23"/>
  <c r="O22" i="23"/>
  <c r="O21" i="23"/>
  <c r="O20" i="23"/>
  <c r="O19" i="23"/>
  <c r="O18" i="23"/>
  <c r="O17" i="23"/>
  <c r="O16" i="23"/>
  <c r="O15" i="23"/>
  <c r="N62" i="23"/>
  <c r="N61" i="23"/>
  <c r="N60" i="23"/>
  <c r="N59" i="23"/>
  <c r="N58" i="23"/>
  <c r="N57" i="23"/>
  <c r="N56" i="23"/>
  <c r="N55" i="23"/>
  <c r="N54" i="23"/>
  <c r="N53" i="23"/>
  <c r="N52" i="23"/>
  <c r="N51" i="23"/>
  <c r="N50" i="23"/>
  <c r="N49" i="23"/>
  <c r="N48" i="23"/>
  <c r="N47" i="23"/>
  <c r="N46" i="23"/>
  <c r="N45" i="23"/>
  <c r="N44" i="23"/>
  <c r="N43" i="23"/>
  <c r="N42" i="23"/>
  <c r="N41" i="23"/>
  <c r="N40" i="23"/>
  <c r="N39" i="23"/>
  <c r="N38" i="23"/>
  <c r="N37" i="23"/>
  <c r="N36" i="23"/>
  <c r="N35" i="23"/>
  <c r="N34" i="23"/>
  <c r="N33" i="23"/>
  <c r="N32" i="23"/>
  <c r="N31" i="23"/>
  <c r="N30" i="23"/>
  <c r="N29" i="23"/>
  <c r="N28" i="23"/>
  <c r="N27" i="23"/>
  <c r="N26" i="23"/>
  <c r="N25" i="23"/>
  <c r="N24" i="23"/>
  <c r="N23" i="23"/>
  <c r="N22" i="23"/>
  <c r="N21" i="23"/>
  <c r="N20" i="23"/>
  <c r="N19" i="23"/>
  <c r="N18" i="23"/>
  <c r="N17" i="23"/>
  <c r="N16" i="23"/>
  <c r="N15" i="23"/>
  <c r="U8" i="23"/>
  <c r="U7" i="23"/>
  <c r="U6" i="23"/>
  <c r="V2" i="23"/>
  <c r="L11" i="23"/>
  <c r="L10" i="23"/>
  <c r="L9" i="23"/>
  <c r="L8" i="23"/>
  <c r="L7" i="23"/>
  <c r="L6" i="23"/>
  <c r="L79" i="22"/>
  <c r="E79" i="22"/>
  <c r="O74" i="22"/>
  <c r="O73" i="22"/>
  <c r="O72" i="22"/>
  <c r="O71" i="22"/>
  <c r="O70" i="22"/>
  <c r="O69" i="22"/>
  <c r="O68" i="22"/>
  <c r="O67" i="22"/>
  <c r="O66" i="22"/>
  <c r="O65" i="22"/>
  <c r="O64" i="22"/>
  <c r="O63" i="22"/>
  <c r="O62" i="22"/>
  <c r="O61" i="22"/>
  <c r="O60" i="22"/>
  <c r="O59" i="22"/>
  <c r="O58" i="22"/>
  <c r="O57" i="22"/>
  <c r="O56" i="22"/>
  <c r="O55" i="22"/>
  <c r="O54" i="22"/>
  <c r="O53" i="22"/>
  <c r="O52" i="22"/>
  <c r="O51" i="22"/>
  <c r="O50" i="22"/>
  <c r="O49" i="22"/>
  <c r="O48" i="22"/>
  <c r="O47" i="22"/>
  <c r="O46" i="22"/>
  <c r="O45" i="22"/>
  <c r="O44" i="22"/>
  <c r="O43" i="22"/>
  <c r="O42" i="22"/>
  <c r="O41" i="22"/>
  <c r="O40" i="22"/>
  <c r="O39" i="22"/>
  <c r="O38" i="22"/>
  <c r="O37" i="22"/>
  <c r="O36" i="22"/>
  <c r="O35" i="22"/>
  <c r="O34" i="22"/>
  <c r="O33" i="22"/>
  <c r="O32" i="22"/>
  <c r="O31" i="22"/>
  <c r="O30" i="22"/>
  <c r="O29" i="22"/>
  <c r="O28" i="22"/>
  <c r="O27" i="22"/>
  <c r="O26" i="22"/>
  <c r="O25" i="22"/>
  <c r="O24" i="22"/>
  <c r="O23" i="22"/>
  <c r="O22" i="22"/>
  <c r="O21" i="22"/>
  <c r="O20" i="22"/>
  <c r="O19" i="22"/>
  <c r="O18" i="22"/>
  <c r="O17" i="22"/>
  <c r="O16" i="22"/>
  <c r="O15" i="22"/>
  <c r="N16" i="22"/>
  <c r="N15" i="22"/>
  <c r="D9" i="23"/>
  <c r="D8" i="23"/>
  <c r="D7" i="23"/>
  <c r="D6" i="23"/>
  <c r="N74" i="22"/>
  <c r="N73" i="22"/>
  <c r="N68" i="22"/>
  <c r="N67" i="22"/>
  <c r="N62" i="22"/>
  <c r="N61" i="22"/>
  <c r="N60" i="22"/>
  <c r="N59" i="22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J60" i="22"/>
  <c r="J54" i="22"/>
  <c r="J48" i="22"/>
  <c r="J42" i="22"/>
  <c r="J36" i="22"/>
  <c r="J30" i="22"/>
  <c r="J24" i="22"/>
  <c r="J18" i="22"/>
  <c r="J48" i="23"/>
  <c r="J42" i="23"/>
  <c r="J36" i="23"/>
  <c r="J30" i="23"/>
  <c r="J24" i="23"/>
  <c r="J18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L31" authorId="0" shapeId="0" xr:uid="{4E52887E-6F56-4355-8DBD-A51B76C6F672}">
      <text>
        <r>
          <rPr>
            <sz val="18"/>
            <color indexed="81"/>
            <rFont val="Tahoma"/>
            <family val="2"/>
          </rPr>
          <t>-Masalah ditapak-hanya pada waktu malam shj yg sesuai utk ambil Thermo.
-Jika di ambil pada waktu siang reflection.</t>
        </r>
      </text>
    </comment>
    <comment ref="X31" authorId="0" shapeId="0" xr:uid="{671B8F11-85E9-4EA5-A5BF-B3DC9AB5689A}">
      <text>
        <r>
          <rPr>
            <b/>
            <sz val="24"/>
            <color indexed="81"/>
            <rFont val="Tahoma"/>
            <family val="2"/>
          </rPr>
          <t>Column Tambahan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42" authorId="0" shapeId="0" xr:uid="{00000000-0006-0000-0300-000001000000}">
      <text>
        <r>
          <rPr>
            <sz val="8"/>
            <color indexed="81"/>
            <rFont val="Tahoma"/>
            <family val="2"/>
          </rPr>
          <t>Tambahan pada ayat.</t>
        </r>
      </text>
    </comment>
  </commentList>
</comments>
</file>

<file path=xl/sharedStrings.xml><?xml version="1.0" encoding="utf-8"?>
<sst xmlns="http://schemas.openxmlformats.org/spreadsheetml/2006/main" count="1121" uniqueCount="199">
  <si>
    <t>Page No:</t>
  </si>
  <si>
    <t>1.0 Job Details:</t>
  </si>
  <si>
    <t>1.1 Substation Name:</t>
  </si>
  <si>
    <t>3.0 Background Data</t>
  </si>
  <si>
    <t xml:space="preserve">3.1 Background Temp (ɛ = 1.0):               </t>
  </si>
  <si>
    <t xml:space="preserve">3.2 Humidity:              </t>
  </si>
  <si>
    <t>3.3 Background (TEV):</t>
  </si>
  <si>
    <t>2.0 Switchgear Details:</t>
  </si>
  <si>
    <t>2.4 Type of Busbar:</t>
  </si>
  <si>
    <t>2.2 Manufacturing Year:</t>
  </si>
  <si>
    <t>2.3 Model:</t>
  </si>
  <si>
    <t xml:space="preserve">TEV </t>
  </si>
  <si>
    <t>ULTRASOUND</t>
  </si>
  <si>
    <t>Remarks</t>
  </si>
  <si>
    <t>Reading (dB)</t>
  </si>
  <si>
    <t>Pulses / Cycle</t>
  </si>
  <si>
    <t xml:space="preserve">Reading (dB) </t>
  </si>
  <si>
    <t>Tested by (Name &amp; Signature):</t>
  </si>
  <si>
    <t>Date:</t>
  </si>
  <si>
    <t>2.5 Rating (kV):</t>
  </si>
  <si>
    <t>A</t>
  </si>
  <si>
    <t>B</t>
  </si>
  <si>
    <t xml:space="preserve"> 2. Transformer Details:</t>
  </si>
  <si>
    <t>TX 1</t>
  </si>
  <si>
    <t>TX 2</t>
  </si>
  <si>
    <t>TX 3</t>
  </si>
  <si>
    <t>LOCAL TX</t>
  </si>
  <si>
    <t>2.1 Manufacturer:</t>
  </si>
  <si>
    <t>2.2 Rating (MVA):</t>
  </si>
  <si>
    <t>2.2 Rating (KVA):</t>
  </si>
  <si>
    <t>DETAILS</t>
  </si>
  <si>
    <t>THERMOGRAPHY</t>
  </si>
  <si>
    <t>LVDB / FP</t>
  </si>
  <si>
    <t>1</t>
  </si>
  <si>
    <t>2</t>
  </si>
  <si>
    <t>3</t>
  </si>
  <si>
    <t>4</t>
  </si>
  <si>
    <t>5</t>
  </si>
  <si>
    <t xml:space="preserve">1.1 </t>
  </si>
  <si>
    <t>TX4</t>
  </si>
  <si>
    <t>TX 4</t>
  </si>
  <si>
    <t>Substation Name:</t>
  </si>
  <si>
    <t>VISUAL INSPECTION CHECKLIST FOR PMU/PPU/SSU</t>
  </si>
  <si>
    <t>Substation Name</t>
  </si>
  <si>
    <t>Date</t>
  </si>
  <si>
    <t xml:space="preserve"> On-line Visual Audits and Diagnostic Tests :</t>
  </si>
  <si>
    <t>Verifications of Switchgear External Condition</t>
  </si>
  <si>
    <t>1.1 No water marks on the panels</t>
  </si>
  <si>
    <t>YES</t>
  </si>
  <si>
    <t>NO</t>
  </si>
  <si>
    <t>N/A</t>
  </si>
  <si>
    <t>1.2 All covers and door bolted properly</t>
  </si>
  <si>
    <t>1.3 Opening and interpanel gaps sealed</t>
  </si>
  <si>
    <t>Verification of Switchgear Internal Components and Compartments</t>
  </si>
  <si>
    <t>2.1 No dust ingress, wind blown dust penetration</t>
  </si>
  <si>
    <t>2.2 No gas leakages detected in GIS switchgear ( i.e check SF6 level)</t>
  </si>
  <si>
    <t>2.3 No oil leakage for OCBs. i.e. check oil level</t>
  </si>
  <si>
    <t xml:space="preserve">2.4 Heaters at every compartment are functioning and in good condition </t>
  </si>
  <si>
    <t>Switchgear &amp; Substation Earthing</t>
  </si>
  <si>
    <t>3.1 Proper earth connection between all switchgear</t>
  </si>
  <si>
    <t>3.2 Proper earth connection to common earth</t>
  </si>
  <si>
    <t>3.3 Proper Switchgear earthing installation. i.e copper / stay wire / stollen / disconnected</t>
  </si>
  <si>
    <t>Power Transformer Condition</t>
  </si>
  <si>
    <t>4.1 No leaks at Power Transformer</t>
  </si>
  <si>
    <t>4.2 Adequate oil at Main Tank. i.e. to check oil level at main tank</t>
  </si>
  <si>
    <t>4.3 Adequate oil at OLTC Tank. i.e. to check oil level at OLTC tank</t>
  </si>
  <si>
    <t>4.4 Cooling Fan are in place and functioning or fuse blown/faulty MCB</t>
  </si>
  <si>
    <t>4.6 Transformer tail earthing is in proper and good condition</t>
  </si>
  <si>
    <t>4.7 Cable entry openings properly sealed.</t>
  </si>
  <si>
    <t>4.8 Chequer plate provided.</t>
  </si>
  <si>
    <t>4.9 Proper Transformer earthing installation. i.e copper / stay wire / stollen / disconnected</t>
  </si>
  <si>
    <t>NER Condition</t>
  </si>
  <si>
    <t>5.1  Proper NER earthing installation. i.e copper / stay wire / stollen / disconnected</t>
  </si>
  <si>
    <t>5.2 Proper earth bars and links</t>
  </si>
  <si>
    <t>(Note:If there have any defect occur, record in testsheet under remarks thermography)</t>
  </si>
  <si>
    <t>Field Cable Verifications</t>
  </si>
  <si>
    <t>6.1 Power cables properly supported i.e power cables / power transformer / local transformer</t>
  </si>
  <si>
    <t>6.2 Power cable opening properly sealed. i.e cable entry sealed</t>
  </si>
  <si>
    <t>Building</t>
  </si>
  <si>
    <t>Other Findings :</t>
  </si>
  <si>
    <t>MBB</t>
  </si>
  <si>
    <t>RBB</t>
  </si>
  <si>
    <t>2.1 Manufacture:</t>
  </si>
  <si>
    <t>1.2 Substation Location:</t>
  </si>
  <si>
    <t>1.3 Date of Scanning:</t>
  </si>
  <si>
    <t>1.4 Time:</t>
  </si>
  <si>
    <t>2.4 Last Preventive Maintenance Date:</t>
  </si>
  <si>
    <t>BREAKER POSITION</t>
  </si>
  <si>
    <t>BREAKER STATUS</t>
  </si>
  <si>
    <t>BUSBAR POSITION</t>
  </si>
  <si>
    <t>REF. TEMP (°C)</t>
  </si>
  <si>
    <t>MAX TEMP (°C)</t>
  </si>
  <si>
    <t>∆T</t>
  </si>
  <si>
    <t>AVG TEMP (°C)</t>
  </si>
  <si>
    <t>Image No.</t>
  </si>
  <si>
    <t>Remarks / Other Defects</t>
  </si>
  <si>
    <t>Type of Characteristic</t>
  </si>
  <si>
    <t>ON</t>
  </si>
  <si>
    <t>BREAKER</t>
  </si>
  <si>
    <t xml:space="preserve">CABLE </t>
  </si>
  <si>
    <t>OFF</t>
  </si>
  <si>
    <t>BUSBAR (TOP)</t>
  </si>
  <si>
    <t>PT COMPARTMENT</t>
  </si>
  <si>
    <t>RHS PANEL (OVERVIEW)</t>
  </si>
  <si>
    <t>FRONT</t>
  </si>
  <si>
    <t>BACK</t>
  </si>
  <si>
    <t>TOP</t>
  </si>
  <si>
    <t>CABLE CELLAR</t>
  </si>
  <si>
    <t>LHS PANEL (OVERVIEW)</t>
  </si>
  <si>
    <t>** N/A = NOT ACCESSIBLE</t>
  </si>
  <si>
    <t>TNB Supervisor / Engineer (Name &amp; Signature):</t>
  </si>
  <si>
    <t>CABLE ENTRY</t>
  </si>
  <si>
    <t>LINK BOX</t>
  </si>
  <si>
    <t>CABLE TYPE</t>
  </si>
  <si>
    <t>NO.</t>
  </si>
  <si>
    <t>PANEL NO.</t>
  </si>
  <si>
    <t>FEEDER NAME</t>
  </si>
  <si>
    <t>LOAD (A)</t>
  </si>
  <si>
    <t>HEATER (A) WHEN 
ON / OFF</t>
  </si>
  <si>
    <t>COMPARTMENT</t>
  </si>
  <si>
    <r>
      <t>7.1 Good roof condition</t>
    </r>
    <r>
      <rPr>
        <b/>
        <i/>
        <sz val="9"/>
        <color theme="1"/>
        <rFont val="Arial"/>
        <family val="2"/>
      </rPr>
      <t xml:space="preserve"> i.e. no leakage</t>
    </r>
  </si>
  <si>
    <r>
      <t xml:space="preserve">7.2 Good battery charger condition </t>
    </r>
    <r>
      <rPr>
        <b/>
        <i/>
        <sz val="9"/>
        <color theme="1"/>
        <rFont val="Arial"/>
        <family val="2"/>
      </rPr>
      <t>(110VDC)</t>
    </r>
  </si>
  <si>
    <t>Ver. : 1-2019</t>
  </si>
  <si>
    <t>4.5 No anormalities or any indication of corrosion or leaks at HV and LV cable box</t>
  </si>
  <si>
    <t>CBA SWITCHGEAR TEST SHEET (PMU/PPU/SSU)</t>
  </si>
  <si>
    <t>CBA SWITCHGEAR TEST SHEET (PMU/PPU/SSU) - Page Extra</t>
  </si>
  <si>
    <t>START</t>
  </si>
  <si>
    <t>END</t>
  </si>
  <si>
    <t>IR</t>
  </si>
  <si>
    <t>DG</t>
  </si>
  <si>
    <t>CBM Condition</t>
  </si>
  <si>
    <t>Company Name</t>
  </si>
  <si>
    <t>CBM SUBSTATION TEST SHEET (PMU/PPU/SSU)</t>
  </si>
  <si>
    <t>Test Sheet No:</t>
  </si>
  <si>
    <t xml:space="preserve"> 1. Substation Details:</t>
  </si>
  <si>
    <t>2.3 Serial No. :</t>
  </si>
  <si>
    <t>TRANSFORMER</t>
  </si>
  <si>
    <t>No.</t>
  </si>
  <si>
    <t>TX No.</t>
  </si>
  <si>
    <t xml:space="preserve">Load ( A) </t>
  </si>
  <si>
    <t>Cable Type</t>
  </si>
  <si>
    <t>HV Cable</t>
  </si>
  <si>
    <t>LV Cable</t>
  </si>
  <si>
    <t>Type Charc.</t>
  </si>
  <si>
    <t>File</t>
  </si>
  <si>
    <t>Ref. Temp 
(°C)</t>
  </si>
  <si>
    <t>Max Temp (°C)</t>
  </si>
  <si>
    <t>Defect
∆T</t>
  </si>
  <si>
    <t>Avg Temp 
(°C)</t>
  </si>
  <si>
    <t>Ref. Temp (°C)</t>
  </si>
  <si>
    <t>Max Temp 
(°C)</t>
  </si>
  <si>
    <t>Local TX</t>
  </si>
  <si>
    <t>No</t>
  </si>
  <si>
    <t>TX No</t>
  </si>
  <si>
    <t>Marshalling Kiosk</t>
  </si>
  <si>
    <t>Conservator Tank</t>
  </si>
  <si>
    <t>Body</t>
  </si>
  <si>
    <t>Cooling Fin</t>
  </si>
  <si>
    <t>LV DISTRIBUTION BOARD/FEEDER PILLAR/OTHERS</t>
  </si>
  <si>
    <t>Rating (A):</t>
  </si>
  <si>
    <t xml:space="preserve">Serial No.: </t>
  </si>
  <si>
    <t>Type:</t>
  </si>
  <si>
    <t>Manufacturer:</t>
  </si>
  <si>
    <t xml:space="preserve">LVDB / FP </t>
  </si>
  <si>
    <t>INC 1</t>
  </si>
  <si>
    <t>INC 2</t>
  </si>
  <si>
    <t>INC 3</t>
  </si>
  <si>
    <t>F1</t>
  </si>
  <si>
    <t>F2</t>
  </si>
  <si>
    <t>F3</t>
  </si>
  <si>
    <t>F4</t>
  </si>
  <si>
    <t>F5</t>
  </si>
  <si>
    <t>F6</t>
  </si>
  <si>
    <t>F7</t>
  </si>
  <si>
    <t>F8</t>
  </si>
  <si>
    <t>Cable Size</t>
  </si>
  <si>
    <t>Load (A)</t>
  </si>
  <si>
    <t>Red</t>
  </si>
  <si>
    <t>Yellow</t>
  </si>
  <si>
    <t>Blue</t>
  </si>
  <si>
    <t>Neutral</t>
  </si>
  <si>
    <t>ULTRASOUND Type Characteristic</t>
  </si>
  <si>
    <t>Arcing</t>
  </si>
  <si>
    <t>T</t>
  </si>
  <si>
    <t>Tracking</t>
  </si>
  <si>
    <t>C</t>
  </si>
  <si>
    <t>Corona</t>
  </si>
  <si>
    <t>MV</t>
  </si>
  <si>
    <t>Mechanical Vibration</t>
  </si>
  <si>
    <t>Testing Company:</t>
  </si>
  <si>
    <t>TNB Supervisor (Name &amp; Signature):</t>
  </si>
  <si>
    <t>TNB Engineer (Name &amp; Signature):</t>
  </si>
  <si>
    <t>Date :</t>
  </si>
  <si>
    <t>** N/A = NOT ACCESSIBLE / APPLICABLE</t>
  </si>
  <si>
    <t>{{signvendor}}</t>
  </si>
  <si>
    <t>{{signtnb}}</t>
  </si>
  <si>
    <t>FE EXP. DATE:</t>
  </si>
  <si>
    <t>GPS:</t>
  </si>
  <si>
    <t>MODEL: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</si>
</sst>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\ \°\C"/>
    <numFmt numFmtId="165" formatCode="[$-409]d\-mmm\-yy;@"/>
    <numFmt numFmtId="166" formatCode="dd/mm/yyyy;@"/>
    <numFmt numFmtId="167" formatCode="0.0;[Red]0.0"/>
    <numFmt numFmtId="168" formatCode="0.0"/>
    <numFmt numFmtId="169" formatCode="0000"/>
    <numFmt numFmtId="170" formatCode="dd/mmmm/yyyy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36"/>
      <color theme="1"/>
      <name val="Tahoma"/>
      <family val="2"/>
    </font>
    <font>
      <b/>
      <sz val="36"/>
      <color theme="1"/>
      <name val="Tahoma"/>
      <family val="2"/>
    </font>
    <font>
      <b/>
      <strike/>
      <sz val="36"/>
      <color theme="1"/>
      <name val="Tahoma"/>
      <family val="2"/>
    </font>
    <font>
      <b/>
      <i/>
      <sz val="36"/>
      <color theme="1"/>
      <name val="Tahoma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8"/>
      <color indexed="81"/>
      <name val="Tahoma"/>
      <family val="2"/>
    </font>
    <font>
      <sz val="36"/>
      <color indexed="8"/>
      <name val="Tahoma"/>
      <family val="2"/>
    </font>
    <font>
      <b/>
      <sz val="30"/>
      <color theme="1"/>
      <name val="Tahoma"/>
      <family val="2"/>
    </font>
    <font>
      <sz val="30"/>
      <color theme="1"/>
      <name val="Tahoma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i/>
      <sz val="9"/>
      <color theme="1"/>
      <name val="Arial"/>
      <family val="2"/>
    </font>
    <font>
      <sz val="36"/>
      <color theme="0"/>
      <name val="Tahoma"/>
      <family val="2"/>
    </font>
    <font>
      <sz val="22"/>
      <name val="Tahoma"/>
      <family val="2"/>
    </font>
    <font>
      <b/>
      <sz val="22"/>
      <name val="Tahoma"/>
      <family val="2"/>
    </font>
    <font>
      <b/>
      <sz val="28"/>
      <name val="Tahoma"/>
      <family val="2"/>
    </font>
    <font>
      <b/>
      <sz val="48"/>
      <name val="Tahoma"/>
      <family val="2"/>
    </font>
    <font>
      <sz val="28"/>
      <name val="Tahoma"/>
      <family val="2"/>
    </font>
    <font>
      <sz val="24"/>
      <name val="Tahoma"/>
      <family val="2"/>
    </font>
    <font>
      <strike/>
      <sz val="22"/>
      <name val="Tahoma"/>
      <family val="2"/>
    </font>
    <font>
      <b/>
      <strike/>
      <sz val="22"/>
      <name val="Tahoma"/>
      <family val="2"/>
    </font>
    <font>
      <sz val="36"/>
      <name val="Tahoma"/>
      <family val="2"/>
    </font>
    <font>
      <b/>
      <sz val="28"/>
      <color theme="1"/>
      <name val="Tahoma"/>
      <family val="2"/>
    </font>
    <font>
      <sz val="30"/>
      <name val="Tahoma"/>
      <family val="2"/>
    </font>
    <font>
      <b/>
      <sz val="30"/>
      <name val="Tahoma"/>
      <family val="2"/>
    </font>
    <font>
      <b/>
      <sz val="22"/>
      <color theme="1"/>
      <name val="Tahoma"/>
      <family val="2"/>
    </font>
    <font>
      <sz val="28"/>
      <color theme="1"/>
      <name val="Tahoma"/>
      <family val="2"/>
    </font>
    <font>
      <sz val="22"/>
      <color theme="1"/>
      <name val="Tahoma"/>
      <family val="2"/>
    </font>
    <font>
      <b/>
      <i/>
      <sz val="28"/>
      <name val="Tahoma"/>
      <family val="2"/>
    </font>
    <font>
      <sz val="18"/>
      <color indexed="81"/>
      <name val="Tahoma"/>
      <family val="2"/>
    </font>
    <font>
      <b/>
      <sz val="24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8"/>
      </patternFill>
    </fill>
    <fill>
      <patternFill patternType="solid">
        <fgColor indexed="9"/>
        <bgColor indexed="8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8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 applyFill="0" applyProtection="0"/>
    <xf numFmtId="0" fontId="2" fillId="0" borderId="0" applyFill="0" applyProtection="0"/>
  </cellStyleXfs>
  <cellXfs count="527">
    <xf numFmtId="0" fontId="0" fillId="0" borderId="0" xfId="0"/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5" xfId="0" applyNumberFormat="1" applyFont="1" applyBorder="1" applyAlignment="1">
      <alignment vertical="center"/>
    </xf>
    <xf numFmtId="49" fontId="4" fillId="0" borderId="0" xfId="0" applyNumberFormat="1" applyFont="1" applyAlignment="1" applyProtection="1">
      <alignment horizontal="left" vertical="center"/>
      <protection locked="0"/>
    </xf>
    <xf numFmtId="49" fontId="3" fillId="0" borderId="0" xfId="0" applyNumberFormat="1" applyFont="1" applyAlignment="1">
      <alignment horizontal="left" vertical="center"/>
    </xf>
    <xf numFmtId="0" fontId="3" fillId="0" borderId="14" xfId="0" applyFont="1" applyBorder="1" applyAlignment="1">
      <alignment vertical="center"/>
    </xf>
    <xf numFmtId="49" fontId="3" fillId="0" borderId="5" xfId="0" applyNumberFormat="1" applyFont="1" applyBorder="1" applyAlignment="1">
      <alignment horizontal="left" vertical="center"/>
    </xf>
    <xf numFmtId="49" fontId="4" fillId="0" borderId="9" xfId="0" applyNumberFormat="1" applyFont="1" applyBorder="1" applyAlignment="1" applyProtection="1">
      <alignment horizontal="center" vertical="center"/>
      <protection locked="0"/>
    </xf>
    <xf numFmtId="164" fontId="5" fillId="0" borderId="0" xfId="0" applyNumberFormat="1" applyFont="1" applyAlignment="1" applyProtection="1">
      <alignment horizontal="right" vertical="center"/>
      <protection locked="0"/>
    </xf>
    <xf numFmtId="0" fontId="3" fillId="0" borderId="5" xfId="0" applyFont="1" applyBorder="1" applyAlignment="1">
      <alignment vertical="center"/>
    </xf>
    <xf numFmtId="166" fontId="3" fillId="0" borderId="0" xfId="0" applyNumberFormat="1" applyFont="1" applyAlignment="1" applyProtection="1">
      <alignment horizontal="left" vertical="center"/>
      <protection locked="0"/>
    </xf>
    <xf numFmtId="165" fontId="5" fillId="0" borderId="0" xfId="0" applyNumberFormat="1" applyFont="1" applyAlignment="1" applyProtection="1">
      <alignment horizontal="left" vertical="center"/>
      <protection locked="0"/>
    </xf>
    <xf numFmtId="49" fontId="3" fillId="0" borderId="0" xfId="0" applyNumberFormat="1" applyFont="1" applyAlignment="1">
      <alignment horizontal="center" vertical="center"/>
    </xf>
    <xf numFmtId="0" fontId="3" fillId="0" borderId="1" xfId="0" quotePrefix="1" applyFont="1" applyBorder="1" applyAlignment="1">
      <alignment horizontal="center" vertical="center" wrapText="1"/>
    </xf>
    <xf numFmtId="0" fontId="3" fillId="5" borderId="1" xfId="0" applyFont="1" applyFill="1" applyBorder="1" applyAlignment="1" applyProtection="1">
      <alignment vertical="center" wrapText="1"/>
      <protection locked="0"/>
    </xf>
    <xf numFmtId="0" fontId="3" fillId="5" borderId="6" xfId="0" applyFont="1" applyFill="1" applyBorder="1" applyAlignment="1" applyProtection="1">
      <alignment horizontal="center" vertical="center" wrapText="1"/>
      <protection locked="0"/>
    </xf>
    <xf numFmtId="0" fontId="3" fillId="0" borderId="0" xfId="0" quotePrefix="1" applyFont="1" applyAlignment="1">
      <alignment horizontal="center" vertical="center" wrapText="1"/>
    </xf>
    <xf numFmtId="0" fontId="3" fillId="0" borderId="0" xfId="0" applyFont="1" applyAlignment="1" applyProtection="1">
      <alignment vertical="center" wrapText="1"/>
      <protection locked="0"/>
    </xf>
    <xf numFmtId="49" fontId="3" fillId="0" borderId="5" xfId="0" applyNumberFormat="1" applyFont="1" applyBorder="1" applyAlignment="1">
      <alignment horizontal="right" vertical="center"/>
    </xf>
    <xf numFmtId="49" fontId="4" fillId="0" borderId="0" xfId="0" applyNumberFormat="1" applyFont="1" applyAlignment="1">
      <alignment vertical="center"/>
    </xf>
    <xf numFmtId="49" fontId="4" fillId="0" borderId="9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horizontal="right"/>
    </xf>
    <xf numFmtId="49" fontId="4" fillId="0" borderId="0" xfId="0" applyNumberFormat="1" applyFont="1"/>
    <xf numFmtId="0" fontId="4" fillId="0" borderId="0" xfId="0" applyFont="1"/>
    <xf numFmtId="0" fontId="3" fillId="0" borderId="0" xfId="0" applyFont="1"/>
    <xf numFmtId="0" fontId="3" fillId="0" borderId="5" xfId="0" applyFont="1" applyBorder="1"/>
    <xf numFmtId="49" fontId="4" fillId="0" borderId="0" xfId="0" applyNumberFormat="1" applyFont="1" applyAlignment="1">
      <alignment horizontal="center" vertical="center"/>
    </xf>
    <xf numFmtId="49" fontId="6" fillId="0" borderId="0" xfId="0" applyNumberFormat="1" applyFont="1" applyAlignment="1" applyProtection="1">
      <alignment vertical="center"/>
      <protection locked="0"/>
    </xf>
    <xf numFmtId="0" fontId="3" fillId="5" borderId="1" xfId="0" applyFont="1" applyFill="1" applyBorder="1" applyAlignment="1" applyProtection="1">
      <alignment horizontal="center" vertical="center" wrapText="1"/>
      <protection locked="0"/>
    </xf>
    <xf numFmtId="49" fontId="4" fillId="0" borderId="0" xfId="0" applyNumberFormat="1" applyFont="1" applyAlignment="1" applyProtection="1">
      <alignment horizontal="center" vertical="center"/>
      <protection locked="0"/>
    </xf>
    <xf numFmtId="0" fontId="3" fillId="5" borderId="6" xfId="0" applyFont="1" applyFill="1" applyBorder="1" applyAlignment="1">
      <alignment horizontal="center" vertical="center" wrapText="1"/>
    </xf>
    <xf numFmtId="0" fontId="8" fillId="0" borderId="0" xfId="3" applyFont="1" applyFill="1" applyAlignment="1" applyProtection="1">
      <alignment vertical="center" wrapText="1"/>
    </xf>
    <xf numFmtId="0" fontId="2" fillId="0" borderId="0" xfId="3" applyFill="1" applyProtection="1"/>
    <xf numFmtId="49" fontId="7" fillId="4" borderId="0" xfId="3" applyNumberFormat="1" applyFont="1" applyFill="1" applyAlignment="1" applyProtection="1">
      <alignment vertical="center"/>
    </xf>
    <xf numFmtId="0" fontId="10" fillId="0" borderId="0" xfId="3" applyFont="1" applyAlignment="1">
      <alignment horizontal="left"/>
    </xf>
    <xf numFmtId="0" fontId="9" fillId="0" borderId="0" xfId="3" applyFont="1" applyAlignment="1">
      <alignment horizontal="center"/>
    </xf>
    <xf numFmtId="0" fontId="9" fillId="0" borderId="0" xfId="3" applyFont="1" applyFill="1" applyAlignment="1">
      <alignment horizontal="center"/>
    </xf>
    <xf numFmtId="0" fontId="7" fillId="0" borderId="0" xfId="3" applyFont="1" applyFill="1" applyProtection="1"/>
    <xf numFmtId="49" fontId="2" fillId="0" borderId="0" xfId="3" applyNumberFormat="1" applyFill="1" applyProtection="1"/>
    <xf numFmtId="167" fontId="2" fillId="0" borderId="0" xfId="3" applyNumberFormat="1" applyFill="1" applyProtection="1"/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2" fillId="0" borderId="0" xfId="0" applyFont="1"/>
    <xf numFmtId="0" fontId="3" fillId="0" borderId="0" xfId="0" applyFont="1" applyAlignment="1">
      <alignment horizontal="center" vertical="center"/>
    </xf>
    <xf numFmtId="49" fontId="4" fillId="0" borderId="5" xfId="0" applyNumberFormat="1" applyFont="1" applyBorder="1" applyAlignment="1">
      <alignment horizontal="left" vertical="center"/>
    </xf>
    <xf numFmtId="0" fontId="4" fillId="0" borderId="0" xfId="0" applyFont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164" fontId="5" fillId="0" borderId="14" xfId="0" applyNumberFormat="1" applyFont="1" applyBorder="1" applyAlignment="1" applyProtection="1">
      <alignment horizontal="right" vertical="center"/>
      <protection locked="0"/>
    </xf>
    <xf numFmtId="166" fontId="3" fillId="0" borderId="3" xfId="0" applyNumberFormat="1" applyFont="1" applyBorder="1" applyAlignment="1" applyProtection="1">
      <alignment horizontal="left" vertical="center"/>
      <protection locked="0"/>
    </xf>
    <xf numFmtId="49" fontId="3" fillId="0" borderId="8" xfId="0" applyNumberFormat="1" applyFont="1" applyBorder="1" applyAlignment="1">
      <alignment horizontal="left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3" fillId="0" borderId="0" xfId="0" applyNumberFormat="1" applyFont="1" applyAlignment="1" applyProtection="1">
      <alignment horizontal="left" vertical="center"/>
      <protection locked="0"/>
    </xf>
    <xf numFmtId="49" fontId="4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14" xfId="0" applyFont="1" applyBorder="1"/>
    <xf numFmtId="0" fontId="4" fillId="0" borderId="9" xfId="0" applyFont="1" applyBorder="1" applyAlignment="1">
      <alignment vertical="center"/>
    </xf>
    <xf numFmtId="0" fontId="4" fillId="0" borderId="0" xfId="0" applyFont="1" applyAlignment="1">
      <alignment vertical="center"/>
    </xf>
    <xf numFmtId="49" fontId="3" fillId="0" borderId="14" xfId="0" applyNumberFormat="1" applyFont="1" applyBorder="1" applyAlignment="1">
      <alignment vertical="center"/>
    </xf>
    <xf numFmtId="0" fontId="3" fillId="0" borderId="8" xfId="0" applyFont="1" applyBorder="1"/>
    <xf numFmtId="49" fontId="6" fillId="0" borderId="9" xfId="0" applyNumberFormat="1" applyFont="1" applyBorder="1" applyAlignment="1" applyProtection="1">
      <alignment vertical="center"/>
      <protection locked="0"/>
    </xf>
    <xf numFmtId="49" fontId="4" fillId="0" borderId="9" xfId="0" applyNumberFormat="1" applyFont="1" applyBorder="1" applyAlignment="1">
      <alignment horizontal="left"/>
    </xf>
    <xf numFmtId="49" fontId="4" fillId="0" borderId="9" xfId="0" applyNumberFormat="1" applyFont="1" applyBorder="1" applyProtection="1">
      <protection locked="0"/>
    </xf>
    <xf numFmtId="0" fontId="4" fillId="0" borderId="9" xfId="0" applyFont="1" applyBorder="1"/>
    <xf numFmtId="49" fontId="4" fillId="0" borderId="9" xfId="0" applyNumberFormat="1" applyFont="1" applyBorder="1"/>
    <xf numFmtId="0" fontId="3" fillId="0" borderId="9" xfId="0" applyFont="1" applyBorder="1"/>
    <xf numFmtId="0" fontId="17" fillId="0" borderId="0" xfId="3" applyFont="1" applyFill="1" applyProtection="1"/>
    <xf numFmtId="49" fontId="15" fillId="0" borderId="0" xfId="3" applyNumberFormat="1" applyFont="1" applyFill="1" applyAlignment="1" applyProtection="1">
      <alignment horizontal="left"/>
    </xf>
    <xf numFmtId="49" fontId="15" fillId="0" borderId="0" xfId="3" applyNumberFormat="1" applyFont="1" applyFill="1" applyProtection="1"/>
    <xf numFmtId="49" fontId="15" fillId="4" borderId="0" xfId="3" applyNumberFormat="1" applyFont="1" applyFill="1" applyProtection="1"/>
    <xf numFmtId="0" fontId="18" fillId="0" borderId="0" xfId="3" applyFont="1" applyAlignment="1">
      <alignment horizontal="left"/>
    </xf>
    <xf numFmtId="0" fontId="19" fillId="0" borderId="0" xfId="3" applyFont="1" applyAlignment="1">
      <alignment horizontal="left"/>
    </xf>
    <xf numFmtId="0" fontId="15" fillId="0" borderId="0" xfId="3" applyFont="1" applyFill="1" applyAlignment="1" applyProtection="1">
      <alignment horizontal="left"/>
    </xf>
    <xf numFmtId="0" fontId="17" fillId="0" borderId="0" xfId="3" applyFont="1" applyFill="1" applyAlignment="1" applyProtection="1">
      <alignment horizontal="left" indent="1"/>
    </xf>
    <xf numFmtId="3" fontId="17" fillId="0" borderId="0" xfId="3" applyNumberFormat="1" applyFont="1" applyFill="1" applyAlignment="1" applyProtection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Fill="1" applyAlignment="1" applyProtection="1">
      <alignment horizontal="left"/>
    </xf>
    <xf numFmtId="0" fontId="20" fillId="0" borderId="0" xfId="3" applyFont="1" applyFill="1" applyAlignment="1" applyProtection="1">
      <alignment horizontal="left"/>
    </xf>
    <xf numFmtId="0" fontId="21" fillId="0" borderId="0" xfId="3" applyFont="1" applyFill="1" applyAlignment="1" applyProtection="1">
      <alignment horizontal="left" indent="1"/>
    </xf>
    <xf numFmtId="3" fontId="21" fillId="0" borderId="0" xfId="3" applyNumberFormat="1" applyFont="1" applyFill="1" applyAlignment="1" applyProtection="1">
      <alignment horizontal="center"/>
    </xf>
    <xf numFmtId="49" fontId="21" fillId="0" borderId="1" xfId="3" applyNumberFormat="1" applyFont="1" applyFill="1" applyBorder="1" applyAlignment="1" applyProtection="1">
      <alignment horizontal="center" vertical="center"/>
    </xf>
    <xf numFmtId="0" fontId="21" fillId="0" borderId="0" xfId="3" applyFont="1" applyFill="1" applyAlignment="1" applyProtection="1">
      <alignment horizontal="left" vertical="center"/>
    </xf>
    <xf numFmtId="0" fontId="17" fillId="0" borderId="0" xfId="3" applyFont="1" applyFill="1" applyAlignment="1" applyProtection="1">
      <alignment horizontal="left" vertical="center"/>
    </xf>
    <xf numFmtId="49" fontId="17" fillId="0" borderId="0" xfId="3" applyNumberFormat="1" applyFont="1" applyFill="1" applyAlignment="1" applyProtection="1">
      <alignment horizontal="center" vertical="center"/>
    </xf>
    <xf numFmtId="49" fontId="20" fillId="0" borderId="0" xfId="3" applyNumberFormat="1" applyFont="1" applyFill="1" applyAlignment="1" applyProtection="1">
      <alignment horizontal="left"/>
    </xf>
    <xf numFmtId="49" fontId="17" fillId="0" borderId="0" xfId="3" applyNumberFormat="1" applyFont="1" applyFill="1" applyAlignment="1" applyProtection="1">
      <alignment horizontal="left"/>
    </xf>
    <xf numFmtId="49" fontId="17" fillId="0" borderId="0" xfId="3" applyNumberFormat="1" applyFont="1" applyFill="1" applyAlignment="1" applyProtection="1">
      <alignment horizontal="left" indent="1"/>
    </xf>
    <xf numFmtId="49" fontId="17" fillId="0" borderId="0" xfId="3" applyNumberFormat="1" applyFont="1" applyFill="1" applyAlignment="1" applyProtection="1">
      <alignment horizontal="center"/>
    </xf>
    <xf numFmtId="49" fontId="17" fillId="0" borderId="0" xfId="3" applyNumberFormat="1" applyFont="1" applyFill="1" applyAlignment="1" applyProtection="1">
      <alignment horizontal="left" vertical="center"/>
    </xf>
    <xf numFmtId="49" fontId="20" fillId="0" borderId="0" xfId="3" applyNumberFormat="1" applyFont="1" applyFill="1" applyAlignment="1" applyProtection="1">
      <alignment horizontal="left" indent="1"/>
    </xf>
    <xf numFmtId="49" fontId="20" fillId="0" borderId="0" xfId="3" applyNumberFormat="1" applyFont="1" applyFill="1" applyAlignment="1" applyProtection="1">
      <alignment horizontal="center"/>
    </xf>
    <xf numFmtId="49" fontId="20" fillId="0" borderId="0" xfId="3" applyNumberFormat="1" applyFont="1" applyFill="1" applyAlignment="1" applyProtection="1">
      <alignment horizontal="left" vertical="center"/>
    </xf>
    <xf numFmtId="49" fontId="20" fillId="0" borderId="0" xfId="3" applyNumberFormat="1" applyFont="1" applyFill="1" applyAlignment="1" applyProtection="1">
      <alignment horizontal="center" vertical="center"/>
    </xf>
    <xf numFmtId="0" fontId="20" fillId="0" borderId="0" xfId="3" applyFont="1" applyFill="1" applyAlignment="1" applyProtection="1">
      <alignment horizontal="left" indent="1"/>
    </xf>
    <xf numFmtId="3" fontId="20" fillId="0" borderId="0" xfId="3" applyNumberFormat="1" applyFont="1" applyFill="1" applyAlignment="1" applyProtection="1">
      <alignment horizontal="center"/>
    </xf>
    <xf numFmtId="0" fontId="20" fillId="0" borderId="0" xfId="3" applyFont="1" applyFill="1" applyAlignment="1" applyProtection="1">
      <alignment horizontal="left" vertical="center"/>
    </xf>
    <xf numFmtId="49" fontId="17" fillId="0" borderId="19" xfId="3" applyNumberFormat="1" applyFont="1" applyFill="1" applyBorder="1" applyAlignment="1" applyProtection="1">
      <alignment horizontal="center" vertical="center"/>
    </xf>
    <xf numFmtId="49" fontId="17" fillId="0" borderId="18" xfId="3" applyNumberFormat="1" applyFont="1" applyFill="1" applyBorder="1" applyAlignment="1" applyProtection="1">
      <alignment horizontal="center" vertical="center"/>
    </xf>
    <xf numFmtId="0" fontId="20" fillId="0" borderId="0" xfId="3" applyFont="1" applyFill="1" applyProtection="1"/>
    <xf numFmtId="49" fontId="21" fillId="0" borderId="0" xfId="3" applyNumberFormat="1" applyFont="1" applyFill="1" applyAlignment="1" applyProtection="1">
      <alignment horizontal="center" vertical="center"/>
    </xf>
    <xf numFmtId="0" fontId="20" fillId="0" borderId="0" xfId="3" applyFont="1" applyFill="1" applyAlignment="1" applyProtection="1">
      <alignment horizontal="left" vertical="center" wrapText="1"/>
    </xf>
    <xf numFmtId="167" fontId="15" fillId="0" borderId="0" xfId="3" applyNumberFormat="1" applyFont="1" applyFill="1" applyAlignment="1" applyProtection="1">
      <alignment horizontal="left"/>
    </xf>
    <xf numFmtId="0" fontId="20" fillId="0" borderId="0" xfId="3" applyFont="1" applyFill="1" applyAlignment="1" applyProtection="1">
      <alignment vertical="center" wrapText="1"/>
    </xf>
    <xf numFmtId="0" fontId="15" fillId="0" borderId="0" xfId="3" applyFont="1" applyFill="1" applyProtection="1"/>
    <xf numFmtId="49" fontId="17" fillId="0" borderId="0" xfId="3" applyNumberFormat="1" applyFont="1" applyFill="1" applyProtection="1"/>
    <xf numFmtId="49" fontId="17" fillId="0" borderId="0" xfId="3" applyNumberFormat="1" applyFont="1" applyFill="1" applyProtection="1">
      <protection locked="0"/>
    </xf>
    <xf numFmtId="167" fontId="17" fillId="0" borderId="5" xfId="3" applyNumberFormat="1" applyFont="1" applyFill="1" applyBorder="1" applyProtection="1"/>
    <xf numFmtId="167" fontId="15" fillId="0" borderId="5" xfId="3" applyNumberFormat="1" applyFont="1" applyFill="1" applyBorder="1" applyAlignment="1" applyProtection="1">
      <alignment horizontal="right"/>
    </xf>
    <xf numFmtId="167" fontId="17" fillId="0" borderId="5" xfId="3" applyNumberFormat="1" applyFont="1" applyFill="1" applyBorder="1" applyAlignment="1" applyProtection="1">
      <alignment horizontal="right"/>
    </xf>
    <xf numFmtId="0" fontId="17" fillId="0" borderId="5" xfId="3" applyFont="1" applyFill="1" applyBorder="1" applyProtection="1"/>
    <xf numFmtId="49" fontId="17" fillId="0" borderId="5" xfId="3" applyNumberFormat="1" applyFont="1" applyFill="1" applyBorder="1" applyProtection="1"/>
    <xf numFmtId="0" fontId="17" fillId="0" borderId="14" xfId="3" applyFont="1" applyFill="1" applyBorder="1" applyProtection="1"/>
    <xf numFmtId="49" fontId="15" fillId="4" borderId="14" xfId="3" applyNumberFormat="1" applyFont="1" applyFill="1" applyBorder="1" applyAlignment="1" applyProtection="1">
      <alignment vertical="center"/>
    </xf>
    <xf numFmtId="0" fontId="19" fillId="0" borderId="14" xfId="3" applyFont="1" applyBorder="1" applyAlignment="1">
      <alignment horizontal="left"/>
    </xf>
    <xf numFmtId="0" fontId="18" fillId="0" borderId="14" xfId="3" applyFont="1" applyBorder="1" applyAlignment="1">
      <alignment horizontal="center"/>
    </xf>
    <xf numFmtId="0" fontId="19" fillId="0" borderId="14" xfId="3" applyFont="1" applyFill="1" applyBorder="1" applyAlignment="1">
      <alignment horizontal="left"/>
    </xf>
    <xf numFmtId="0" fontId="15" fillId="0" borderId="14" xfId="3" applyFont="1" applyFill="1" applyBorder="1" applyProtection="1"/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5" xfId="0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4" borderId="0" xfId="0" applyFont="1" applyFill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4" borderId="1" xfId="0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3" fillId="8" borderId="0" xfId="0" applyFont="1" applyFill="1" applyAlignment="1">
      <alignment horizontal="center" vertical="center" wrapText="1"/>
    </xf>
    <xf numFmtId="0" fontId="3" fillId="8" borderId="0" xfId="0" applyFont="1" applyFill="1" applyAlignment="1" applyProtection="1">
      <alignment horizontal="center" vertical="center" wrapText="1"/>
      <protection locked="0"/>
    </xf>
    <xf numFmtId="0" fontId="23" fillId="0" borderId="16" xfId="0" applyFont="1" applyBorder="1" applyAlignment="1" applyProtection="1">
      <alignment horizontal="center" vertical="center" wrapText="1"/>
      <protection locked="0"/>
    </xf>
    <xf numFmtId="0" fontId="23" fillId="0" borderId="16" xfId="0" applyFont="1" applyBorder="1" applyAlignment="1">
      <alignment horizontal="center" vertical="center" wrapText="1"/>
    </xf>
    <xf numFmtId="0" fontId="23" fillId="0" borderId="16" xfId="0" quotePrefix="1" applyFont="1" applyBorder="1" applyAlignment="1">
      <alignment horizontal="center" vertical="center" wrapText="1"/>
    </xf>
    <xf numFmtId="0" fontId="23" fillId="0" borderId="16" xfId="0" applyFont="1" applyBorder="1" applyAlignment="1" applyProtection="1">
      <alignment vertical="center" wrapText="1"/>
      <protection locked="0"/>
    </xf>
    <xf numFmtId="0" fontId="23" fillId="0" borderId="0" xfId="0" applyFont="1" applyAlignment="1" applyProtection="1">
      <alignment horizontal="center" vertical="center" wrapText="1"/>
      <protection locked="0"/>
    </xf>
    <xf numFmtId="0" fontId="23" fillId="0" borderId="0" xfId="0" applyFont="1" applyAlignment="1">
      <alignment horizontal="center" vertical="center" wrapText="1"/>
    </xf>
    <xf numFmtId="0" fontId="23" fillId="0" borderId="0" xfId="0" quotePrefix="1" applyFont="1" applyAlignment="1">
      <alignment horizontal="center" vertical="center" wrapText="1"/>
    </xf>
    <xf numFmtId="0" fontId="23" fillId="0" borderId="0" xfId="0" applyFont="1" applyAlignment="1" applyProtection="1">
      <alignment vertical="center" wrapText="1"/>
      <protection locked="0"/>
    </xf>
    <xf numFmtId="0" fontId="23" fillId="0" borderId="5" xfId="0" applyFont="1" applyBorder="1" applyAlignment="1" applyProtection="1">
      <alignment horizontal="center" vertical="center" wrapText="1"/>
      <protection locked="0"/>
    </xf>
    <xf numFmtId="0" fontId="23" fillId="0" borderId="14" xfId="0" applyFont="1" applyBorder="1" applyAlignment="1" applyProtection="1">
      <alignment horizontal="center" vertical="center" wrapText="1"/>
      <protection locked="0"/>
    </xf>
    <xf numFmtId="168" fontId="3" fillId="0" borderId="1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6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49" fontId="24" fillId="0" borderId="0" xfId="0" applyNumberFormat="1" applyFont="1" applyAlignment="1">
      <alignment horizontal="center" vertical="center"/>
    </xf>
    <xf numFmtId="49" fontId="24" fillId="0" borderId="14" xfId="0" applyNumberFormat="1" applyFont="1" applyBorder="1" applyAlignment="1">
      <alignment horizontal="center" vertical="center"/>
    </xf>
    <xf numFmtId="49" fontId="24" fillId="0" borderId="5" xfId="0" applyNumberFormat="1" applyFont="1" applyBorder="1" applyAlignment="1">
      <alignment horizontal="left" vertical="center"/>
    </xf>
    <xf numFmtId="49" fontId="25" fillId="0" borderId="0" xfId="0" applyNumberFormat="1" applyFont="1" applyAlignment="1" applyProtection="1">
      <alignment horizontal="center" vertical="center"/>
      <protection locked="0"/>
    </xf>
    <xf numFmtId="49" fontId="25" fillId="0" borderId="0" xfId="0" applyNumberFormat="1" applyFont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49" fontId="26" fillId="0" borderId="5" xfId="0" applyNumberFormat="1" applyFont="1" applyBorder="1" applyAlignment="1">
      <alignment horizontal="left" vertical="center"/>
    </xf>
    <xf numFmtId="49" fontId="28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left" vertical="center"/>
    </xf>
    <xf numFmtId="49" fontId="28" fillId="0" borderId="5" xfId="0" applyNumberFormat="1" applyFont="1" applyBorder="1" applyAlignment="1">
      <alignment horizontal="right" vertical="center"/>
    </xf>
    <xf numFmtId="0" fontId="28" fillId="0" borderId="0" xfId="0" applyFont="1" applyAlignment="1">
      <alignment horizontal="left" vertical="center" wrapText="1"/>
    </xf>
    <xf numFmtId="0" fontId="24" fillId="0" borderId="9" xfId="0" applyFont="1" applyBorder="1" applyAlignment="1">
      <alignment horizontal="center" vertical="center"/>
    </xf>
    <xf numFmtId="49" fontId="25" fillId="0" borderId="0" xfId="0" applyNumberFormat="1" applyFont="1" applyAlignment="1">
      <alignment horizontal="left" vertical="center"/>
    </xf>
    <xf numFmtId="49" fontId="24" fillId="0" borderId="0" xfId="0" applyNumberFormat="1" applyFont="1" applyAlignment="1">
      <alignment horizontal="left" vertical="center"/>
    </xf>
    <xf numFmtId="0" fontId="24" fillId="0" borderId="0" xfId="0" applyFont="1" applyAlignment="1">
      <alignment horizontal="left" vertical="center" wrapText="1"/>
    </xf>
    <xf numFmtId="49" fontId="28" fillId="0" borderId="0" xfId="0" applyNumberFormat="1" applyFont="1" applyAlignment="1">
      <alignment horizontal="left" vertical="center"/>
    </xf>
    <xf numFmtId="0" fontId="24" fillId="0" borderId="5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49" fontId="29" fillId="0" borderId="3" xfId="0" applyNumberFormat="1" applyFont="1" applyBorder="1" applyAlignment="1" applyProtection="1">
      <alignment horizontal="center" vertical="center"/>
      <protection locked="0"/>
    </xf>
    <xf numFmtId="49" fontId="24" fillId="0" borderId="9" xfId="0" applyNumberFormat="1" applyFont="1" applyBorder="1" applyAlignment="1" applyProtection="1">
      <alignment horizontal="center" vertical="center"/>
      <protection locked="0"/>
    </xf>
    <xf numFmtId="49" fontId="24" fillId="0" borderId="0" xfId="0" applyNumberFormat="1" applyFont="1" applyAlignment="1" applyProtection="1">
      <alignment horizontal="center" vertical="center"/>
      <protection locked="0"/>
    </xf>
    <xf numFmtId="49" fontId="30" fillId="0" borderId="0" xfId="0" applyNumberFormat="1" applyFont="1" applyAlignment="1" applyProtection="1">
      <alignment horizontal="center" vertical="center"/>
      <protection locked="0"/>
    </xf>
    <xf numFmtId="0" fontId="28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49" fontId="31" fillId="0" borderId="14" xfId="0" applyNumberFormat="1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 wrapText="1"/>
    </xf>
    <xf numFmtId="0" fontId="26" fillId="6" borderId="2" xfId="0" applyFont="1" applyFill="1" applyBorder="1" applyAlignment="1">
      <alignment horizontal="center" vertical="center" wrapText="1"/>
    </xf>
    <xf numFmtId="0" fontId="26" fillId="6" borderId="6" xfId="0" applyFont="1" applyFill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 wrapText="1"/>
    </xf>
    <xf numFmtId="0" fontId="24" fillId="5" borderId="10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center" vertical="center" wrapText="1"/>
    </xf>
    <xf numFmtId="49" fontId="24" fillId="8" borderId="0" xfId="0" applyNumberFormat="1" applyFont="1" applyFill="1" applyAlignment="1">
      <alignment horizontal="center" vertical="center" wrapText="1"/>
    </xf>
    <xf numFmtId="0" fontId="24" fillId="8" borderId="0" xfId="0" applyFont="1" applyFill="1" applyAlignment="1">
      <alignment horizontal="center" vertical="center" wrapText="1"/>
    </xf>
    <xf numFmtId="0" fontId="26" fillId="5" borderId="8" xfId="0" applyFont="1" applyFill="1" applyBorder="1" applyAlignment="1">
      <alignment vertical="center" wrapText="1"/>
    </xf>
    <xf numFmtId="0" fontId="26" fillId="5" borderId="10" xfId="0" applyFont="1" applyFill="1" applyBorder="1" applyAlignment="1">
      <alignment vertical="center" wrapText="1"/>
    </xf>
    <xf numFmtId="0" fontId="26" fillId="5" borderId="10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26" fillId="5" borderId="2" xfId="0" applyFont="1" applyFill="1" applyBorder="1" applyAlignment="1">
      <alignment horizontal="center" vertical="center" wrapText="1"/>
    </xf>
    <xf numFmtId="49" fontId="32" fillId="5" borderId="6" xfId="0" applyNumberFormat="1" applyFont="1" applyFill="1" applyBorder="1" applyAlignment="1">
      <alignment horizontal="center" vertical="center" wrapText="1"/>
    </xf>
    <xf numFmtId="49" fontId="32" fillId="5" borderId="7" xfId="0" applyNumberFormat="1" applyFont="1" applyFill="1" applyBorder="1" applyAlignment="1">
      <alignment horizontal="center" vertical="center" wrapText="1"/>
    </xf>
    <xf numFmtId="49" fontId="32" fillId="5" borderId="10" xfId="0" applyNumberFormat="1" applyFont="1" applyFill="1" applyBorder="1" applyAlignment="1">
      <alignment horizontal="center" vertical="center" wrapText="1"/>
    </xf>
    <xf numFmtId="49" fontId="25" fillId="0" borderId="5" xfId="0" applyNumberFormat="1" applyFont="1" applyBorder="1" applyAlignment="1">
      <alignment horizontal="left" vertical="center"/>
    </xf>
    <xf numFmtId="0" fontId="24" fillId="0" borderId="14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26" fillId="6" borderId="1" xfId="0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0" fontId="25" fillId="0" borderId="14" xfId="0" applyFont="1" applyBorder="1" applyAlignment="1">
      <alignment vertical="center"/>
    </xf>
    <xf numFmtId="0" fontId="24" fillId="0" borderId="0" xfId="0" applyFont="1"/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horizontal="center" vertical="center"/>
    </xf>
    <xf numFmtId="0" fontId="24" fillId="0" borderId="14" xfId="0" applyFont="1" applyBorder="1" applyAlignment="1">
      <alignment vertical="center"/>
    </xf>
    <xf numFmtId="49" fontId="25" fillId="0" borderId="8" xfId="0" applyNumberFormat="1" applyFont="1" applyBorder="1" applyAlignment="1">
      <alignment horizontal="left" vertical="center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4" fillId="0" borderId="1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49" fontId="34" fillId="0" borderId="0" xfId="0" applyNumberFormat="1" applyFont="1" applyAlignment="1">
      <alignment horizontal="center" vertical="center"/>
    </xf>
    <xf numFmtId="49" fontId="34" fillId="0" borderId="14" xfId="0" applyNumberFormat="1" applyFont="1" applyBorder="1" applyAlignment="1">
      <alignment horizontal="center" vertical="center"/>
    </xf>
    <xf numFmtId="0" fontId="34" fillId="0" borderId="9" xfId="0" applyFont="1" applyBorder="1" applyAlignment="1">
      <alignment vertical="center"/>
    </xf>
    <xf numFmtId="0" fontId="35" fillId="0" borderId="9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49" fontId="24" fillId="0" borderId="5" xfId="0" applyNumberFormat="1" applyFont="1" applyBorder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6" fillId="0" borderId="0" xfId="0" applyNumberFormat="1" applyFont="1" applyAlignment="1" applyProtection="1">
      <alignment vertical="center"/>
      <protection locked="0"/>
    </xf>
    <xf numFmtId="49" fontId="26" fillId="0" borderId="9" xfId="0" applyNumberFormat="1" applyFont="1" applyBorder="1" applyAlignment="1" applyProtection="1">
      <alignment vertical="center"/>
      <protection locked="0"/>
    </xf>
    <xf numFmtId="0" fontId="26" fillId="0" borderId="0" xfId="0" applyFont="1" applyAlignment="1" applyProtection="1">
      <alignment horizontal="center"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26" fillId="0" borderId="0" xfId="0" applyFont="1" applyAlignment="1" applyProtection="1">
      <alignment vertical="center"/>
      <protection locked="0"/>
    </xf>
    <xf numFmtId="49" fontId="24" fillId="0" borderId="0" xfId="0" applyNumberFormat="1" applyFont="1" applyAlignment="1" applyProtection="1">
      <alignment vertical="center"/>
      <protection locked="0"/>
    </xf>
    <xf numFmtId="49" fontId="24" fillId="0" borderId="9" xfId="0" applyNumberFormat="1" applyFont="1" applyBorder="1" applyAlignment="1" applyProtection="1">
      <alignment vertical="center"/>
      <protection locked="0"/>
    </xf>
    <xf numFmtId="49" fontId="26" fillId="0" borderId="0" xfId="0" applyNumberFormat="1" applyFont="1" applyAlignment="1" applyProtection="1">
      <alignment horizontal="center"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49" fontId="28" fillId="0" borderId="0" xfId="0" applyNumberFormat="1" applyFont="1" applyAlignment="1" applyProtection="1">
      <alignment horizontal="center" vertical="center"/>
      <protection locked="0"/>
    </xf>
    <xf numFmtId="0" fontId="26" fillId="0" borderId="9" xfId="0" applyFont="1" applyBorder="1" applyAlignment="1">
      <alignment horizontal="center" vertical="center"/>
    </xf>
    <xf numFmtId="15" fontId="25" fillId="0" borderId="0" xfId="0" applyNumberFormat="1" applyFont="1" applyAlignment="1" applyProtection="1">
      <alignment vertical="center"/>
      <protection locked="0"/>
    </xf>
    <xf numFmtId="15" fontId="26" fillId="0" borderId="0" xfId="0" applyNumberFormat="1" applyFont="1" applyAlignment="1" applyProtection="1">
      <alignment vertical="center"/>
      <protection locked="0"/>
    </xf>
    <xf numFmtId="0" fontId="28" fillId="0" borderId="9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49" fontId="39" fillId="0" borderId="8" xfId="0" applyNumberFormat="1" applyFont="1" applyBorder="1" applyAlignment="1" applyProtection="1">
      <alignment vertical="center"/>
      <protection locked="0"/>
    </xf>
    <xf numFmtId="0" fontId="24" fillId="0" borderId="15" xfId="0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49" fontId="3" fillId="0" borderId="9" xfId="0" applyNumberFormat="1" applyFont="1" applyBorder="1" applyAlignment="1" applyProtection="1">
      <alignment horizontal="left" vertical="center"/>
      <protection locked="0"/>
    </xf>
    <xf numFmtId="49" fontId="3" fillId="0" borderId="3" xfId="0" applyNumberFormat="1" applyFont="1" applyBorder="1" applyAlignment="1" applyProtection="1">
      <alignment horizontal="left" vertical="center"/>
      <protection locked="0"/>
    </xf>
    <xf numFmtId="49" fontId="3" fillId="0" borderId="11" xfId="0" applyNumberFormat="1" applyFont="1" applyBorder="1" applyAlignment="1" applyProtection="1">
      <alignment horizontal="left" vertical="center"/>
      <protection locked="0"/>
    </xf>
    <xf numFmtId="0" fontId="3" fillId="0" borderId="3" xfId="0" applyFont="1" applyBorder="1" applyAlignment="1">
      <alignment horizontal="left" vertical="center"/>
    </xf>
    <xf numFmtId="165" fontId="3" fillId="0" borderId="11" xfId="0" applyNumberFormat="1" applyFont="1" applyBorder="1" applyAlignment="1" applyProtection="1">
      <alignment horizontal="left" vertical="center"/>
      <protection locked="0"/>
    </xf>
    <xf numFmtId="169" fontId="3" fillId="0" borderId="11" xfId="0" applyNumberFormat="1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center"/>
      <protection locked="0"/>
    </xf>
    <xf numFmtId="49" fontId="3" fillId="0" borderId="3" xfId="0" applyNumberFormat="1" applyFont="1" applyBorder="1" applyAlignment="1" applyProtection="1">
      <alignment horizontal="center" vertical="center"/>
      <protection locked="0"/>
    </xf>
    <xf numFmtId="164" fontId="3" fillId="0" borderId="9" xfId="0" applyNumberFormat="1" applyFont="1" applyBorder="1" applyAlignment="1" applyProtection="1">
      <alignment horizontal="center" vertical="center"/>
      <protection locked="0"/>
    </xf>
    <xf numFmtId="9" fontId="3" fillId="0" borderId="3" xfId="1" applyFont="1" applyFill="1" applyBorder="1" applyAlignment="1" applyProtection="1">
      <alignment horizontal="center" vertical="center"/>
      <protection locked="0"/>
    </xf>
    <xf numFmtId="0" fontId="13" fillId="0" borderId="2" xfId="0" applyFont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3" fillId="0" borderId="9" xfId="0" applyFont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14" fontId="17" fillId="0" borderId="0" xfId="3" applyNumberFormat="1" applyFont="1" applyFill="1" applyProtection="1"/>
    <xf numFmtId="49" fontId="3" fillId="0" borderId="18" xfId="0" applyNumberFormat="1" applyFont="1" applyBorder="1" applyAlignment="1">
      <alignment vertical="center"/>
    </xf>
    <xf numFmtId="0" fontId="33" fillId="6" borderId="1" xfId="0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horizontal="center" vertical="center" wrapText="1"/>
    </xf>
    <xf numFmtId="49" fontId="24" fillId="0" borderId="0" xfId="0" applyNumberFormat="1" applyFont="1" applyAlignment="1">
      <alignment horizontal="right" vertical="center"/>
    </xf>
    <xf numFmtId="49" fontId="24" fillId="0" borderId="9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 applyProtection="1">
      <alignment horizontal="center" vertical="center"/>
      <protection locked="0"/>
    </xf>
    <xf numFmtId="0" fontId="21" fillId="0" borderId="17" xfId="3" applyFont="1" applyFill="1" applyBorder="1" applyProtection="1"/>
    <xf numFmtId="0" fontId="21" fillId="0" borderId="0" xfId="3" applyFont="1" applyFill="1" applyAlignment="1" applyProtection="1">
      <alignment horizontal="right"/>
    </xf>
    <xf numFmtId="49" fontId="17" fillId="0" borderId="0" xfId="3" applyNumberFormat="1" applyFont="1" applyFill="1" applyAlignment="1" applyProtection="1">
      <alignment horizontal="right" vertical="center"/>
    </xf>
    <xf numFmtId="0" fontId="21" fillId="0" borderId="17" xfId="3" applyFont="1" applyBorder="1" applyAlignment="1">
      <alignment horizontal="left"/>
    </xf>
    <xf numFmtId="0" fontId="21" fillId="0" borderId="0" xfId="3" applyFont="1" applyAlignment="1">
      <alignment horizontal="left"/>
    </xf>
    <xf numFmtId="0" fontId="21" fillId="0" borderId="0" xfId="3" applyFont="1" applyFill="1" applyProtection="1"/>
    <xf numFmtId="0" fontId="21" fillId="0" borderId="17" xfId="3" applyFont="1" applyBorder="1" applyAlignment="1">
      <alignment horizontal="center"/>
    </xf>
    <xf numFmtId="0" fontId="21" fillId="0" borderId="0" xfId="3" applyFont="1" applyAlignment="1">
      <alignment horizontal="center"/>
    </xf>
    <xf numFmtId="0" fontId="28" fillId="0" borderId="10" xfId="0" applyFont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 wrapText="1"/>
    </xf>
    <xf numFmtId="49" fontId="32" fillId="5" borderId="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Border="1" applyAlignment="1">
      <alignment vertical="center"/>
    </xf>
    <xf numFmtId="49" fontId="3" fillId="0" borderId="13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49" fontId="3" fillId="0" borderId="15" xfId="0" applyNumberFormat="1" applyFont="1" applyBorder="1" applyAlignment="1">
      <alignment vertical="center"/>
    </xf>
    <xf numFmtId="0" fontId="38" fillId="0" borderId="0" xfId="0" applyFont="1" applyAlignment="1">
      <alignment horizontal="right" vertical="center"/>
    </xf>
    <xf numFmtId="49" fontId="29" fillId="0" borderId="9" xfId="0" applyNumberFormat="1" applyFont="1" applyBorder="1" applyAlignment="1" applyProtection="1">
      <alignment horizontal="center" vertical="center"/>
      <protection locked="0"/>
    </xf>
    <xf numFmtId="0" fontId="24" fillId="0" borderId="9" xfId="0" applyFont="1" applyBorder="1" applyAlignment="1">
      <alignment horizontal="left" vertical="center"/>
    </xf>
    <xf numFmtId="49" fontId="24" fillId="0" borderId="3" xfId="0" applyNumberFormat="1" applyFont="1" applyBorder="1" applyAlignment="1">
      <alignment horizontal="left" vertical="center"/>
    </xf>
    <xf numFmtId="0" fontId="24" fillId="0" borderId="20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49" fontId="24" fillId="0" borderId="9" xfId="0" applyNumberFormat="1" applyFont="1" applyBorder="1" applyAlignment="1" applyProtection="1">
      <alignment horizontal="left" vertical="center"/>
      <protection locked="0"/>
    </xf>
    <xf numFmtId="170" fontId="3" fillId="0" borderId="11" xfId="0" applyNumberFormat="1" applyFont="1" applyBorder="1" applyAlignment="1" applyProtection="1">
      <alignment horizontal="left" vertical="center"/>
      <protection locked="0"/>
    </xf>
    <xf numFmtId="168" fontId="3" fillId="0" borderId="1" xfId="0" applyNumberFormat="1" applyFont="1" applyBorder="1" applyAlignment="1" applyProtection="1">
      <alignment horizontal="center" vertical="center" wrapText="1"/>
      <protection locked="0"/>
    </xf>
    <xf numFmtId="168" fontId="3" fillId="5" borderId="1" xfId="0" applyNumberFormat="1" applyFont="1" applyFill="1" applyBorder="1" applyAlignment="1">
      <alignment horizontal="center" vertical="center" wrapText="1"/>
    </xf>
    <xf numFmtId="168" fontId="3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38" fillId="0" borderId="4" xfId="0" applyFont="1" applyBorder="1" applyAlignment="1">
      <alignment horizontal="center" vertical="center"/>
    </xf>
    <xf numFmtId="0" fontId="20" fillId="0" borderId="16" xfId="3" applyFont="1" applyFill="1" applyBorder="1" applyAlignment="1" applyProtection="1">
      <alignment horizontal="center" vertical="top"/>
    </xf>
    <xf numFmtId="0" fontId="17" fillId="0" borderId="1" xfId="3" applyFont="1" applyFill="1" applyBorder="1" applyAlignment="1" applyProtection="1">
      <alignment horizontal="center" vertical="center"/>
    </xf>
    <xf numFmtId="0" fontId="20" fillId="0" borderId="0" xfId="3" applyFont="1" applyFill="1" applyAlignment="1" applyProtection="1">
      <alignment horizontal="left" vertical="center" wrapText="1"/>
    </xf>
    <xf numFmtId="49" fontId="21" fillId="0" borderId="1" xfId="3" applyNumberFormat="1" applyFont="1" applyFill="1" applyBorder="1" applyAlignment="1" applyProtection="1">
      <alignment horizontal="center" vertical="center"/>
    </xf>
    <xf numFmtId="167" fontId="15" fillId="0" borderId="0" xfId="3" applyNumberFormat="1" applyFont="1" applyFill="1" applyAlignment="1" applyProtection="1">
      <alignment horizontal="left"/>
    </xf>
    <xf numFmtId="49" fontId="17" fillId="0" borderId="1" xfId="3" applyNumberFormat="1" applyFont="1" applyFill="1" applyBorder="1" applyAlignment="1" applyProtection="1">
      <alignment horizontal="center" vertical="center"/>
    </xf>
    <xf numFmtId="49" fontId="17" fillId="0" borderId="1" xfId="3" applyNumberFormat="1" applyFont="1" applyFill="1" applyBorder="1" applyAlignment="1" applyProtection="1">
      <alignment horizontal="center" vertical="center"/>
      <protection locked="0"/>
    </xf>
    <xf numFmtId="0" fontId="17" fillId="0" borderId="1" xfId="3" applyFont="1" applyFill="1" applyBorder="1" applyAlignment="1" applyProtection="1">
      <alignment horizontal="center" vertical="center" wrapText="1"/>
    </xf>
    <xf numFmtId="0" fontId="15" fillId="0" borderId="0" xfId="3" applyFont="1" applyFill="1" applyAlignment="1" applyProtection="1">
      <alignment horizontal="center"/>
    </xf>
    <xf numFmtId="49" fontId="16" fillId="0" borderId="5" xfId="3" applyNumberFormat="1" applyFont="1" applyFill="1" applyBorder="1" applyAlignment="1" applyProtection="1">
      <alignment horizontal="left"/>
    </xf>
    <xf numFmtId="49" fontId="16" fillId="0" borderId="0" xfId="3" applyNumberFormat="1" applyFont="1" applyFill="1" applyAlignment="1" applyProtection="1">
      <alignment horizontal="left"/>
    </xf>
    <xf numFmtId="0" fontId="15" fillId="0" borderId="1" xfId="3" applyFont="1" applyFill="1" applyBorder="1" applyAlignment="1" applyProtection="1">
      <alignment horizontal="center" vertical="center"/>
    </xf>
    <xf numFmtId="49" fontId="17" fillId="4" borderId="1" xfId="3" applyNumberFormat="1" applyFont="1" applyFill="1" applyBorder="1" applyAlignment="1" applyProtection="1">
      <alignment horizontal="center" vertical="center"/>
    </xf>
    <xf numFmtId="49" fontId="17" fillId="4" borderId="9" xfId="3" applyNumberFormat="1" applyFont="1" applyFill="1" applyBorder="1" applyAlignment="1" applyProtection="1">
      <alignment horizontal="center" vertical="center"/>
    </xf>
    <xf numFmtId="170" fontId="17" fillId="4" borderId="1" xfId="3" applyNumberFormat="1" applyFont="1" applyFill="1" applyBorder="1" applyAlignment="1" applyProtection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left" vertical="center"/>
    </xf>
    <xf numFmtId="165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165" fontId="3" fillId="0" borderId="9" xfId="0" applyNumberFormat="1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4" borderId="10" xfId="0" applyFont="1" applyFill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49" fontId="3" fillId="0" borderId="9" xfId="0" applyNumberFormat="1" applyFont="1" applyBorder="1" applyAlignment="1" applyProtection="1">
      <alignment horizontal="center" vertical="center"/>
      <protection locked="0"/>
    </xf>
    <xf numFmtId="0" fontId="3" fillId="4" borderId="12" xfId="0" applyFont="1" applyFill="1" applyBorder="1" applyAlignment="1" applyProtection="1">
      <alignment horizontal="center" vertical="center" wrapText="1"/>
      <protection locked="0"/>
    </xf>
    <xf numFmtId="0" fontId="3" fillId="4" borderId="16" xfId="0" applyFont="1" applyFill="1" applyBorder="1" applyAlignment="1" applyProtection="1">
      <alignment horizontal="center" vertical="center" wrapText="1"/>
      <protection locked="0"/>
    </xf>
    <xf numFmtId="0" fontId="3" fillId="4" borderId="13" xfId="0" applyFont="1" applyFill="1" applyBorder="1" applyAlignment="1" applyProtection="1">
      <alignment horizontal="center" vertical="center" wrapText="1"/>
      <protection locked="0"/>
    </xf>
    <xf numFmtId="0" fontId="3" fillId="4" borderId="5" xfId="0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Alignment="1" applyProtection="1">
      <alignment horizontal="center" vertical="center" wrapText="1"/>
      <protection locked="0"/>
    </xf>
    <xf numFmtId="0" fontId="3" fillId="4" borderId="14" xfId="0" applyFont="1" applyFill="1" applyBorder="1" applyAlignment="1" applyProtection="1">
      <alignment horizontal="center" vertical="center" wrapText="1"/>
      <protection locked="0"/>
    </xf>
    <xf numFmtId="0" fontId="3" fillId="4" borderId="8" xfId="0" applyFont="1" applyFill="1" applyBorder="1" applyAlignment="1" applyProtection="1">
      <alignment horizontal="center" vertical="center" wrapText="1"/>
      <protection locked="0"/>
    </xf>
    <xf numFmtId="0" fontId="3" fillId="4" borderId="9" xfId="0" applyFont="1" applyFill="1" applyBorder="1" applyAlignment="1" applyProtection="1">
      <alignment horizontal="center" vertical="center" wrapText="1"/>
      <protection locked="0"/>
    </xf>
    <xf numFmtId="0" fontId="3" fillId="4" borderId="15" xfId="0" applyFont="1" applyFill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 applyProtection="1">
      <alignment horizontal="center" vertical="center" wrapText="1"/>
      <protection locked="0"/>
    </xf>
    <xf numFmtId="0" fontId="23" fillId="0" borderId="0" xfId="0" applyFont="1" applyAlignment="1" applyProtection="1">
      <alignment horizontal="center" vertical="center" wrapText="1"/>
      <protection locked="0"/>
    </xf>
    <xf numFmtId="0" fontId="23" fillId="0" borderId="16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14" xfId="0" applyFont="1" applyBorder="1" applyAlignment="1" applyProtection="1">
      <alignment horizontal="center" vertical="center" wrapText="1"/>
      <protection locked="0"/>
    </xf>
    <xf numFmtId="49" fontId="4" fillId="0" borderId="9" xfId="0" applyNumberFormat="1" applyFont="1" applyBorder="1" applyAlignment="1">
      <alignment horizontal="center" vertical="center"/>
    </xf>
    <xf numFmtId="0" fontId="4" fillId="0" borderId="9" xfId="0" applyFont="1" applyBorder="1" applyAlignment="1" applyProtection="1">
      <alignment horizontal="center" vertical="center"/>
      <protection locked="0"/>
    </xf>
    <xf numFmtId="49" fontId="4" fillId="0" borderId="9" xfId="0" applyNumberFormat="1" applyFont="1" applyBorder="1" applyAlignment="1" applyProtection="1">
      <alignment horizontal="center" vertical="center"/>
      <protection locked="0"/>
    </xf>
    <xf numFmtId="0" fontId="23" fillId="0" borderId="16" xfId="0" applyFont="1" applyBorder="1" applyAlignment="1" applyProtection="1">
      <alignment horizontal="center" vertical="center" wrapText="1"/>
      <protection locked="0"/>
    </xf>
    <xf numFmtId="0" fontId="23" fillId="0" borderId="13" xfId="0" applyFont="1" applyBorder="1" applyAlignment="1" applyProtection="1">
      <alignment horizontal="center" vertical="center" wrapText="1"/>
      <protection locked="0"/>
    </xf>
    <xf numFmtId="0" fontId="23" fillId="0" borderId="12" xfId="0" applyFont="1" applyBorder="1" applyAlignment="1" applyProtection="1">
      <alignment horizontal="center" vertical="center" wrapText="1"/>
      <protection locked="0"/>
    </xf>
    <xf numFmtId="0" fontId="34" fillId="0" borderId="6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34" fillId="0" borderId="13" xfId="0" applyFont="1" applyBorder="1" applyAlignment="1">
      <alignment horizontal="center" vertical="center"/>
    </xf>
    <xf numFmtId="0" fontId="34" fillId="0" borderId="8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168" fontId="25" fillId="0" borderId="6" xfId="0" applyNumberFormat="1" applyFont="1" applyBorder="1" applyAlignment="1">
      <alignment horizontal="center" vertical="center" wrapText="1"/>
    </xf>
    <xf numFmtId="168" fontId="25" fillId="0" borderId="10" xfId="0" applyNumberFormat="1" applyFont="1" applyBorder="1" applyAlignment="1">
      <alignment horizontal="center" vertical="center" wrapText="1"/>
    </xf>
    <xf numFmtId="168" fontId="34" fillId="0" borderId="6" xfId="0" applyNumberFormat="1" applyFont="1" applyBorder="1" applyAlignment="1">
      <alignment horizontal="center" vertical="center"/>
    </xf>
    <xf numFmtId="168" fontId="34" fillId="0" borderId="10" xfId="0" applyNumberFormat="1" applyFont="1" applyBorder="1" applyAlignment="1">
      <alignment horizontal="center" vertical="center"/>
    </xf>
    <xf numFmtId="0" fontId="34" fillId="0" borderId="6" xfId="0" quotePrefix="1" applyFont="1" applyBorder="1" applyAlignment="1">
      <alignment horizontal="center" vertical="center"/>
    </xf>
    <xf numFmtId="0" fontId="34" fillId="0" borderId="10" xfId="0" quotePrefix="1" applyFont="1" applyBorder="1" applyAlignment="1">
      <alignment horizontal="center" vertical="center"/>
    </xf>
    <xf numFmtId="49" fontId="28" fillId="0" borderId="6" xfId="0" applyNumberFormat="1" applyFont="1" applyBorder="1" applyAlignment="1">
      <alignment horizontal="center" vertical="center" wrapText="1"/>
    </xf>
    <xf numFmtId="49" fontId="28" fillId="0" borderId="10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/>
    </xf>
    <xf numFmtId="168" fontId="34" fillId="0" borderId="6" xfId="0" applyNumberFormat="1" applyFont="1" applyBorder="1" applyAlignment="1">
      <alignment horizontal="center" vertical="center" wrapText="1"/>
    </xf>
    <xf numFmtId="168" fontId="34" fillId="0" borderId="10" xfId="0" applyNumberFormat="1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4" fillId="0" borderId="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6" borderId="1" xfId="0" applyFont="1" applyFill="1" applyBorder="1" applyAlignment="1">
      <alignment horizontal="center" vertical="center"/>
    </xf>
    <xf numFmtId="0" fontId="26" fillId="6" borderId="12" xfId="0" applyFont="1" applyFill="1" applyBorder="1" applyAlignment="1">
      <alignment horizontal="center" vertical="center"/>
    </xf>
    <xf numFmtId="0" fontId="26" fillId="6" borderId="13" xfId="0" applyFont="1" applyFill="1" applyBorder="1" applyAlignment="1">
      <alignment horizontal="center" vertical="center"/>
    </xf>
    <xf numFmtId="0" fontId="26" fillId="6" borderId="8" xfId="0" applyFont="1" applyFill="1" applyBorder="1" applyAlignment="1">
      <alignment horizontal="center" vertical="center"/>
    </xf>
    <xf numFmtId="0" fontId="26" fillId="6" borderId="15" xfId="0" applyFont="1" applyFill="1" applyBorder="1" applyAlignment="1">
      <alignment horizontal="center" vertical="center"/>
    </xf>
    <xf numFmtId="0" fontId="26" fillId="6" borderId="6" xfId="0" applyFont="1" applyFill="1" applyBorder="1" applyAlignment="1">
      <alignment horizontal="center" vertical="center" wrapText="1"/>
    </xf>
    <xf numFmtId="0" fontId="26" fillId="6" borderId="10" xfId="0" applyFont="1" applyFill="1" applyBorder="1" applyAlignment="1">
      <alignment horizontal="center" vertical="center" wrapText="1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26" fillId="6" borderId="4" xfId="0" applyFont="1" applyFill="1" applyBorder="1" applyAlignment="1">
      <alignment horizontal="center" vertical="center"/>
    </xf>
    <xf numFmtId="0" fontId="26" fillId="6" borderId="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49" fontId="26" fillId="6" borderId="6" xfId="0" applyNumberFormat="1" applyFont="1" applyFill="1" applyBorder="1" applyAlignment="1">
      <alignment horizontal="center" vertical="center"/>
    </xf>
    <xf numFmtId="49" fontId="26" fillId="6" borderId="10" xfId="0" applyNumberFormat="1" applyFont="1" applyFill="1" applyBorder="1" applyAlignment="1">
      <alignment horizontal="center" vertical="center"/>
    </xf>
    <xf numFmtId="0" fontId="26" fillId="6" borderId="12" xfId="0" applyFont="1" applyFill="1" applyBorder="1" applyAlignment="1">
      <alignment horizontal="center" vertical="center" wrapText="1"/>
    </xf>
    <xf numFmtId="0" fontId="26" fillId="6" borderId="13" xfId="0" applyFont="1" applyFill="1" applyBorder="1" applyAlignment="1">
      <alignment horizontal="center" vertical="center" wrapText="1"/>
    </xf>
    <xf numFmtId="0" fontId="26" fillId="6" borderId="8" xfId="0" applyFont="1" applyFill="1" applyBorder="1" applyAlignment="1">
      <alignment horizontal="center" vertical="center" wrapText="1"/>
    </xf>
    <xf numFmtId="0" fontId="26" fillId="6" borderId="15" xfId="0" applyFont="1" applyFill="1" applyBorder="1" applyAlignment="1">
      <alignment horizontal="center" vertical="center" wrapText="1"/>
    </xf>
    <xf numFmtId="49" fontId="32" fillId="0" borderId="3" xfId="0" applyNumberFormat="1" applyFont="1" applyBorder="1" applyAlignment="1">
      <alignment horizontal="center" vertical="center" wrapText="1"/>
    </xf>
    <xf numFmtId="49" fontId="32" fillId="0" borderId="3" xfId="0" applyNumberFormat="1" applyFont="1" applyBorder="1" applyAlignment="1">
      <alignment horizontal="center" vertical="center"/>
    </xf>
    <xf numFmtId="168" fontId="32" fillId="0" borderId="6" xfId="0" applyNumberFormat="1" applyFont="1" applyBorder="1" applyAlignment="1">
      <alignment horizontal="center" vertical="center" wrapText="1"/>
    </xf>
    <xf numFmtId="168" fontId="32" fillId="0" borderId="7" xfId="0" applyNumberFormat="1" applyFont="1" applyBorder="1" applyAlignment="1">
      <alignment horizontal="center" vertical="center" wrapText="1"/>
    </xf>
    <xf numFmtId="168" fontId="32" fillId="0" borderId="10" xfId="0" applyNumberFormat="1" applyFont="1" applyBorder="1" applyAlignment="1">
      <alignment horizontal="center" vertical="center" wrapText="1"/>
    </xf>
    <xf numFmtId="49" fontId="32" fillId="0" borderId="6" xfId="0" applyNumberFormat="1" applyFont="1" applyBorder="1" applyAlignment="1">
      <alignment horizontal="center" vertical="center" wrapText="1"/>
    </xf>
    <xf numFmtId="49" fontId="32" fillId="0" borderId="7" xfId="0" applyNumberFormat="1" applyFont="1" applyBorder="1" applyAlignment="1">
      <alignment horizontal="center" vertical="center" wrapText="1"/>
    </xf>
    <xf numFmtId="49" fontId="32" fillId="0" borderId="10" xfId="0" applyNumberFormat="1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49" fontId="25" fillId="9" borderId="10" xfId="0" applyNumberFormat="1" applyFont="1" applyFill="1" applyBorder="1" applyAlignment="1">
      <alignment horizontal="center" vertical="center"/>
    </xf>
    <xf numFmtId="49" fontId="25" fillId="9" borderId="1" xfId="0" applyNumberFormat="1" applyFont="1" applyFill="1" applyBorder="1" applyAlignment="1">
      <alignment horizontal="center" vertical="center"/>
    </xf>
    <xf numFmtId="49" fontId="32" fillId="0" borderId="9" xfId="0" applyNumberFormat="1" applyFont="1" applyBorder="1" applyAlignment="1">
      <alignment horizontal="center" vertical="center" wrapText="1"/>
    </xf>
    <xf numFmtId="49" fontId="32" fillId="5" borderId="2" xfId="0" applyNumberFormat="1" applyFont="1" applyFill="1" applyBorder="1" applyAlignment="1">
      <alignment horizontal="center" vertical="center" wrapText="1"/>
    </xf>
    <xf numFmtId="0" fontId="32" fillId="0" borderId="26" xfId="0" applyFont="1" applyBorder="1" applyAlignment="1">
      <alignment horizontal="center" vertical="center"/>
    </xf>
    <xf numFmtId="0" fontId="32" fillId="0" borderId="21" xfId="0" applyFont="1" applyBorder="1" applyAlignment="1">
      <alignment horizontal="center" vertical="center"/>
    </xf>
    <xf numFmtId="0" fontId="32" fillId="0" borderId="23" xfId="0" applyFont="1" applyBorder="1" applyAlignment="1">
      <alignment horizontal="center" vertical="center"/>
    </xf>
    <xf numFmtId="49" fontId="32" fillId="0" borderId="27" xfId="0" applyNumberFormat="1" applyFont="1" applyBorder="1" applyAlignment="1">
      <alignment horizontal="center" vertical="center" wrapText="1"/>
    </xf>
    <xf numFmtId="49" fontId="32" fillId="0" borderId="18" xfId="0" applyNumberFormat="1" applyFont="1" applyBorder="1" applyAlignment="1">
      <alignment horizontal="center" vertical="center" wrapText="1"/>
    </xf>
    <xf numFmtId="49" fontId="32" fillId="0" borderId="28" xfId="0" applyNumberFormat="1" applyFont="1" applyBorder="1" applyAlignment="1">
      <alignment horizontal="center" vertical="center" wrapText="1"/>
    </xf>
    <xf numFmtId="49" fontId="32" fillId="0" borderId="29" xfId="0" applyNumberFormat="1" applyFont="1" applyBorder="1" applyAlignment="1">
      <alignment horizontal="center" vertical="center" wrapText="1"/>
    </xf>
    <xf numFmtId="49" fontId="32" fillId="0" borderId="0" xfId="0" applyNumberFormat="1" applyFont="1" applyAlignment="1">
      <alignment horizontal="center" vertical="center" wrapText="1"/>
    </xf>
    <xf numFmtId="49" fontId="32" fillId="0" borderId="14" xfId="0" applyNumberFormat="1" applyFont="1" applyBorder="1" applyAlignment="1">
      <alignment horizontal="center" vertical="center" wrapText="1"/>
    </xf>
    <xf numFmtId="49" fontId="32" fillId="0" borderId="24" xfId="0" applyNumberFormat="1" applyFont="1" applyBorder="1" applyAlignment="1">
      <alignment horizontal="center" vertical="center" wrapText="1"/>
    </xf>
    <xf numFmtId="49" fontId="32" fillId="0" borderId="11" xfId="0" applyNumberFormat="1" applyFont="1" applyBorder="1" applyAlignment="1">
      <alignment horizontal="center" vertical="center" wrapText="1"/>
    </xf>
    <xf numFmtId="49" fontId="32" fillId="0" borderId="25" xfId="0" applyNumberFormat="1" applyFont="1" applyBorder="1" applyAlignment="1">
      <alignment horizontal="center" vertical="center" wrapText="1"/>
    </xf>
    <xf numFmtId="49" fontId="32" fillId="5" borderId="6" xfId="0" applyNumberFormat="1" applyFont="1" applyFill="1" applyBorder="1" applyAlignment="1">
      <alignment horizontal="center" vertical="center" wrapText="1"/>
    </xf>
    <xf numFmtId="49" fontId="32" fillId="5" borderId="7" xfId="0" applyNumberFormat="1" applyFont="1" applyFill="1" applyBorder="1" applyAlignment="1">
      <alignment horizontal="center" vertical="center" wrapText="1"/>
    </xf>
    <xf numFmtId="49" fontId="32" fillId="5" borderId="10" xfId="0" applyNumberFormat="1" applyFont="1" applyFill="1" applyBorder="1" applyAlignment="1">
      <alignment horizontal="center" vertical="center" wrapText="1"/>
    </xf>
    <xf numFmtId="0" fontId="32" fillId="0" borderId="26" xfId="0" applyFont="1" applyBorder="1" applyAlignment="1">
      <alignment horizontal="center" vertical="center" wrapText="1"/>
    </xf>
    <xf numFmtId="0" fontId="32" fillId="0" borderId="21" xfId="0" applyFont="1" applyBorder="1" applyAlignment="1">
      <alignment horizontal="center" vertical="center" wrapText="1"/>
    </xf>
    <xf numFmtId="49" fontId="32" fillId="4" borderId="27" xfId="0" applyNumberFormat="1" applyFont="1" applyFill="1" applyBorder="1" applyAlignment="1">
      <alignment horizontal="center" vertical="center" wrapText="1"/>
    </xf>
    <xf numFmtId="49" fontId="32" fillId="4" borderId="18" xfId="0" applyNumberFormat="1" applyFont="1" applyFill="1" applyBorder="1" applyAlignment="1">
      <alignment horizontal="center" vertical="center" wrapText="1"/>
    </xf>
    <xf numFmtId="49" fontId="32" fillId="4" borderId="28" xfId="0" applyNumberFormat="1" applyFont="1" applyFill="1" applyBorder="1" applyAlignment="1">
      <alignment horizontal="center" vertical="center" wrapText="1"/>
    </xf>
    <xf numFmtId="49" fontId="32" fillId="4" borderId="29" xfId="0" applyNumberFormat="1" applyFont="1" applyFill="1" applyBorder="1" applyAlignment="1">
      <alignment horizontal="center" vertical="center" wrapText="1"/>
    </xf>
    <xf numFmtId="49" fontId="32" fillId="4" borderId="0" xfId="0" applyNumberFormat="1" applyFont="1" applyFill="1" applyAlignment="1">
      <alignment horizontal="center" vertical="center" wrapText="1"/>
    </xf>
    <xf numFmtId="49" fontId="32" fillId="4" borderId="14" xfId="0" applyNumberFormat="1" applyFont="1" applyFill="1" applyBorder="1" applyAlignment="1">
      <alignment horizontal="center" vertical="center" wrapText="1"/>
    </xf>
    <xf numFmtId="49" fontId="32" fillId="4" borderId="24" xfId="0" applyNumberFormat="1" applyFont="1" applyFill="1" applyBorder="1" applyAlignment="1">
      <alignment horizontal="center" vertical="center" wrapText="1"/>
    </xf>
    <xf numFmtId="49" fontId="32" fillId="4" borderId="11" xfId="0" applyNumberFormat="1" applyFont="1" applyFill="1" applyBorder="1" applyAlignment="1">
      <alignment horizontal="center" vertical="center" wrapText="1"/>
    </xf>
    <xf numFmtId="49" fontId="32" fillId="4" borderId="25" xfId="0" applyNumberFormat="1" applyFont="1" applyFill="1" applyBorder="1" applyAlignment="1">
      <alignment horizontal="center" vertical="center" wrapText="1"/>
    </xf>
    <xf numFmtId="0" fontId="32" fillId="0" borderId="23" xfId="0" applyFont="1" applyBorder="1" applyAlignment="1">
      <alignment horizontal="center" vertical="center" wrapText="1"/>
    </xf>
    <xf numFmtId="49" fontId="32" fillId="0" borderId="1" xfId="0" quotePrefix="1" applyNumberFormat="1" applyFont="1" applyBorder="1" applyAlignment="1">
      <alignment horizontal="center" vertical="center" wrapText="1"/>
    </xf>
    <xf numFmtId="0" fontId="26" fillId="6" borderId="2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0" fontId="26" fillId="6" borderId="1" xfId="0" applyFont="1" applyFill="1" applyBorder="1" applyAlignment="1">
      <alignment horizontal="center" vertical="center" wrapText="1"/>
    </xf>
    <xf numFmtId="0" fontId="26" fillId="6" borderId="21" xfId="0" applyFont="1" applyFill="1" applyBorder="1" applyAlignment="1">
      <alignment horizontal="center" vertical="center"/>
    </xf>
    <xf numFmtId="0" fontId="26" fillId="6" borderId="23" xfId="0" applyFont="1" applyFill="1" applyBorder="1" applyAlignment="1">
      <alignment horizontal="center" vertical="center"/>
    </xf>
    <xf numFmtId="0" fontId="26" fillId="6" borderId="22" xfId="0" applyFont="1" applyFill="1" applyBorder="1" applyAlignment="1">
      <alignment horizontal="center" vertical="center" wrapText="1"/>
    </xf>
    <xf numFmtId="0" fontId="26" fillId="6" borderId="16" xfId="0" applyFont="1" applyFill="1" applyBorder="1" applyAlignment="1">
      <alignment horizontal="center" vertical="center" wrapText="1"/>
    </xf>
    <xf numFmtId="0" fontId="26" fillId="6" borderId="24" xfId="0" applyFont="1" applyFill="1" applyBorder="1" applyAlignment="1">
      <alignment horizontal="center" vertical="center" wrapText="1"/>
    </xf>
    <xf numFmtId="0" fontId="26" fillId="6" borderId="11" xfId="0" applyFont="1" applyFill="1" applyBorder="1" applyAlignment="1">
      <alignment horizontal="center" vertical="center" wrapText="1"/>
    </xf>
    <xf numFmtId="0" fontId="26" fillId="6" borderId="25" xfId="0" applyFont="1" applyFill="1" applyBorder="1" applyAlignment="1">
      <alignment horizontal="center" vertical="center" wrapText="1"/>
    </xf>
    <xf numFmtId="0" fontId="33" fillId="6" borderId="10" xfId="0" applyFont="1" applyFill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49" fontId="24" fillId="5" borderId="10" xfId="0" applyNumberFormat="1" applyFont="1" applyFill="1" applyBorder="1" applyAlignment="1">
      <alignment horizontal="center" vertical="center" wrapText="1"/>
    </xf>
    <xf numFmtId="49" fontId="24" fillId="5" borderId="1" xfId="0" applyNumberFormat="1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/>
    </xf>
    <xf numFmtId="0" fontId="24" fillId="5" borderId="14" xfId="0" applyFont="1" applyFill="1" applyBorder="1" applyAlignment="1">
      <alignment horizontal="center" vertical="center"/>
    </xf>
    <xf numFmtId="49" fontId="32" fillId="0" borderId="1" xfId="0" applyNumberFormat="1" applyFont="1" applyBorder="1" applyAlignment="1">
      <alignment horizontal="center" vertical="center" wrapText="1"/>
    </xf>
    <xf numFmtId="0" fontId="26" fillId="6" borderId="5" xfId="0" applyFont="1" applyFill="1" applyBorder="1" applyAlignment="1">
      <alignment horizontal="center" vertical="center"/>
    </xf>
    <xf numFmtId="0" fontId="26" fillId="6" borderId="14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2" fillId="0" borderId="8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49" fontId="32" fillId="0" borderId="12" xfId="0" applyNumberFormat="1" applyFont="1" applyBorder="1" applyAlignment="1">
      <alignment horizontal="center" vertical="center" wrapText="1"/>
    </xf>
    <xf numFmtId="49" fontId="32" fillId="0" borderId="13" xfId="0" applyNumberFormat="1" applyFont="1" applyBorder="1" applyAlignment="1">
      <alignment horizontal="center" vertical="center" wrapText="1"/>
    </xf>
    <xf numFmtId="49" fontId="32" fillId="0" borderId="5" xfId="0" applyNumberFormat="1" applyFont="1" applyBorder="1" applyAlignment="1">
      <alignment horizontal="center" vertical="center" wrapText="1"/>
    </xf>
    <xf numFmtId="49" fontId="32" fillId="0" borderId="8" xfId="0" applyNumberFormat="1" applyFont="1" applyBorder="1" applyAlignment="1">
      <alignment horizontal="center" vertical="center" wrapText="1"/>
    </xf>
    <xf numFmtId="49" fontId="32" fillId="0" borderId="15" xfId="0" applyNumberFormat="1" applyFont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49" fontId="32" fillId="0" borderId="16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49" fontId="32" fillId="4" borderId="1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49" fontId="32" fillId="0" borderId="12" xfId="0" quotePrefix="1" applyNumberFormat="1" applyFont="1" applyBorder="1" applyAlignment="1">
      <alignment horizontal="center" vertical="center" wrapText="1"/>
    </xf>
    <xf numFmtId="49" fontId="32" fillId="0" borderId="16" xfId="0" quotePrefix="1" applyNumberFormat="1" applyFont="1" applyBorder="1" applyAlignment="1">
      <alignment horizontal="center" vertical="center" wrapText="1"/>
    </xf>
    <xf numFmtId="49" fontId="32" fillId="0" borderId="13" xfId="0" quotePrefix="1" applyNumberFormat="1" applyFont="1" applyBorder="1" applyAlignment="1">
      <alignment horizontal="center" vertical="center" wrapText="1"/>
    </xf>
    <xf numFmtId="49" fontId="32" fillId="0" borderId="5" xfId="0" quotePrefix="1" applyNumberFormat="1" applyFont="1" applyBorder="1" applyAlignment="1">
      <alignment horizontal="center" vertical="center" wrapText="1"/>
    </xf>
    <xf numFmtId="49" fontId="32" fillId="0" borderId="0" xfId="0" quotePrefix="1" applyNumberFormat="1" applyFont="1" applyAlignment="1">
      <alignment horizontal="center" vertical="center" wrapText="1"/>
    </xf>
    <xf numFmtId="49" fontId="32" fillId="0" borderId="14" xfId="0" quotePrefix="1" applyNumberFormat="1" applyFont="1" applyBorder="1" applyAlignment="1">
      <alignment horizontal="center" vertical="center" wrapText="1"/>
    </xf>
    <xf numFmtId="49" fontId="32" fillId="0" borderId="8" xfId="0" quotePrefix="1" applyNumberFormat="1" applyFont="1" applyBorder="1" applyAlignment="1">
      <alignment horizontal="center" vertical="center" wrapText="1"/>
    </xf>
    <xf numFmtId="49" fontId="32" fillId="0" borderId="9" xfId="0" quotePrefix="1" applyNumberFormat="1" applyFont="1" applyBorder="1" applyAlignment="1">
      <alignment horizontal="center" vertical="center" wrapText="1"/>
    </xf>
    <xf numFmtId="49" fontId="32" fillId="0" borderId="15" xfId="0" quotePrefix="1" applyNumberFormat="1" applyFont="1" applyBorder="1" applyAlignment="1">
      <alignment horizontal="center" vertical="center" wrapText="1"/>
    </xf>
    <xf numFmtId="3" fontId="32" fillId="0" borderId="1" xfId="0" applyNumberFormat="1" applyFont="1" applyBorder="1" applyAlignment="1">
      <alignment horizontal="center" vertical="center" wrapText="1"/>
    </xf>
    <xf numFmtId="0" fontId="26" fillId="6" borderId="4" xfId="0" applyFont="1" applyFill="1" applyBorder="1" applyAlignment="1">
      <alignment horizontal="center" vertical="center" wrapText="1"/>
    </xf>
    <xf numFmtId="49" fontId="28" fillId="0" borderId="9" xfId="0" applyNumberFormat="1" applyFont="1" applyBorder="1" applyAlignment="1" applyProtection="1">
      <alignment horizontal="center" vertical="center"/>
      <protection locked="0"/>
    </xf>
    <xf numFmtId="0" fontId="26" fillId="0" borderId="1" xfId="0" applyFont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center" vertical="center" wrapText="1"/>
    </xf>
    <xf numFmtId="49" fontId="24" fillId="0" borderId="0" xfId="0" applyNumberFormat="1" applyFont="1" applyAlignment="1">
      <alignment horizontal="center" vertical="center"/>
    </xf>
    <xf numFmtId="49" fontId="24" fillId="0" borderId="14" xfId="0" applyNumberFormat="1" applyFont="1" applyBorder="1" applyAlignment="1">
      <alignment horizontal="center" vertical="center"/>
    </xf>
    <xf numFmtId="0" fontId="26" fillId="6" borderId="16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 vertical="center"/>
    </xf>
    <xf numFmtId="0" fontId="26" fillId="6" borderId="9" xfId="0" applyFont="1" applyFill="1" applyBorder="1" applyAlignment="1">
      <alignment horizontal="center" vertical="center"/>
    </xf>
    <xf numFmtId="0" fontId="26" fillId="6" borderId="6" xfId="0" applyFont="1" applyFill="1" applyBorder="1" applyAlignment="1">
      <alignment horizontal="center" vertical="center"/>
    </xf>
    <xf numFmtId="0" fontId="26" fillId="6" borderId="10" xfId="0" applyFont="1" applyFill="1" applyBorder="1" applyAlignment="1">
      <alignment horizontal="center" vertical="center"/>
    </xf>
  </cellXfs>
  <cellStyles count="4">
    <cellStyle name="Normal" xfId="0" builtinId="0"/>
    <cellStyle name="Normal 2" xfId="3" xr:uid="{00000000-0005-0000-0000-000001000000}"/>
    <cellStyle name="Normal 3" xfId="2" xr:uid="{00000000-0005-0000-0000-000002000000}"/>
    <cellStyle name="Percent" xfId="1" builtinId="5"/>
  </cellStyles>
  <dxfs count="12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2000249</xdr:colOff>
      <xdr:row>1</xdr:row>
      <xdr:rowOff>67235</xdr:rowOff>
    </xdr:from>
    <xdr:to>
      <xdr:col>3</xdr:col>
      <xdr:colOff>1371600</xdr:colOff>
      <xdr:row>2</xdr:row>
      <xdr:rowOff>772942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24324" y="457760"/>
          <a:ext cx="3619501" cy="1477232"/>
        </a:xfrm>
        <a:prstGeom prst="round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2000249</xdr:colOff>
      <xdr:row>1</xdr:row>
      <xdr:rowOff>67235</xdr:rowOff>
    </xdr:from>
    <xdr:to>
      <xdr:col>3</xdr:col>
      <xdr:colOff>1371600</xdr:colOff>
      <xdr:row>2</xdr:row>
      <xdr:rowOff>772942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24324" y="457760"/>
          <a:ext cx="3619501" cy="1477232"/>
        </a:xfrm>
        <a:prstGeom prst="round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2000249</xdr:colOff>
      <xdr:row>1</xdr:row>
      <xdr:rowOff>67235</xdr:rowOff>
    </xdr:from>
    <xdr:to>
      <xdr:col>3</xdr:col>
      <xdr:colOff>1371600</xdr:colOff>
      <xdr:row>2</xdr:row>
      <xdr:rowOff>772942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C6975-87A8-4D29-AB72-359BF9D715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24324" y="457760"/>
          <a:ext cx="3619501" cy="1477232"/>
        </a:xfrm>
        <a:prstGeom prst="round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2000249</xdr:colOff>
      <xdr:row>1</xdr:row>
      <xdr:rowOff>67235</xdr:rowOff>
    </xdr:from>
    <xdr:to>
      <xdr:col>3</xdr:col>
      <xdr:colOff>1371600</xdr:colOff>
      <xdr:row>2</xdr:row>
      <xdr:rowOff>772942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AF1C48-B99A-4CF4-8CCA-6D635DB5E3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24324" y="457760"/>
          <a:ext cx="3619501" cy="1477232"/>
        </a:xfrm>
        <a:prstGeom prst="round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2000249</xdr:colOff>
      <xdr:row>1</xdr:row>
      <xdr:rowOff>67235</xdr:rowOff>
    </xdr:from>
    <xdr:to>
      <xdr:col>3</xdr:col>
      <xdr:colOff>1371600</xdr:colOff>
      <xdr:row>2</xdr:row>
      <xdr:rowOff>772942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C4C933-B6B5-4B49-A224-C1185D8E1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24324" y="457760"/>
          <a:ext cx="3619501" cy="1477232"/>
        </a:xfrm>
        <a:prstGeom prst="round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2000249</xdr:colOff>
      <xdr:row>1</xdr:row>
      <xdr:rowOff>67235</xdr:rowOff>
    </xdr:from>
    <xdr:to>
      <xdr:col>3</xdr:col>
      <xdr:colOff>1371600</xdr:colOff>
      <xdr:row>2</xdr:row>
      <xdr:rowOff>772942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22B42D-C253-4722-84D8-025C640A7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24324" y="457760"/>
          <a:ext cx="3619501" cy="1477232"/>
        </a:xfrm>
        <a:prstGeom prst="round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2000249</xdr:colOff>
      <xdr:row>1</xdr:row>
      <xdr:rowOff>67235</xdr:rowOff>
    </xdr:from>
    <xdr:to>
      <xdr:col>3</xdr:col>
      <xdr:colOff>1371600</xdr:colOff>
      <xdr:row>2</xdr:row>
      <xdr:rowOff>772942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A0C0D6-248A-40D3-ABCE-ABB9B34DA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24324" y="457760"/>
          <a:ext cx="3619501" cy="1477232"/>
        </a:xfrm>
        <a:prstGeom prst="round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315311</xdr:colOff>
      <xdr:row>0</xdr:row>
      <xdr:rowOff>65690</xdr:rowOff>
    </xdr:from>
    <xdr:to>
      <xdr:col>2</xdr:col>
      <xdr:colOff>400708</xdr:colOff>
      <xdr:row>0</xdr:row>
      <xdr:rowOff>551460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15311" y="65690"/>
          <a:ext cx="1209347" cy="485770"/>
        </a:xfrm>
        <a:prstGeom prst="round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A1:W81"/>
  <sheetViews>
    <sheetView zoomScale="25" zoomScaleNormal="25" workbookViewId="0">
      <selection activeCell="L77" sqref="L77:M77"/>
    </sheetView>
  </sheetViews>
  <sheetFormatPr defaultRowHeight="12.75" customHeight="1" x14ac:dyDescent="0.25"/>
  <cols>
    <col min="1" max="1" width="9.140625" style="45"/>
    <col min="2" max="2" width="22.7109375" style="45" customWidth="1"/>
    <col min="3" max="3" width="63.7109375" style="45" customWidth="1"/>
    <col min="4" max="4" width="110.7109375" style="45" customWidth="1"/>
    <col min="5" max="8" width="50.140625" style="45" customWidth="1"/>
    <col min="9" max="10" width="43" style="45" customWidth="1"/>
    <col min="11" max="11" width="88.42578125" style="45" customWidth="1"/>
    <col min="12" max="16" width="64.7109375" style="45" customWidth="1"/>
    <col min="17" max="17" width="85.85546875" style="45" customWidth="1"/>
    <col min="18" max="20" width="42.85546875" style="45" customWidth="1"/>
    <col min="21" max="21" width="85.5703125" style="45" customWidth="1"/>
    <col min="22" max="22" width="57" style="45" customWidth="1"/>
    <col min="23" max="23" width="42.7109375" style="45" customWidth="1"/>
    <col min="24" max="247" width="9.140625" style="45"/>
    <col min="248" max="248" width="16" style="45" customWidth="1"/>
    <col min="249" max="249" width="27.7109375" style="45" customWidth="1"/>
    <col min="250" max="250" width="65.7109375" style="45" customWidth="1"/>
    <col min="251" max="251" width="21.85546875" style="45" bestFit="1" customWidth="1"/>
    <col min="252" max="252" width="30.140625" style="45" customWidth="1"/>
    <col min="253" max="253" width="62" style="45" customWidth="1"/>
    <col min="254" max="254" width="44" style="45" customWidth="1"/>
    <col min="255" max="255" width="43.140625" style="45" customWidth="1"/>
    <col min="256" max="256" width="45" style="45" customWidth="1"/>
    <col min="257" max="257" width="35.5703125" style="45" customWidth="1"/>
    <col min="258" max="258" width="37.140625" style="45" customWidth="1"/>
    <col min="259" max="259" width="76.7109375" style="45" customWidth="1"/>
    <col min="260" max="260" width="37.7109375" style="45" customWidth="1"/>
    <col min="261" max="261" width="37.85546875" style="45" customWidth="1"/>
    <col min="262" max="262" width="39.85546875" style="45" customWidth="1"/>
    <col min="263" max="263" width="53.140625" style="45" customWidth="1"/>
    <col min="264" max="264" width="35.28515625" style="45" customWidth="1"/>
    <col min="265" max="265" width="31" style="45" customWidth="1"/>
    <col min="266" max="266" width="29.140625" style="45" customWidth="1"/>
    <col min="267" max="267" width="30.140625" style="45" customWidth="1"/>
    <col min="268" max="268" width="49.140625" style="45" customWidth="1"/>
    <col min="269" max="269" width="31.85546875" style="45" customWidth="1"/>
    <col min="270" max="270" width="39.140625" style="45" customWidth="1"/>
    <col min="271" max="271" width="53" style="45" bestFit="1" customWidth="1"/>
    <col min="272" max="272" width="33.42578125" style="45" bestFit="1" customWidth="1"/>
    <col min="273" max="273" width="28.140625" style="45" customWidth="1"/>
    <col min="274" max="278" width="6.7109375" style="45" customWidth="1"/>
    <col min="279" max="279" width="1.7109375" style="45" customWidth="1"/>
    <col min="280" max="503" width="9.140625" style="45"/>
    <col min="504" max="504" width="16" style="45" customWidth="1"/>
    <col min="505" max="505" width="27.7109375" style="45" customWidth="1"/>
    <col min="506" max="506" width="65.7109375" style="45" customWidth="1"/>
    <col min="507" max="507" width="21.85546875" style="45" bestFit="1" customWidth="1"/>
    <col min="508" max="508" width="30.140625" style="45" customWidth="1"/>
    <col min="509" max="509" width="62" style="45" customWidth="1"/>
    <col min="510" max="510" width="44" style="45" customWidth="1"/>
    <col min="511" max="511" width="43.140625" style="45" customWidth="1"/>
    <col min="512" max="512" width="45" style="45" customWidth="1"/>
    <col min="513" max="513" width="35.5703125" style="45" customWidth="1"/>
    <col min="514" max="514" width="37.140625" style="45" customWidth="1"/>
    <col min="515" max="515" width="76.7109375" style="45" customWidth="1"/>
    <col min="516" max="516" width="37.7109375" style="45" customWidth="1"/>
    <col min="517" max="517" width="37.85546875" style="45" customWidth="1"/>
    <col min="518" max="518" width="39.85546875" style="45" customWidth="1"/>
    <col min="519" max="519" width="53.140625" style="45" customWidth="1"/>
    <col min="520" max="520" width="35.28515625" style="45" customWidth="1"/>
    <col min="521" max="521" width="31" style="45" customWidth="1"/>
    <col min="522" max="522" width="29.140625" style="45" customWidth="1"/>
    <col min="523" max="523" width="30.140625" style="45" customWidth="1"/>
    <col min="524" max="524" width="49.140625" style="45" customWidth="1"/>
    <col min="525" max="525" width="31.85546875" style="45" customWidth="1"/>
    <col min="526" max="526" width="39.140625" style="45" customWidth="1"/>
    <col min="527" max="527" width="53" style="45" bestFit="1" customWidth="1"/>
    <col min="528" max="528" width="33.42578125" style="45" bestFit="1" customWidth="1"/>
    <col min="529" max="529" width="28.140625" style="45" customWidth="1"/>
    <col min="530" max="534" width="6.7109375" style="45" customWidth="1"/>
    <col min="535" max="535" width="1.7109375" style="45" customWidth="1"/>
    <col min="536" max="759" width="9.140625" style="45"/>
    <col min="760" max="760" width="16" style="45" customWidth="1"/>
    <col min="761" max="761" width="27.7109375" style="45" customWidth="1"/>
    <col min="762" max="762" width="65.7109375" style="45" customWidth="1"/>
    <col min="763" max="763" width="21.85546875" style="45" bestFit="1" customWidth="1"/>
    <col min="764" max="764" width="30.140625" style="45" customWidth="1"/>
    <col min="765" max="765" width="62" style="45" customWidth="1"/>
    <col min="766" max="766" width="44" style="45" customWidth="1"/>
    <col min="767" max="767" width="43.140625" style="45" customWidth="1"/>
    <col min="768" max="768" width="45" style="45" customWidth="1"/>
    <col min="769" max="769" width="35.5703125" style="45" customWidth="1"/>
    <col min="770" max="770" width="37.140625" style="45" customWidth="1"/>
    <col min="771" max="771" width="76.7109375" style="45" customWidth="1"/>
    <col min="772" max="772" width="37.7109375" style="45" customWidth="1"/>
    <col min="773" max="773" width="37.85546875" style="45" customWidth="1"/>
    <col min="774" max="774" width="39.85546875" style="45" customWidth="1"/>
    <col min="775" max="775" width="53.140625" style="45" customWidth="1"/>
    <col min="776" max="776" width="35.28515625" style="45" customWidth="1"/>
    <col min="777" max="777" width="31" style="45" customWidth="1"/>
    <col min="778" max="778" width="29.140625" style="45" customWidth="1"/>
    <col min="779" max="779" width="30.140625" style="45" customWidth="1"/>
    <col min="780" max="780" width="49.140625" style="45" customWidth="1"/>
    <col min="781" max="781" width="31.85546875" style="45" customWidth="1"/>
    <col min="782" max="782" width="39.140625" style="45" customWidth="1"/>
    <col min="783" max="783" width="53" style="45" bestFit="1" customWidth="1"/>
    <col min="784" max="784" width="33.42578125" style="45" bestFit="1" customWidth="1"/>
    <col min="785" max="785" width="28.140625" style="45" customWidth="1"/>
    <col min="786" max="790" width="6.7109375" style="45" customWidth="1"/>
    <col min="791" max="791" width="1.7109375" style="45" customWidth="1"/>
    <col min="792" max="1015" width="9.140625" style="45"/>
    <col min="1016" max="1016" width="16" style="45" customWidth="1"/>
    <col min="1017" max="1017" width="27.7109375" style="45" customWidth="1"/>
    <col min="1018" max="1018" width="65.7109375" style="45" customWidth="1"/>
    <col min="1019" max="1019" width="21.85546875" style="45" bestFit="1" customWidth="1"/>
    <col min="1020" max="1020" width="30.140625" style="45" customWidth="1"/>
    <col min="1021" max="1021" width="62" style="45" customWidth="1"/>
    <col min="1022" max="1022" width="44" style="45" customWidth="1"/>
    <col min="1023" max="1023" width="43.140625" style="45" customWidth="1"/>
    <col min="1024" max="1024" width="45" style="45" customWidth="1"/>
    <col min="1025" max="1025" width="35.5703125" style="45" customWidth="1"/>
    <col min="1026" max="1026" width="37.140625" style="45" customWidth="1"/>
    <col min="1027" max="1027" width="76.7109375" style="45" customWidth="1"/>
    <col min="1028" max="1028" width="37.7109375" style="45" customWidth="1"/>
    <col min="1029" max="1029" width="37.85546875" style="45" customWidth="1"/>
    <col min="1030" max="1030" width="39.85546875" style="45" customWidth="1"/>
    <col min="1031" max="1031" width="53.140625" style="45" customWidth="1"/>
    <col min="1032" max="1032" width="35.28515625" style="45" customWidth="1"/>
    <col min="1033" max="1033" width="31" style="45" customWidth="1"/>
    <col min="1034" max="1034" width="29.140625" style="45" customWidth="1"/>
    <col min="1035" max="1035" width="30.140625" style="45" customWidth="1"/>
    <col min="1036" max="1036" width="49.140625" style="45" customWidth="1"/>
    <col min="1037" max="1037" width="31.85546875" style="45" customWidth="1"/>
    <col min="1038" max="1038" width="39.140625" style="45" customWidth="1"/>
    <col min="1039" max="1039" width="53" style="45" bestFit="1" customWidth="1"/>
    <col min="1040" max="1040" width="33.42578125" style="45" bestFit="1" customWidth="1"/>
    <col min="1041" max="1041" width="28.140625" style="45" customWidth="1"/>
    <col min="1042" max="1046" width="6.7109375" style="45" customWidth="1"/>
    <col min="1047" max="1047" width="1.7109375" style="45" customWidth="1"/>
    <col min="1048" max="1271" width="9.140625" style="45"/>
    <col min="1272" max="1272" width="16" style="45" customWidth="1"/>
    <col min="1273" max="1273" width="27.7109375" style="45" customWidth="1"/>
    <col min="1274" max="1274" width="65.7109375" style="45" customWidth="1"/>
    <col min="1275" max="1275" width="21.85546875" style="45" bestFit="1" customWidth="1"/>
    <col min="1276" max="1276" width="30.140625" style="45" customWidth="1"/>
    <col min="1277" max="1277" width="62" style="45" customWidth="1"/>
    <col min="1278" max="1278" width="44" style="45" customWidth="1"/>
    <col min="1279" max="1279" width="43.140625" style="45" customWidth="1"/>
    <col min="1280" max="1280" width="45" style="45" customWidth="1"/>
    <col min="1281" max="1281" width="35.5703125" style="45" customWidth="1"/>
    <col min="1282" max="1282" width="37.140625" style="45" customWidth="1"/>
    <col min="1283" max="1283" width="76.7109375" style="45" customWidth="1"/>
    <col min="1284" max="1284" width="37.7109375" style="45" customWidth="1"/>
    <col min="1285" max="1285" width="37.85546875" style="45" customWidth="1"/>
    <col min="1286" max="1286" width="39.85546875" style="45" customWidth="1"/>
    <col min="1287" max="1287" width="53.140625" style="45" customWidth="1"/>
    <col min="1288" max="1288" width="35.28515625" style="45" customWidth="1"/>
    <col min="1289" max="1289" width="31" style="45" customWidth="1"/>
    <col min="1290" max="1290" width="29.140625" style="45" customWidth="1"/>
    <col min="1291" max="1291" width="30.140625" style="45" customWidth="1"/>
    <col min="1292" max="1292" width="49.140625" style="45" customWidth="1"/>
    <col min="1293" max="1293" width="31.85546875" style="45" customWidth="1"/>
    <col min="1294" max="1294" width="39.140625" style="45" customWidth="1"/>
    <col min="1295" max="1295" width="53" style="45" bestFit="1" customWidth="1"/>
    <col min="1296" max="1296" width="33.42578125" style="45" bestFit="1" customWidth="1"/>
    <col min="1297" max="1297" width="28.140625" style="45" customWidth="1"/>
    <col min="1298" max="1302" width="6.7109375" style="45" customWidth="1"/>
    <col min="1303" max="1303" width="1.7109375" style="45" customWidth="1"/>
    <col min="1304" max="1527" width="9.140625" style="45"/>
    <col min="1528" max="1528" width="16" style="45" customWidth="1"/>
    <col min="1529" max="1529" width="27.7109375" style="45" customWidth="1"/>
    <col min="1530" max="1530" width="65.7109375" style="45" customWidth="1"/>
    <col min="1531" max="1531" width="21.85546875" style="45" bestFit="1" customWidth="1"/>
    <col min="1532" max="1532" width="30.140625" style="45" customWidth="1"/>
    <col min="1533" max="1533" width="62" style="45" customWidth="1"/>
    <col min="1534" max="1534" width="44" style="45" customWidth="1"/>
    <col min="1535" max="1535" width="43.140625" style="45" customWidth="1"/>
    <col min="1536" max="1536" width="45" style="45" customWidth="1"/>
    <col min="1537" max="1537" width="35.5703125" style="45" customWidth="1"/>
    <col min="1538" max="1538" width="37.140625" style="45" customWidth="1"/>
    <col min="1539" max="1539" width="76.7109375" style="45" customWidth="1"/>
    <col min="1540" max="1540" width="37.7109375" style="45" customWidth="1"/>
    <col min="1541" max="1541" width="37.85546875" style="45" customWidth="1"/>
    <col min="1542" max="1542" width="39.85546875" style="45" customWidth="1"/>
    <col min="1543" max="1543" width="53.140625" style="45" customWidth="1"/>
    <col min="1544" max="1544" width="35.28515625" style="45" customWidth="1"/>
    <col min="1545" max="1545" width="31" style="45" customWidth="1"/>
    <col min="1546" max="1546" width="29.140625" style="45" customWidth="1"/>
    <col min="1547" max="1547" width="30.140625" style="45" customWidth="1"/>
    <col min="1548" max="1548" width="49.140625" style="45" customWidth="1"/>
    <col min="1549" max="1549" width="31.85546875" style="45" customWidth="1"/>
    <col min="1550" max="1550" width="39.140625" style="45" customWidth="1"/>
    <col min="1551" max="1551" width="53" style="45" bestFit="1" customWidth="1"/>
    <col min="1552" max="1552" width="33.42578125" style="45" bestFit="1" customWidth="1"/>
    <col min="1553" max="1553" width="28.140625" style="45" customWidth="1"/>
    <col min="1554" max="1558" width="6.7109375" style="45" customWidth="1"/>
    <col min="1559" max="1559" width="1.7109375" style="45" customWidth="1"/>
    <col min="1560" max="1783" width="9.140625" style="45"/>
    <col min="1784" max="1784" width="16" style="45" customWidth="1"/>
    <col min="1785" max="1785" width="27.7109375" style="45" customWidth="1"/>
    <col min="1786" max="1786" width="65.7109375" style="45" customWidth="1"/>
    <col min="1787" max="1787" width="21.85546875" style="45" bestFit="1" customWidth="1"/>
    <col min="1788" max="1788" width="30.140625" style="45" customWidth="1"/>
    <col min="1789" max="1789" width="62" style="45" customWidth="1"/>
    <col min="1790" max="1790" width="44" style="45" customWidth="1"/>
    <col min="1791" max="1791" width="43.140625" style="45" customWidth="1"/>
    <col min="1792" max="1792" width="45" style="45" customWidth="1"/>
    <col min="1793" max="1793" width="35.5703125" style="45" customWidth="1"/>
    <col min="1794" max="1794" width="37.140625" style="45" customWidth="1"/>
    <col min="1795" max="1795" width="76.7109375" style="45" customWidth="1"/>
    <col min="1796" max="1796" width="37.7109375" style="45" customWidth="1"/>
    <col min="1797" max="1797" width="37.85546875" style="45" customWidth="1"/>
    <col min="1798" max="1798" width="39.85546875" style="45" customWidth="1"/>
    <col min="1799" max="1799" width="53.140625" style="45" customWidth="1"/>
    <col min="1800" max="1800" width="35.28515625" style="45" customWidth="1"/>
    <col min="1801" max="1801" width="31" style="45" customWidth="1"/>
    <col min="1802" max="1802" width="29.140625" style="45" customWidth="1"/>
    <col min="1803" max="1803" width="30.140625" style="45" customWidth="1"/>
    <col min="1804" max="1804" width="49.140625" style="45" customWidth="1"/>
    <col min="1805" max="1805" width="31.85546875" style="45" customWidth="1"/>
    <col min="1806" max="1806" width="39.140625" style="45" customWidth="1"/>
    <col min="1807" max="1807" width="53" style="45" bestFit="1" customWidth="1"/>
    <col min="1808" max="1808" width="33.42578125" style="45" bestFit="1" customWidth="1"/>
    <col min="1809" max="1809" width="28.140625" style="45" customWidth="1"/>
    <col min="1810" max="1814" width="6.7109375" style="45" customWidth="1"/>
    <col min="1815" max="1815" width="1.7109375" style="45" customWidth="1"/>
    <col min="1816" max="2039" width="9.140625" style="45"/>
    <col min="2040" max="2040" width="16" style="45" customWidth="1"/>
    <col min="2041" max="2041" width="27.7109375" style="45" customWidth="1"/>
    <col min="2042" max="2042" width="65.7109375" style="45" customWidth="1"/>
    <col min="2043" max="2043" width="21.85546875" style="45" bestFit="1" customWidth="1"/>
    <col min="2044" max="2044" width="30.140625" style="45" customWidth="1"/>
    <col min="2045" max="2045" width="62" style="45" customWidth="1"/>
    <col min="2046" max="2046" width="44" style="45" customWidth="1"/>
    <col min="2047" max="2047" width="43.140625" style="45" customWidth="1"/>
    <col min="2048" max="2048" width="45" style="45" customWidth="1"/>
    <col min="2049" max="2049" width="35.5703125" style="45" customWidth="1"/>
    <col min="2050" max="2050" width="37.140625" style="45" customWidth="1"/>
    <col min="2051" max="2051" width="76.7109375" style="45" customWidth="1"/>
    <col min="2052" max="2052" width="37.7109375" style="45" customWidth="1"/>
    <col min="2053" max="2053" width="37.85546875" style="45" customWidth="1"/>
    <col min="2054" max="2054" width="39.85546875" style="45" customWidth="1"/>
    <col min="2055" max="2055" width="53.140625" style="45" customWidth="1"/>
    <col min="2056" max="2056" width="35.28515625" style="45" customWidth="1"/>
    <col min="2057" max="2057" width="31" style="45" customWidth="1"/>
    <col min="2058" max="2058" width="29.140625" style="45" customWidth="1"/>
    <col min="2059" max="2059" width="30.140625" style="45" customWidth="1"/>
    <col min="2060" max="2060" width="49.140625" style="45" customWidth="1"/>
    <col min="2061" max="2061" width="31.85546875" style="45" customWidth="1"/>
    <col min="2062" max="2062" width="39.140625" style="45" customWidth="1"/>
    <col min="2063" max="2063" width="53" style="45" bestFit="1" customWidth="1"/>
    <col min="2064" max="2064" width="33.42578125" style="45" bestFit="1" customWidth="1"/>
    <col min="2065" max="2065" width="28.140625" style="45" customWidth="1"/>
    <col min="2066" max="2070" width="6.7109375" style="45" customWidth="1"/>
    <col min="2071" max="2071" width="1.7109375" style="45" customWidth="1"/>
    <col min="2072" max="2295" width="9.140625" style="45"/>
    <col min="2296" max="2296" width="16" style="45" customWidth="1"/>
    <col min="2297" max="2297" width="27.7109375" style="45" customWidth="1"/>
    <col min="2298" max="2298" width="65.7109375" style="45" customWidth="1"/>
    <col min="2299" max="2299" width="21.85546875" style="45" bestFit="1" customWidth="1"/>
    <col min="2300" max="2300" width="30.140625" style="45" customWidth="1"/>
    <col min="2301" max="2301" width="62" style="45" customWidth="1"/>
    <col min="2302" max="2302" width="44" style="45" customWidth="1"/>
    <col min="2303" max="2303" width="43.140625" style="45" customWidth="1"/>
    <col min="2304" max="2304" width="45" style="45" customWidth="1"/>
    <col min="2305" max="2305" width="35.5703125" style="45" customWidth="1"/>
    <col min="2306" max="2306" width="37.140625" style="45" customWidth="1"/>
    <col min="2307" max="2307" width="76.7109375" style="45" customWidth="1"/>
    <col min="2308" max="2308" width="37.7109375" style="45" customWidth="1"/>
    <col min="2309" max="2309" width="37.85546875" style="45" customWidth="1"/>
    <col min="2310" max="2310" width="39.85546875" style="45" customWidth="1"/>
    <col min="2311" max="2311" width="53.140625" style="45" customWidth="1"/>
    <col min="2312" max="2312" width="35.28515625" style="45" customWidth="1"/>
    <col min="2313" max="2313" width="31" style="45" customWidth="1"/>
    <col min="2314" max="2314" width="29.140625" style="45" customWidth="1"/>
    <col min="2315" max="2315" width="30.140625" style="45" customWidth="1"/>
    <col min="2316" max="2316" width="49.140625" style="45" customWidth="1"/>
    <col min="2317" max="2317" width="31.85546875" style="45" customWidth="1"/>
    <col min="2318" max="2318" width="39.140625" style="45" customWidth="1"/>
    <col min="2319" max="2319" width="53" style="45" bestFit="1" customWidth="1"/>
    <col min="2320" max="2320" width="33.42578125" style="45" bestFit="1" customWidth="1"/>
    <col min="2321" max="2321" width="28.140625" style="45" customWidth="1"/>
    <col min="2322" max="2326" width="6.7109375" style="45" customWidth="1"/>
    <col min="2327" max="2327" width="1.7109375" style="45" customWidth="1"/>
    <col min="2328" max="2551" width="9.140625" style="45"/>
    <col min="2552" max="2552" width="16" style="45" customWidth="1"/>
    <col min="2553" max="2553" width="27.7109375" style="45" customWidth="1"/>
    <col min="2554" max="2554" width="65.7109375" style="45" customWidth="1"/>
    <col min="2555" max="2555" width="21.85546875" style="45" bestFit="1" customWidth="1"/>
    <col min="2556" max="2556" width="30.140625" style="45" customWidth="1"/>
    <col min="2557" max="2557" width="62" style="45" customWidth="1"/>
    <col min="2558" max="2558" width="44" style="45" customWidth="1"/>
    <col min="2559" max="2559" width="43.140625" style="45" customWidth="1"/>
    <col min="2560" max="2560" width="45" style="45" customWidth="1"/>
    <col min="2561" max="2561" width="35.5703125" style="45" customWidth="1"/>
    <col min="2562" max="2562" width="37.140625" style="45" customWidth="1"/>
    <col min="2563" max="2563" width="76.7109375" style="45" customWidth="1"/>
    <col min="2564" max="2564" width="37.7109375" style="45" customWidth="1"/>
    <col min="2565" max="2565" width="37.85546875" style="45" customWidth="1"/>
    <col min="2566" max="2566" width="39.85546875" style="45" customWidth="1"/>
    <col min="2567" max="2567" width="53.140625" style="45" customWidth="1"/>
    <col min="2568" max="2568" width="35.28515625" style="45" customWidth="1"/>
    <col min="2569" max="2569" width="31" style="45" customWidth="1"/>
    <col min="2570" max="2570" width="29.140625" style="45" customWidth="1"/>
    <col min="2571" max="2571" width="30.140625" style="45" customWidth="1"/>
    <col min="2572" max="2572" width="49.140625" style="45" customWidth="1"/>
    <col min="2573" max="2573" width="31.85546875" style="45" customWidth="1"/>
    <col min="2574" max="2574" width="39.140625" style="45" customWidth="1"/>
    <col min="2575" max="2575" width="53" style="45" bestFit="1" customWidth="1"/>
    <col min="2576" max="2576" width="33.42578125" style="45" bestFit="1" customWidth="1"/>
    <col min="2577" max="2577" width="28.140625" style="45" customWidth="1"/>
    <col min="2578" max="2582" width="6.7109375" style="45" customWidth="1"/>
    <col min="2583" max="2583" width="1.7109375" style="45" customWidth="1"/>
    <col min="2584" max="2807" width="9.140625" style="45"/>
    <col min="2808" max="2808" width="16" style="45" customWidth="1"/>
    <col min="2809" max="2809" width="27.7109375" style="45" customWidth="1"/>
    <col min="2810" max="2810" width="65.7109375" style="45" customWidth="1"/>
    <col min="2811" max="2811" width="21.85546875" style="45" bestFit="1" customWidth="1"/>
    <col min="2812" max="2812" width="30.140625" style="45" customWidth="1"/>
    <col min="2813" max="2813" width="62" style="45" customWidth="1"/>
    <col min="2814" max="2814" width="44" style="45" customWidth="1"/>
    <col min="2815" max="2815" width="43.140625" style="45" customWidth="1"/>
    <col min="2816" max="2816" width="45" style="45" customWidth="1"/>
    <col min="2817" max="2817" width="35.5703125" style="45" customWidth="1"/>
    <col min="2818" max="2818" width="37.140625" style="45" customWidth="1"/>
    <col min="2819" max="2819" width="76.7109375" style="45" customWidth="1"/>
    <col min="2820" max="2820" width="37.7109375" style="45" customWidth="1"/>
    <col min="2821" max="2821" width="37.85546875" style="45" customWidth="1"/>
    <col min="2822" max="2822" width="39.85546875" style="45" customWidth="1"/>
    <col min="2823" max="2823" width="53.140625" style="45" customWidth="1"/>
    <col min="2824" max="2824" width="35.28515625" style="45" customWidth="1"/>
    <col min="2825" max="2825" width="31" style="45" customWidth="1"/>
    <col min="2826" max="2826" width="29.140625" style="45" customWidth="1"/>
    <col min="2827" max="2827" width="30.140625" style="45" customWidth="1"/>
    <col min="2828" max="2828" width="49.140625" style="45" customWidth="1"/>
    <col min="2829" max="2829" width="31.85546875" style="45" customWidth="1"/>
    <col min="2830" max="2830" width="39.140625" style="45" customWidth="1"/>
    <col min="2831" max="2831" width="53" style="45" bestFit="1" customWidth="1"/>
    <col min="2832" max="2832" width="33.42578125" style="45" bestFit="1" customWidth="1"/>
    <col min="2833" max="2833" width="28.140625" style="45" customWidth="1"/>
    <col min="2834" max="2838" width="6.7109375" style="45" customWidth="1"/>
    <col min="2839" max="2839" width="1.7109375" style="45" customWidth="1"/>
    <col min="2840" max="3063" width="9.140625" style="45"/>
    <col min="3064" max="3064" width="16" style="45" customWidth="1"/>
    <col min="3065" max="3065" width="27.7109375" style="45" customWidth="1"/>
    <col min="3066" max="3066" width="65.7109375" style="45" customWidth="1"/>
    <col min="3067" max="3067" width="21.85546875" style="45" bestFit="1" customWidth="1"/>
    <col min="3068" max="3068" width="30.140625" style="45" customWidth="1"/>
    <col min="3069" max="3069" width="62" style="45" customWidth="1"/>
    <col min="3070" max="3070" width="44" style="45" customWidth="1"/>
    <col min="3071" max="3071" width="43.140625" style="45" customWidth="1"/>
    <col min="3072" max="3072" width="45" style="45" customWidth="1"/>
    <col min="3073" max="3073" width="35.5703125" style="45" customWidth="1"/>
    <col min="3074" max="3074" width="37.140625" style="45" customWidth="1"/>
    <col min="3075" max="3075" width="76.7109375" style="45" customWidth="1"/>
    <col min="3076" max="3076" width="37.7109375" style="45" customWidth="1"/>
    <col min="3077" max="3077" width="37.85546875" style="45" customWidth="1"/>
    <col min="3078" max="3078" width="39.85546875" style="45" customWidth="1"/>
    <col min="3079" max="3079" width="53.140625" style="45" customWidth="1"/>
    <col min="3080" max="3080" width="35.28515625" style="45" customWidth="1"/>
    <col min="3081" max="3081" width="31" style="45" customWidth="1"/>
    <col min="3082" max="3082" width="29.140625" style="45" customWidth="1"/>
    <col min="3083" max="3083" width="30.140625" style="45" customWidth="1"/>
    <col min="3084" max="3084" width="49.140625" style="45" customWidth="1"/>
    <col min="3085" max="3085" width="31.85546875" style="45" customWidth="1"/>
    <col min="3086" max="3086" width="39.140625" style="45" customWidth="1"/>
    <col min="3087" max="3087" width="53" style="45" bestFit="1" customWidth="1"/>
    <col min="3088" max="3088" width="33.42578125" style="45" bestFit="1" customWidth="1"/>
    <col min="3089" max="3089" width="28.140625" style="45" customWidth="1"/>
    <col min="3090" max="3094" width="6.7109375" style="45" customWidth="1"/>
    <col min="3095" max="3095" width="1.7109375" style="45" customWidth="1"/>
    <col min="3096" max="3319" width="9.140625" style="45"/>
    <col min="3320" max="3320" width="16" style="45" customWidth="1"/>
    <col min="3321" max="3321" width="27.7109375" style="45" customWidth="1"/>
    <col min="3322" max="3322" width="65.7109375" style="45" customWidth="1"/>
    <col min="3323" max="3323" width="21.85546875" style="45" bestFit="1" customWidth="1"/>
    <col min="3324" max="3324" width="30.140625" style="45" customWidth="1"/>
    <col min="3325" max="3325" width="62" style="45" customWidth="1"/>
    <col min="3326" max="3326" width="44" style="45" customWidth="1"/>
    <col min="3327" max="3327" width="43.140625" style="45" customWidth="1"/>
    <col min="3328" max="3328" width="45" style="45" customWidth="1"/>
    <col min="3329" max="3329" width="35.5703125" style="45" customWidth="1"/>
    <col min="3330" max="3330" width="37.140625" style="45" customWidth="1"/>
    <col min="3331" max="3331" width="76.7109375" style="45" customWidth="1"/>
    <col min="3332" max="3332" width="37.7109375" style="45" customWidth="1"/>
    <col min="3333" max="3333" width="37.85546875" style="45" customWidth="1"/>
    <col min="3334" max="3334" width="39.85546875" style="45" customWidth="1"/>
    <col min="3335" max="3335" width="53.140625" style="45" customWidth="1"/>
    <col min="3336" max="3336" width="35.28515625" style="45" customWidth="1"/>
    <col min="3337" max="3337" width="31" style="45" customWidth="1"/>
    <col min="3338" max="3338" width="29.140625" style="45" customWidth="1"/>
    <col min="3339" max="3339" width="30.140625" style="45" customWidth="1"/>
    <col min="3340" max="3340" width="49.140625" style="45" customWidth="1"/>
    <col min="3341" max="3341" width="31.85546875" style="45" customWidth="1"/>
    <col min="3342" max="3342" width="39.140625" style="45" customWidth="1"/>
    <col min="3343" max="3343" width="53" style="45" bestFit="1" customWidth="1"/>
    <col min="3344" max="3344" width="33.42578125" style="45" bestFit="1" customWidth="1"/>
    <col min="3345" max="3345" width="28.140625" style="45" customWidth="1"/>
    <col min="3346" max="3350" width="6.7109375" style="45" customWidth="1"/>
    <col min="3351" max="3351" width="1.7109375" style="45" customWidth="1"/>
    <col min="3352" max="3575" width="9.140625" style="45"/>
    <col min="3576" max="3576" width="16" style="45" customWidth="1"/>
    <col min="3577" max="3577" width="27.7109375" style="45" customWidth="1"/>
    <col min="3578" max="3578" width="65.7109375" style="45" customWidth="1"/>
    <col min="3579" max="3579" width="21.85546875" style="45" bestFit="1" customWidth="1"/>
    <col min="3580" max="3580" width="30.140625" style="45" customWidth="1"/>
    <col min="3581" max="3581" width="62" style="45" customWidth="1"/>
    <col min="3582" max="3582" width="44" style="45" customWidth="1"/>
    <col min="3583" max="3583" width="43.140625" style="45" customWidth="1"/>
    <col min="3584" max="3584" width="45" style="45" customWidth="1"/>
    <col min="3585" max="3585" width="35.5703125" style="45" customWidth="1"/>
    <col min="3586" max="3586" width="37.140625" style="45" customWidth="1"/>
    <col min="3587" max="3587" width="76.7109375" style="45" customWidth="1"/>
    <col min="3588" max="3588" width="37.7109375" style="45" customWidth="1"/>
    <col min="3589" max="3589" width="37.85546875" style="45" customWidth="1"/>
    <col min="3590" max="3590" width="39.85546875" style="45" customWidth="1"/>
    <col min="3591" max="3591" width="53.140625" style="45" customWidth="1"/>
    <col min="3592" max="3592" width="35.28515625" style="45" customWidth="1"/>
    <col min="3593" max="3593" width="31" style="45" customWidth="1"/>
    <col min="3594" max="3594" width="29.140625" style="45" customWidth="1"/>
    <col min="3595" max="3595" width="30.140625" style="45" customWidth="1"/>
    <col min="3596" max="3596" width="49.140625" style="45" customWidth="1"/>
    <col min="3597" max="3597" width="31.85546875" style="45" customWidth="1"/>
    <col min="3598" max="3598" width="39.140625" style="45" customWidth="1"/>
    <col min="3599" max="3599" width="53" style="45" bestFit="1" customWidth="1"/>
    <col min="3600" max="3600" width="33.42578125" style="45" bestFit="1" customWidth="1"/>
    <col min="3601" max="3601" width="28.140625" style="45" customWidth="1"/>
    <col min="3602" max="3606" width="6.7109375" style="45" customWidth="1"/>
    <col min="3607" max="3607" width="1.7109375" style="45" customWidth="1"/>
    <col min="3608" max="3831" width="9.140625" style="45"/>
    <col min="3832" max="3832" width="16" style="45" customWidth="1"/>
    <col min="3833" max="3833" width="27.7109375" style="45" customWidth="1"/>
    <col min="3834" max="3834" width="65.7109375" style="45" customWidth="1"/>
    <col min="3835" max="3835" width="21.85546875" style="45" bestFit="1" customWidth="1"/>
    <col min="3836" max="3836" width="30.140625" style="45" customWidth="1"/>
    <col min="3837" max="3837" width="62" style="45" customWidth="1"/>
    <col min="3838" max="3838" width="44" style="45" customWidth="1"/>
    <col min="3839" max="3839" width="43.140625" style="45" customWidth="1"/>
    <col min="3840" max="3840" width="45" style="45" customWidth="1"/>
    <col min="3841" max="3841" width="35.5703125" style="45" customWidth="1"/>
    <col min="3842" max="3842" width="37.140625" style="45" customWidth="1"/>
    <col min="3843" max="3843" width="76.7109375" style="45" customWidth="1"/>
    <col min="3844" max="3844" width="37.7109375" style="45" customWidth="1"/>
    <col min="3845" max="3845" width="37.85546875" style="45" customWidth="1"/>
    <col min="3846" max="3846" width="39.85546875" style="45" customWidth="1"/>
    <col min="3847" max="3847" width="53.140625" style="45" customWidth="1"/>
    <col min="3848" max="3848" width="35.28515625" style="45" customWidth="1"/>
    <col min="3849" max="3849" width="31" style="45" customWidth="1"/>
    <col min="3850" max="3850" width="29.140625" style="45" customWidth="1"/>
    <col min="3851" max="3851" width="30.140625" style="45" customWidth="1"/>
    <col min="3852" max="3852" width="49.140625" style="45" customWidth="1"/>
    <col min="3853" max="3853" width="31.85546875" style="45" customWidth="1"/>
    <col min="3854" max="3854" width="39.140625" style="45" customWidth="1"/>
    <col min="3855" max="3855" width="53" style="45" bestFit="1" customWidth="1"/>
    <col min="3856" max="3856" width="33.42578125" style="45" bestFit="1" customWidth="1"/>
    <col min="3857" max="3857" width="28.140625" style="45" customWidth="1"/>
    <col min="3858" max="3862" width="6.7109375" style="45" customWidth="1"/>
    <col min="3863" max="3863" width="1.7109375" style="45" customWidth="1"/>
    <col min="3864" max="4087" width="9.140625" style="45"/>
    <col min="4088" max="4088" width="16" style="45" customWidth="1"/>
    <col min="4089" max="4089" width="27.7109375" style="45" customWidth="1"/>
    <col min="4090" max="4090" width="65.7109375" style="45" customWidth="1"/>
    <col min="4091" max="4091" width="21.85546875" style="45" bestFit="1" customWidth="1"/>
    <col min="4092" max="4092" width="30.140625" style="45" customWidth="1"/>
    <col min="4093" max="4093" width="62" style="45" customWidth="1"/>
    <col min="4094" max="4094" width="44" style="45" customWidth="1"/>
    <col min="4095" max="4095" width="43.140625" style="45" customWidth="1"/>
    <col min="4096" max="4096" width="45" style="45" customWidth="1"/>
    <col min="4097" max="4097" width="35.5703125" style="45" customWidth="1"/>
    <col min="4098" max="4098" width="37.140625" style="45" customWidth="1"/>
    <col min="4099" max="4099" width="76.7109375" style="45" customWidth="1"/>
    <col min="4100" max="4100" width="37.7109375" style="45" customWidth="1"/>
    <col min="4101" max="4101" width="37.85546875" style="45" customWidth="1"/>
    <col min="4102" max="4102" width="39.85546875" style="45" customWidth="1"/>
    <col min="4103" max="4103" width="53.140625" style="45" customWidth="1"/>
    <col min="4104" max="4104" width="35.28515625" style="45" customWidth="1"/>
    <col min="4105" max="4105" width="31" style="45" customWidth="1"/>
    <col min="4106" max="4106" width="29.140625" style="45" customWidth="1"/>
    <col min="4107" max="4107" width="30.140625" style="45" customWidth="1"/>
    <col min="4108" max="4108" width="49.140625" style="45" customWidth="1"/>
    <col min="4109" max="4109" width="31.85546875" style="45" customWidth="1"/>
    <col min="4110" max="4110" width="39.140625" style="45" customWidth="1"/>
    <col min="4111" max="4111" width="53" style="45" bestFit="1" customWidth="1"/>
    <col min="4112" max="4112" width="33.42578125" style="45" bestFit="1" customWidth="1"/>
    <col min="4113" max="4113" width="28.140625" style="45" customWidth="1"/>
    <col min="4114" max="4118" width="6.7109375" style="45" customWidth="1"/>
    <col min="4119" max="4119" width="1.7109375" style="45" customWidth="1"/>
    <col min="4120" max="4343" width="9.140625" style="45"/>
    <col min="4344" max="4344" width="16" style="45" customWidth="1"/>
    <col min="4345" max="4345" width="27.7109375" style="45" customWidth="1"/>
    <col min="4346" max="4346" width="65.7109375" style="45" customWidth="1"/>
    <col min="4347" max="4347" width="21.85546875" style="45" bestFit="1" customWidth="1"/>
    <col min="4348" max="4348" width="30.140625" style="45" customWidth="1"/>
    <col min="4349" max="4349" width="62" style="45" customWidth="1"/>
    <col min="4350" max="4350" width="44" style="45" customWidth="1"/>
    <col min="4351" max="4351" width="43.140625" style="45" customWidth="1"/>
    <col min="4352" max="4352" width="45" style="45" customWidth="1"/>
    <col min="4353" max="4353" width="35.5703125" style="45" customWidth="1"/>
    <col min="4354" max="4354" width="37.140625" style="45" customWidth="1"/>
    <col min="4355" max="4355" width="76.7109375" style="45" customWidth="1"/>
    <col min="4356" max="4356" width="37.7109375" style="45" customWidth="1"/>
    <col min="4357" max="4357" width="37.85546875" style="45" customWidth="1"/>
    <col min="4358" max="4358" width="39.85546875" style="45" customWidth="1"/>
    <col min="4359" max="4359" width="53.140625" style="45" customWidth="1"/>
    <col min="4360" max="4360" width="35.28515625" style="45" customWidth="1"/>
    <col min="4361" max="4361" width="31" style="45" customWidth="1"/>
    <col min="4362" max="4362" width="29.140625" style="45" customWidth="1"/>
    <col min="4363" max="4363" width="30.140625" style="45" customWidth="1"/>
    <col min="4364" max="4364" width="49.140625" style="45" customWidth="1"/>
    <col min="4365" max="4365" width="31.85546875" style="45" customWidth="1"/>
    <col min="4366" max="4366" width="39.140625" style="45" customWidth="1"/>
    <col min="4367" max="4367" width="53" style="45" bestFit="1" customWidth="1"/>
    <col min="4368" max="4368" width="33.42578125" style="45" bestFit="1" customWidth="1"/>
    <col min="4369" max="4369" width="28.140625" style="45" customWidth="1"/>
    <col min="4370" max="4374" width="6.7109375" style="45" customWidth="1"/>
    <col min="4375" max="4375" width="1.7109375" style="45" customWidth="1"/>
    <col min="4376" max="4599" width="9.140625" style="45"/>
    <col min="4600" max="4600" width="16" style="45" customWidth="1"/>
    <col min="4601" max="4601" width="27.7109375" style="45" customWidth="1"/>
    <col min="4602" max="4602" width="65.7109375" style="45" customWidth="1"/>
    <col min="4603" max="4603" width="21.85546875" style="45" bestFit="1" customWidth="1"/>
    <col min="4604" max="4604" width="30.140625" style="45" customWidth="1"/>
    <col min="4605" max="4605" width="62" style="45" customWidth="1"/>
    <col min="4606" max="4606" width="44" style="45" customWidth="1"/>
    <col min="4607" max="4607" width="43.140625" style="45" customWidth="1"/>
    <col min="4608" max="4608" width="45" style="45" customWidth="1"/>
    <col min="4609" max="4609" width="35.5703125" style="45" customWidth="1"/>
    <col min="4610" max="4610" width="37.140625" style="45" customWidth="1"/>
    <col min="4611" max="4611" width="76.7109375" style="45" customWidth="1"/>
    <col min="4612" max="4612" width="37.7109375" style="45" customWidth="1"/>
    <col min="4613" max="4613" width="37.85546875" style="45" customWidth="1"/>
    <col min="4614" max="4614" width="39.85546875" style="45" customWidth="1"/>
    <col min="4615" max="4615" width="53.140625" style="45" customWidth="1"/>
    <col min="4616" max="4616" width="35.28515625" style="45" customWidth="1"/>
    <col min="4617" max="4617" width="31" style="45" customWidth="1"/>
    <col min="4618" max="4618" width="29.140625" style="45" customWidth="1"/>
    <col min="4619" max="4619" width="30.140625" style="45" customWidth="1"/>
    <col min="4620" max="4620" width="49.140625" style="45" customWidth="1"/>
    <col min="4621" max="4621" width="31.85546875" style="45" customWidth="1"/>
    <col min="4622" max="4622" width="39.140625" style="45" customWidth="1"/>
    <col min="4623" max="4623" width="53" style="45" bestFit="1" customWidth="1"/>
    <col min="4624" max="4624" width="33.42578125" style="45" bestFit="1" customWidth="1"/>
    <col min="4625" max="4625" width="28.140625" style="45" customWidth="1"/>
    <col min="4626" max="4630" width="6.7109375" style="45" customWidth="1"/>
    <col min="4631" max="4631" width="1.7109375" style="45" customWidth="1"/>
    <col min="4632" max="4855" width="9.140625" style="45"/>
    <col min="4856" max="4856" width="16" style="45" customWidth="1"/>
    <col min="4857" max="4857" width="27.7109375" style="45" customWidth="1"/>
    <col min="4858" max="4858" width="65.7109375" style="45" customWidth="1"/>
    <col min="4859" max="4859" width="21.85546875" style="45" bestFit="1" customWidth="1"/>
    <col min="4860" max="4860" width="30.140625" style="45" customWidth="1"/>
    <col min="4861" max="4861" width="62" style="45" customWidth="1"/>
    <col min="4862" max="4862" width="44" style="45" customWidth="1"/>
    <col min="4863" max="4863" width="43.140625" style="45" customWidth="1"/>
    <col min="4864" max="4864" width="45" style="45" customWidth="1"/>
    <col min="4865" max="4865" width="35.5703125" style="45" customWidth="1"/>
    <col min="4866" max="4866" width="37.140625" style="45" customWidth="1"/>
    <col min="4867" max="4867" width="76.7109375" style="45" customWidth="1"/>
    <col min="4868" max="4868" width="37.7109375" style="45" customWidth="1"/>
    <col min="4869" max="4869" width="37.85546875" style="45" customWidth="1"/>
    <col min="4870" max="4870" width="39.85546875" style="45" customWidth="1"/>
    <col min="4871" max="4871" width="53.140625" style="45" customWidth="1"/>
    <col min="4872" max="4872" width="35.28515625" style="45" customWidth="1"/>
    <col min="4873" max="4873" width="31" style="45" customWidth="1"/>
    <col min="4874" max="4874" width="29.140625" style="45" customWidth="1"/>
    <col min="4875" max="4875" width="30.140625" style="45" customWidth="1"/>
    <col min="4876" max="4876" width="49.140625" style="45" customWidth="1"/>
    <col min="4877" max="4877" width="31.85546875" style="45" customWidth="1"/>
    <col min="4878" max="4878" width="39.140625" style="45" customWidth="1"/>
    <col min="4879" max="4879" width="53" style="45" bestFit="1" customWidth="1"/>
    <col min="4880" max="4880" width="33.42578125" style="45" bestFit="1" customWidth="1"/>
    <col min="4881" max="4881" width="28.140625" style="45" customWidth="1"/>
    <col min="4882" max="4886" width="6.7109375" style="45" customWidth="1"/>
    <col min="4887" max="4887" width="1.7109375" style="45" customWidth="1"/>
    <col min="4888" max="5111" width="9.140625" style="45"/>
    <col min="5112" max="5112" width="16" style="45" customWidth="1"/>
    <col min="5113" max="5113" width="27.7109375" style="45" customWidth="1"/>
    <col min="5114" max="5114" width="65.7109375" style="45" customWidth="1"/>
    <col min="5115" max="5115" width="21.85546875" style="45" bestFit="1" customWidth="1"/>
    <col min="5116" max="5116" width="30.140625" style="45" customWidth="1"/>
    <col min="5117" max="5117" width="62" style="45" customWidth="1"/>
    <col min="5118" max="5118" width="44" style="45" customWidth="1"/>
    <col min="5119" max="5119" width="43.140625" style="45" customWidth="1"/>
    <col min="5120" max="5120" width="45" style="45" customWidth="1"/>
    <col min="5121" max="5121" width="35.5703125" style="45" customWidth="1"/>
    <col min="5122" max="5122" width="37.140625" style="45" customWidth="1"/>
    <col min="5123" max="5123" width="76.7109375" style="45" customWidth="1"/>
    <col min="5124" max="5124" width="37.7109375" style="45" customWidth="1"/>
    <col min="5125" max="5125" width="37.85546875" style="45" customWidth="1"/>
    <col min="5126" max="5126" width="39.85546875" style="45" customWidth="1"/>
    <col min="5127" max="5127" width="53.140625" style="45" customWidth="1"/>
    <col min="5128" max="5128" width="35.28515625" style="45" customWidth="1"/>
    <col min="5129" max="5129" width="31" style="45" customWidth="1"/>
    <col min="5130" max="5130" width="29.140625" style="45" customWidth="1"/>
    <col min="5131" max="5131" width="30.140625" style="45" customWidth="1"/>
    <col min="5132" max="5132" width="49.140625" style="45" customWidth="1"/>
    <col min="5133" max="5133" width="31.85546875" style="45" customWidth="1"/>
    <col min="5134" max="5134" width="39.140625" style="45" customWidth="1"/>
    <col min="5135" max="5135" width="53" style="45" bestFit="1" customWidth="1"/>
    <col min="5136" max="5136" width="33.42578125" style="45" bestFit="1" customWidth="1"/>
    <col min="5137" max="5137" width="28.140625" style="45" customWidth="1"/>
    <col min="5138" max="5142" width="6.7109375" style="45" customWidth="1"/>
    <col min="5143" max="5143" width="1.7109375" style="45" customWidth="1"/>
    <col min="5144" max="5367" width="9.140625" style="45"/>
    <col min="5368" max="5368" width="16" style="45" customWidth="1"/>
    <col min="5369" max="5369" width="27.7109375" style="45" customWidth="1"/>
    <col min="5370" max="5370" width="65.7109375" style="45" customWidth="1"/>
    <col min="5371" max="5371" width="21.85546875" style="45" bestFit="1" customWidth="1"/>
    <col min="5372" max="5372" width="30.140625" style="45" customWidth="1"/>
    <col min="5373" max="5373" width="62" style="45" customWidth="1"/>
    <col min="5374" max="5374" width="44" style="45" customWidth="1"/>
    <col min="5375" max="5375" width="43.140625" style="45" customWidth="1"/>
    <col min="5376" max="5376" width="45" style="45" customWidth="1"/>
    <col min="5377" max="5377" width="35.5703125" style="45" customWidth="1"/>
    <col min="5378" max="5378" width="37.140625" style="45" customWidth="1"/>
    <col min="5379" max="5379" width="76.7109375" style="45" customWidth="1"/>
    <col min="5380" max="5380" width="37.7109375" style="45" customWidth="1"/>
    <col min="5381" max="5381" width="37.85546875" style="45" customWidth="1"/>
    <col min="5382" max="5382" width="39.85546875" style="45" customWidth="1"/>
    <col min="5383" max="5383" width="53.140625" style="45" customWidth="1"/>
    <col min="5384" max="5384" width="35.28515625" style="45" customWidth="1"/>
    <col min="5385" max="5385" width="31" style="45" customWidth="1"/>
    <col min="5386" max="5386" width="29.140625" style="45" customWidth="1"/>
    <col min="5387" max="5387" width="30.140625" style="45" customWidth="1"/>
    <col min="5388" max="5388" width="49.140625" style="45" customWidth="1"/>
    <col min="5389" max="5389" width="31.85546875" style="45" customWidth="1"/>
    <col min="5390" max="5390" width="39.140625" style="45" customWidth="1"/>
    <col min="5391" max="5391" width="53" style="45" bestFit="1" customWidth="1"/>
    <col min="5392" max="5392" width="33.42578125" style="45" bestFit="1" customWidth="1"/>
    <col min="5393" max="5393" width="28.140625" style="45" customWidth="1"/>
    <col min="5394" max="5398" width="6.7109375" style="45" customWidth="1"/>
    <col min="5399" max="5399" width="1.7109375" style="45" customWidth="1"/>
    <col min="5400" max="5623" width="9.140625" style="45"/>
    <col min="5624" max="5624" width="16" style="45" customWidth="1"/>
    <col min="5625" max="5625" width="27.7109375" style="45" customWidth="1"/>
    <col min="5626" max="5626" width="65.7109375" style="45" customWidth="1"/>
    <col min="5627" max="5627" width="21.85546875" style="45" bestFit="1" customWidth="1"/>
    <col min="5628" max="5628" width="30.140625" style="45" customWidth="1"/>
    <col min="5629" max="5629" width="62" style="45" customWidth="1"/>
    <col min="5630" max="5630" width="44" style="45" customWidth="1"/>
    <col min="5631" max="5631" width="43.140625" style="45" customWidth="1"/>
    <col min="5632" max="5632" width="45" style="45" customWidth="1"/>
    <col min="5633" max="5633" width="35.5703125" style="45" customWidth="1"/>
    <col min="5634" max="5634" width="37.140625" style="45" customWidth="1"/>
    <col min="5635" max="5635" width="76.7109375" style="45" customWidth="1"/>
    <col min="5636" max="5636" width="37.7109375" style="45" customWidth="1"/>
    <col min="5637" max="5637" width="37.85546875" style="45" customWidth="1"/>
    <col min="5638" max="5638" width="39.85546875" style="45" customWidth="1"/>
    <col min="5639" max="5639" width="53.140625" style="45" customWidth="1"/>
    <col min="5640" max="5640" width="35.28515625" style="45" customWidth="1"/>
    <col min="5641" max="5641" width="31" style="45" customWidth="1"/>
    <col min="5642" max="5642" width="29.140625" style="45" customWidth="1"/>
    <col min="5643" max="5643" width="30.140625" style="45" customWidth="1"/>
    <col min="5644" max="5644" width="49.140625" style="45" customWidth="1"/>
    <col min="5645" max="5645" width="31.85546875" style="45" customWidth="1"/>
    <col min="5646" max="5646" width="39.140625" style="45" customWidth="1"/>
    <col min="5647" max="5647" width="53" style="45" bestFit="1" customWidth="1"/>
    <col min="5648" max="5648" width="33.42578125" style="45" bestFit="1" customWidth="1"/>
    <col min="5649" max="5649" width="28.140625" style="45" customWidth="1"/>
    <col min="5650" max="5654" width="6.7109375" style="45" customWidth="1"/>
    <col min="5655" max="5655" width="1.7109375" style="45" customWidth="1"/>
    <col min="5656" max="5879" width="9.140625" style="45"/>
    <col min="5880" max="5880" width="16" style="45" customWidth="1"/>
    <col min="5881" max="5881" width="27.7109375" style="45" customWidth="1"/>
    <col min="5882" max="5882" width="65.7109375" style="45" customWidth="1"/>
    <col min="5883" max="5883" width="21.85546875" style="45" bestFit="1" customWidth="1"/>
    <col min="5884" max="5884" width="30.140625" style="45" customWidth="1"/>
    <col min="5885" max="5885" width="62" style="45" customWidth="1"/>
    <col min="5886" max="5886" width="44" style="45" customWidth="1"/>
    <col min="5887" max="5887" width="43.140625" style="45" customWidth="1"/>
    <col min="5888" max="5888" width="45" style="45" customWidth="1"/>
    <col min="5889" max="5889" width="35.5703125" style="45" customWidth="1"/>
    <col min="5890" max="5890" width="37.140625" style="45" customWidth="1"/>
    <col min="5891" max="5891" width="76.7109375" style="45" customWidth="1"/>
    <col min="5892" max="5892" width="37.7109375" style="45" customWidth="1"/>
    <col min="5893" max="5893" width="37.85546875" style="45" customWidth="1"/>
    <col min="5894" max="5894" width="39.85546875" style="45" customWidth="1"/>
    <col min="5895" max="5895" width="53.140625" style="45" customWidth="1"/>
    <col min="5896" max="5896" width="35.28515625" style="45" customWidth="1"/>
    <col min="5897" max="5897" width="31" style="45" customWidth="1"/>
    <col min="5898" max="5898" width="29.140625" style="45" customWidth="1"/>
    <col min="5899" max="5899" width="30.140625" style="45" customWidth="1"/>
    <col min="5900" max="5900" width="49.140625" style="45" customWidth="1"/>
    <col min="5901" max="5901" width="31.85546875" style="45" customWidth="1"/>
    <col min="5902" max="5902" width="39.140625" style="45" customWidth="1"/>
    <col min="5903" max="5903" width="53" style="45" bestFit="1" customWidth="1"/>
    <col min="5904" max="5904" width="33.42578125" style="45" bestFit="1" customWidth="1"/>
    <col min="5905" max="5905" width="28.140625" style="45" customWidth="1"/>
    <col min="5906" max="5910" width="6.7109375" style="45" customWidth="1"/>
    <col min="5911" max="5911" width="1.7109375" style="45" customWidth="1"/>
    <col min="5912" max="6135" width="9.140625" style="45"/>
    <col min="6136" max="6136" width="16" style="45" customWidth="1"/>
    <col min="6137" max="6137" width="27.7109375" style="45" customWidth="1"/>
    <col min="6138" max="6138" width="65.7109375" style="45" customWidth="1"/>
    <col min="6139" max="6139" width="21.85546875" style="45" bestFit="1" customWidth="1"/>
    <col min="6140" max="6140" width="30.140625" style="45" customWidth="1"/>
    <col min="6141" max="6141" width="62" style="45" customWidth="1"/>
    <col min="6142" max="6142" width="44" style="45" customWidth="1"/>
    <col min="6143" max="6143" width="43.140625" style="45" customWidth="1"/>
    <col min="6144" max="6144" width="45" style="45" customWidth="1"/>
    <col min="6145" max="6145" width="35.5703125" style="45" customWidth="1"/>
    <col min="6146" max="6146" width="37.140625" style="45" customWidth="1"/>
    <col min="6147" max="6147" width="76.7109375" style="45" customWidth="1"/>
    <col min="6148" max="6148" width="37.7109375" style="45" customWidth="1"/>
    <col min="6149" max="6149" width="37.85546875" style="45" customWidth="1"/>
    <col min="6150" max="6150" width="39.85546875" style="45" customWidth="1"/>
    <col min="6151" max="6151" width="53.140625" style="45" customWidth="1"/>
    <col min="6152" max="6152" width="35.28515625" style="45" customWidth="1"/>
    <col min="6153" max="6153" width="31" style="45" customWidth="1"/>
    <col min="6154" max="6154" width="29.140625" style="45" customWidth="1"/>
    <col min="6155" max="6155" width="30.140625" style="45" customWidth="1"/>
    <col min="6156" max="6156" width="49.140625" style="45" customWidth="1"/>
    <col min="6157" max="6157" width="31.85546875" style="45" customWidth="1"/>
    <col min="6158" max="6158" width="39.140625" style="45" customWidth="1"/>
    <col min="6159" max="6159" width="53" style="45" bestFit="1" customWidth="1"/>
    <col min="6160" max="6160" width="33.42578125" style="45" bestFit="1" customWidth="1"/>
    <col min="6161" max="6161" width="28.140625" style="45" customWidth="1"/>
    <col min="6162" max="6166" width="6.7109375" style="45" customWidth="1"/>
    <col min="6167" max="6167" width="1.7109375" style="45" customWidth="1"/>
    <col min="6168" max="6391" width="9.140625" style="45"/>
    <col min="6392" max="6392" width="16" style="45" customWidth="1"/>
    <col min="6393" max="6393" width="27.7109375" style="45" customWidth="1"/>
    <col min="6394" max="6394" width="65.7109375" style="45" customWidth="1"/>
    <col min="6395" max="6395" width="21.85546875" style="45" bestFit="1" customWidth="1"/>
    <col min="6396" max="6396" width="30.140625" style="45" customWidth="1"/>
    <col min="6397" max="6397" width="62" style="45" customWidth="1"/>
    <col min="6398" max="6398" width="44" style="45" customWidth="1"/>
    <col min="6399" max="6399" width="43.140625" style="45" customWidth="1"/>
    <col min="6400" max="6400" width="45" style="45" customWidth="1"/>
    <col min="6401" max="6401" width="35.5703125" style="45" customWidth="1"/>
    <col min="6402" max="6402" width="37.140625" style="45" customWidth="1"/>
    <col min="6403" max="6403" width="76.7109375" style="45" customWidth="1"/>
    <col min="6404" max="6404" width="37.7109375" style="45" customWidth="1"/>
    <col min="6405" max="6405" width="37.85546875" style="45" customWidth="1"/>
    <col min="6406" max="6406" width="39.85546875" style="45" customWidth="1"/>
    <col min="6407" max="6407" width="53.140625" style="45" customWidth="1"/>
    <col min="6408" max="6408" width="35.28515625" style="45" customWidth="1"/>
    <col min="6409" max="6409" width="31" style="45" customWidth="1"/>
    <col min="6410" max="6410" width="29.140625" style="45" customWidth="1"/>
    <col min="6411" max="6411" width="30.140625" style="45" customWidth="1"/>
    <col min="6412" max="6412" width="49.140625" style="45" customWidth="1"/>
    <col min="6413" max="6413" width="31.85546875" style="45" customWidth="1"/>
    <col min="6414" max="6414" width="39.140625" style="45" customWidth="1"/>
    <col min="6415" max="6415" width="53" style="45" bestFit="1" customWidth="1"/>
    <col min="6416" max="6416" width="33.42578125" style="45" bestFit="1" customWidth="1"/>
    <col min="6417" max="6417" width="28.140625" style="45" customWidth="1"/>
    <col min="6418" max="6422" width="6.7109375" style="45" customWidth="1"/>
    <col min="6423" max="6423" width="1.7109375" style="45" customWidth="1"/>
    <col min="6424" max="6647" width="9.140625" style="45"/>
    <col min="6648" max="6648" width="16" style="45" customWidth="1"/>
    <col min="6649" max="6649" width="27.7109375" style="45" customWidth="1"/>
    <col min="6650" max="6650" width="65.7109375" style="45" customWidth="1"/>
    <col min="6651" max="6651" width="21.85546875" style="45" bestFit="1" customWidth="1"/>
    <col min="6652" max="6652" width="30.140625" style="45" customWidth="1"/>
    <col min="6653" max="6653" width="62" style="45" customWidth="1"/>
    <col min="6654" max="6654" width="44" style="45" customWidth="1"/>
    <col min="6655" max="6655" width="43.140625" style="45" customWidth="1"/>
    <col min="6656" max="6656" width="45" style="45" customWidth="1"/>
    <col min="6657" max="6657" width="35.5703125" style="45" customWidth="1"/>
    <col min="6658" max="6658" width="37.140625" style="45" customWidth="1"/>
    <col min="6659" max="6659" width="76.7109375" style="45" customWidth="1"/>
    <col min="6660" max="6660" width="37.7109375" style="45" customWidth="1"/>
    <col min="6661" max="6661" width="37.85546875" style="45" customWidth="1"/>
    <col min="6662" max="6662" width="39.85546875" style="45" customWidth="1"/>
    <col min="6663" max="6663" width="53.140625" style="45" customWidth="1"/>
    <col min="6664" max="6664" width="35.28515625" style="45" customWidth="1"/>
    <col min="6665" max="6665" width="31" style="45" customWidth="1"/>
    <col min="6666" max="6666" width="29.140625" style="45" customWidth="1"/>
    <col min="6667" max="6667" width="30.140625" style="45" customWidth="1"/>
    <col min="6668" max="6668" width="49.140625" style="45" customWidth="1"/>
    <col min="6669" max="6669" width="31.85546875" style="45" customWidth="1"/>
    <col min="6670" max="6670" width="39.140625" style="45" customWidth="1"/>
    <col min="6671" max="6671" width="53" style="45" bestFit="1" customWidth="1"/>
    <col min="6672" max="6672" width="33.42578125" style="45" bestFit="1" customWidth="1"/>
    <col min="6673" max="6673" width="28.140625" style="45" customWidth="1"/>
    <col min="6674" max="6678" width="6.7109375" style="45" customWidth="1"/>
    <col min="6679" max="6679" width="1.7109375" style="45" customWidth="1"/>
    <col min="6680" max="6903" width="9.140625" style="45"/>
    <col min="6904" max="6904" width="16" style="45" customWidth="1"/>
    <col min="6905" max="6905" width="27.7109375" style="45" customWidth="1"/>
    <col min="6906" max="6906" width="65.7109375" style="45" customWidth="1"/>
    <col min="6907" max="6907" width="21.85546875" style="45" bestFit="1" customWidth="1"/>
    <col min="6908" max="6908" width="30.140625" style="45" customWidth="1"/>
    <col min="6909" max="6909" width="62" style="45" customWidth="1"/>
    <col min="6910" max="6910" width="44" style="45" customWidth="1"/>
    <col min="6911" max="6911" width="43.140625" style="45" customWidth="1"/>
    <col min="6912" max="6912" width="45" style="45" customWidth="1"/>
    <col min="6913" max="6913" width="35.5703125" style="45" customWidth="1"/>
    <col min="6914" max="6914" width="37.140625" style="45" customWidth="1"/>
    <col min="6915" max="6915" width="76.7109375" style="45" customWidth="1"/>
    <col min="6916" max="6916" width="37.7109375" style="45" customWidth="1"/>
    <col min="6917" max="6917" width="37.85546875" style="45" customWidth="1"/>
    <col min="6918" max="6918" width="39.85546875" style="45" customWidth="1"/>
    <col min="6919" max="6919" width="53.140625" style="45" customWidth="1"/>
    <col min="6920" max="6920" width="35.28515625" style="45" customWidth="1"/>
    <col min="6921" max="6921" width="31" style="45" customWidth="1"/>
    <col min="6922" max="6922" width="29.140625" style="45" customWidth="1"/>
    <col min="6923" max="6923" width="30.140625" style="45" customWidth="1"/>
    <col min="6924" max="6924" width="49.140625" style="45" customWidth="1"/>
    <col min="6925" max="6925" width="31.85546875" style="45" customWidth="1"/>
    <col min="6926" max="6926" width="39.140625" style="45" customWidth="1"/>
    <col min="6927" max="6927" width="53" style="45" bestFit="1" customWidth="1"/>
    <col min="6928" max="6928" width="33.42578125" style="45" bestFit="1" customWidth="1"/>
    <col min="6929" max="6929" width="28.140625" style="45" customWidth="1"/>
    <col min="6930" max="6934" width="6.7109375" style="45" customWidth="1"/>
    <col min="6935" max="6935" width="1.7109375" style="45" customWidth="1"/>
    <col min="6936" max="7159" width="9.140625" style="45"/>
    <col min="7160" max="7160" width="16" style="45" customWidth="1"/>
    <col min="7161" max="7161" width="27.7109375" style="45" customWidth="1"/>
    <col min="7162" max="7162" width="65.7109375" style="45" customWidth="1"/>
    <col min="7163" max="7163" width="21.85546875" style="45" bestFit="1" customWidth="1"/>
    <col min="7164" max="7164" width="30.140625" style="45" customWidth="1"/>
    <col min="7165" max="7165" width="62" style="45" customWidth="1"/>
    <col min="7166" max="7166" width="44" style="45" customWidth="1"/>
    <col min="7167" max="7167" width="43.140625" style="45" customWidth="1"/>
    <col min="7168" max="7168" width="45" style="45" customWidth="1"/>
    <col min="7169" max="7169" width="35.5703125" style="45" customWidth="1"/>
    <col min="7170" max="7170" width="37.140625" style="45" customWidth="1"/>
    <col min="7171" max="7171" width="76.7109375" style="45" customWidth="1"/>
    <col min="7172" max="7172" width="37.7109375" style="45" customWidth="1"/>
    <col min="7173" max="7173" width="37.85546875" style="45" customWidth="1"/>
    <col min="7174" max="7174" width="39.85546875" style="45" customWidth="1"/>
    <col min="7175" max="7175" width="53.140625" style="45" customWidth="1"/>
    <col min="7176" max="7176" width="35.28515625" style="45" customWidth="1"/>
    <col min="7177" max="7177" width="31" style="45" customWidth="1"/>
    <col min="7178" max="7178" width="29.140625" style="45" customWidth="1"/>
    <col min="7179" max="7179" width="30.140625" style="45" customWidth="1"/>
    <col min="7180" max="7180" width="49.140625" style="45" customWidth="1"/>
    <col min="7181" max="7181" width="31.85546875" style="45" customWidth="1"/>
    <col min="7182" max="7182" width="39.140625" style="45" customWidth="1"/>
    <col min="7183" max="7183" width="53" style="45" bestFit="1" customWidth="1"/>
    <col min="7184" max="7184" width="33.42578125" style="45" bestFit="1" customWidth="1"/>
    <col min="7185" max="7185" width="28.140625" style="45" customWidth="1"/>
    <col min="7186" max="7190" width="6.7109375" style="45" customWidth="1"/>
    <col min="7191" max="7191" width="1.7109375" style="45" customWidth="1"/>
    <col min="7192" max="7415" width="9.140625" style="45"/>
    <col min="7416" max="7416" width="16" style="45" customWidth="1"/>
    <col min="7417" max="7417" width="27.7109375" style="45" customWidth="1"/>
    <col min="7418" max="7418" width="65.7109375" style="45" customWidth="1"/>
    <col min="7419" max="7419" width="21.85546875" style="45" bestFit="1" customWidth="1"/>
    <col min="7420" max="7420" width="30.140625" style="45" customWidth="1"/>
    <col min="7421" max="7421" width="62" style="45" customWidth="1"/>
    <col min="7422" max="7422" width="44" style="45" customWidth="1"/>
    <col min="7423" max="7423" width="43.140625" style="45" customWidth="1"/>
    <col min="7424" max="7424" width="45" style="45" customWidth="1"/>
    <col min="7425" max="7425" width="35.5703125" style="45" customWidth="1"/>
    <col min="7426" max="7426" width="37.140625" style="45" customWidth="1"/>
    <col min="7427" max="7427" width="76.7109375" style="45" customWidth="1"/>
    <col min="7428" max="7428" width="37.7109375" style="45" customWidth="1"/>
    <col min="7429" max="7429" width="37.85546875" style="45" customWidth="1"/>
    <col min="7430" max="7430" width="39.85546875" style="45" customWidth="1"/>
    <col min="7431" max="7431" width="53.140625" style="45" customWidth="1"/>
    <col min="7432" max="7432" width="35.28515625" style="45" customWidth="1"/>
    <col min="7433" max="7433" width="31" style="45" customWidth="1"/>
    <col min="7434" max="7434" width="29.140625" style="45" customWidth="1"/>
    <col min="7435" max="7435" width="30.140625" style="45" customWidth="1"/>
    <col min="7436" max="7436" width="49.140625" style="45" customWidth="1"/>
    <col min="7437" max="7437" width="31.85546875" style="45" customWidth="1"/>
    <col min="7438" max="7438" width="39.140625" style="45" customWidth="1"/>
    <col min="7439" max="7439" width="53" style="45" bestFit="1" customWidth="1"/>
    <col min="7440" max="7440" width="33.42578125" style="45" bestFit="1" customWidth="1"/>
    <col min="7441" max="7441" width="28.140625" style="45" customWidth="1"/>
    <col min="7442" max="7446" width="6.7109375" style="45" customWidth="1"/>
    <col min="7447" max="7447" width="1.7109375" style="45" customWidth="1"/>
    <col min="7448" max="7671" width="9.140625" style="45"/>
    <col min="7672" max="7672" width="16" style="45" customWidth="1"/>
    <col min="7673" max="7673" width="27.7109375" style="45" customWidth="1"/>
    <col min="7674" max="7674" width="65.7109375" style="45" customWidth="1"/>
    <col min="7675" max="7675" width="21.85546875" style="45" bestFit="1" customWidth="1"/>
    <col min="7676" max="7676" width="30.140625" style="45" customWidth="1"/>
    <col min="7677" max="7677" width="62" style="45" customWidth="1"/>
    <col min="7678" max="7678" width="44" style="45" customWidth="1"/>
    <col min="7679" max="7679" width="43.140625" style="45" customWidth="1"/>
    <col min="7680" max="7680" width="45" style="45" customWidth="1"/>
    <col min="7681" max="7681" width="35.5703125" style="45" customWidth="1"/>
    <col min="7682" max="7682" width="37.140625" style="45" customWidth="1"/>
    <col min="7683" max="7683" width="76.7109375" style="45" customWidth="1"/>
    <col min="7684" max="7684" width="37.7109375" style="45" customWidth="1"/>
    <col min="7685" max="7685" width="37.85546875" style="45" customWidth="1"/>
    <col min="7686" max="7686" width="39.85546875" style="45" customWidth="1"/>
    <col min="7687" max="7687" width="53.140625" style="45" customWidth="1"/>
    <col min="7688" max="7688" width="35.28515625" style="45" customWidth="1"/>
    <col min="7689" max="7689" width="31" style="45" customWidth="1"/>
    <col min="7690" max="7690" width="29.140625" style="45" customWidth="1"/>
    <col min="7691" max="7691" width="30.140625" style="45" customWidth="1"/>
    <col min="7692" max="7692" width="49.140625" style="45" customWidth="1"/>
    <col min="7693" max="7693" width="31.85546875" style="45" customWidth="1"/>
    <col min="7694" max="7694" width="39.140625" style="45" customWidth="1"/>
    <col min="7695" max="7695" width="53" style="45" bestFit="1" customWidth="1"/>
    <col min="7696" max="7696" width="33.42578125" style="45" bestFit="1" customWidth="1"/>
    <col min="7697" max="7697" width="28.140625" style="45" customWidth="1"/>
    <col min="7698" max="7702" width="6.7109375" style="45" customWidth="1"/>
    <col min="7703" max="7703" width="1.7109375" style="45" customWidth="1"/>
    <col min="7704" max="7927" width="9.140625" style="45"/>
    <col min="7928" max="7928" width="16" style="45" customWidth="1"/>
    <col min="7929" max="7929" width="27.7109375" style="45" customWidth="1"/>
    <col min="7930" max="7930" width="65.7109375" style="45" customWidth="1"/>
    <col min="7931" max="7931" width="21.85546875" style="45" bestFit="1" customWidth="1"/>
    <col min="7932" max="7932" width="30.140625" style="45" customWidth="1"/>
    <col min="7933" max="7933" width="62" style="45" customWidth="1"/>
    <col min="7934" max="7934" width="44" style="45" customWidth="1"/>
    <col min="7935" max="7935" width="43.140625" style="45" customWidth="1"/>
    <col min="7936" max="7936" width="45" style="45" customWidth="1"/>
    <col min="7937" max="7937" width="35.5703125" style="45" customWidth="1"/>
    <col min="7938" max="7938" width="37.140625" style="45" customWidth="1"/>
    <col min="7939" max="7939" width="76.7109375" style="45" customWidth="1"/>
    <col min="7940" max="7940" width="37.7109375" style="45" customWidth="1"/>
    <col min="7941" max="7941" width="37.85546875" style="45" customWidth="1"/>
    <col min="7942" max="7942" width="39.85546875" style="45" customWidth="1"/>
    <col min="7943" max="7943" width="53.140625" style="45" customWidth="1"/>
    <col min="7944" max="7944" width="35.28515625" style="45" customWidth="1"/>
    <col min="7945" max="7945" width="31" style="45" customWidth="1"/>
    <col min="7946" max="7946" width="29.140625" style="45" customWidth="1"/>
    <col min="7947" max="7947" width="30.140625" style="45" customWidth="1"/>
    <col min="7948" max="7948" width="49.140625" style="45" customWidth="1"/>
    <col min="7949" max="7949" width="31.85546875" style="45" customWidth="1"/>
    <col min="7950" max="7950" width="39.140625" style="45" customWidth="1"/>
    <col min="7951" max="7951" width="53" style="45" bestFit="1" customWidth="1"/>
    <col min="7952" max="7952" width="33.42578125" style="45" bestFit="1" customWidth="1"/>
    <col min="7953" max="7953" width="28.140625" style="45" customWidth="1"/>
    <col min="7954" max="7958" width="6.7109375" style="45" customWidth="1"/>
    <col min="7959" max="7959" width="1.7109375" style="45" customWidth="1"/>
    <col min="7960" max="8183" width="9.140625" style="45"/>
    <col min="8184" max="8184" width="16" style="45" customWidth="1"/>
    <col min="8185" max="8185" width="27.7109375" style="45" customWidth="1"/>
    <col min="8186" max="8186" width="65.7109375" style="45" customWidth="1"/>
    <col min="8187" max="8187" width="21.85546875" style="45" bestFit="1" customWidth="1"/>
    <col min="8188" max="8188" width="30.140625" style="45" customWidth="1"/>
    <col min="8189" max="8189" width="62" style="45" customWidth="1"/>
    <col min="8190" max="8190" width="44" style="45" customWidth="1"/>
    <col min="8191" max="8191" width="43.140625" style="45" customWidth="1"/>
    <col min="8192" max="8192" width="45" style="45" customWidth="1"/>
    <col min="8193" max="8193" width="35.5703125" style="45" customWidth="1"/>
    <col min="8194" max="8194" width="37.140625" style="45" customWidth="1"/>
    <col min="8195" max="8195" width="76.7109375" style="45" customWidth="1"/>
    <col min="8196" max="8196" width="37.7109375" style="45" customWidth="1"/>
    <col min="8197" max="8197" width="37.85546875" style="45" customWidth="1"/>
    <col min="8198" max="8198" width="39.85546875" style="45" customWidth="1"/>
    <col min="8199" max="8199" width="53.140625" style="45" customWidth="1"/>
    <col min="8200" max="8200" width="35.28515625" style="45" customWidth="1"/>
    <col min="8201" max="8201" width="31" style="45" customWidth="1"/>
    <col min="8202" max="8202" width="29.140625" style="45" customWidth="1"/>
    <col min="8203" max="8203" width="30.140625" style="45" customWidth="1"/>
    <col min="8204" max="8204" width="49.140625" style="45" customWidth="1"/>
    <col min="8205" max="8205" width="31.85546875" style="45" customWidth="1"/>
    <col min="8206" max="8206" width="39.140625" style="45" customWidth="1"/>
    <col min="8207" max="8207" width="53" style="45" bestFit="1" customWidth="1"/>
    <col min="8208" max="8208" width="33.42578125" style="45" bestFit="1" customWidth="1"/>
    <col min="8209" max="8209" width="28.140625" style="45" customWidth="1"/>
    <col min="8210" max="8214" width="6.7109375" style="45" customWidth="1"/>
    <col min="8215" max="8215" width="1.7109375" style="45" customWidth="1"/>
    <col min="8216" max="8439" width="9.140625" style="45"/>
    <col min="8440" max="8440" width="16" style="45" customWidth="1"/>
    <col min="8441" max="8441" width="27.7109375" style="45" customWidth="1"/>
    <col min="8442" max="8442" width="65.7109375" style="45" customWidth="1"/>
    <col min="8443" max="8443" width="21.85546875" style="45" bestFit="1" customWidth="1"/>
    <col min="8444" max="8444" width="30.140625" style="45" customWidth="1"/>
    <col min="8445" max="8445" width="62" style="45" customWidth="1"/>
    <col min="8446" max="8446" width="44" style="45" customWidth="1"/>
    <col min="8447" max="8447" width="43.140625" style="45" customWidth="1"/>
    <col min="8448" max="8448" width="45" style="45" customWidth="1"/>
    <col min="8449" max="8449" width="35.5703125" style="45" customWidth="1"/>
    <col min="8450" max="8450" width="37.140625" style="45" customWidth="1"/>
    <col min="8451" max="8451" width="76.7109375" style="45" customWidth="1"/>
    <col min="8452" max="8452" width="37.7109375" style="45" customWidth="1"/>
    <col min="8453" max="8453" width="37.85546875" style="45" customWidth="1"/>
    <col min="8454" max="8454" width="39.85546875" style="45" customWidth="1"/>
    <col min="8455" max="8455" width="53.140625" style="45" customWidth="1"/>
    <col min="8456" max="8456" width="35.28515625" style="45" customWidth="1"/>
    <col min="8457" max="8457" width="31" style="45" customWidth="1"/>
    <col min="8458" max="8458" width="29.140625" style="45" customWidth="1"/>
    <col min="8459" max="8459" width="30.140625" style="45" customWidth="1"/>
    <col min="8460" max="8460" width="49.140625" style="45" customWidth="1"/>
    <col min="8461" max="8461" width="31.85546875" style="45" customWidth="1"/>
    <col min="8462" max="8462" width="39.140625" style="45" customWidth="1"/>
    <col min="8463" max="8463" width="53" style="45" bestFit="1" customWidth="1"/>
    <col min="8464" max="8464" width="33.42578125" style="45" bestFit="1" customWidth="1"/>
    <col min="8465" max="8465" width="28.140625" style="45" customWidth="1"/>
    <col min="8466" max="8470" width="6.7109375" style="45" customWidth="1"/>
    <col min="8471" max="8471" width="1.7109375" style="45" customWidth="1"/>
    <col min="8472" max="8695" width="9.140625" style="45"/>
    <col min="8696" max="8696" width="16" style="45" customWidth="1"/>
    <col min="8697" max="8697" width="27.7109375" style="45" customWidth="1"/>
    <col min="8698" max="8698" width="65.7109375" style="45" customWidth="1"/>
    <col min="8699" max="8699" width="21.85546875" style="45" bestFit="1" customWidth="1"/>
    <col min="8700" max="8700" width="30.140625" style="45" customWidth="1"/>
    <col min="8701" max="8701" width="62" style="45" customWidth="1"/>
    <col min="8702" max="8702" width="44" style="45" customWidth="1"/>
    <col min="8703" max="8703" width="43.140625" style="45" customWidth="1"/>
    <col min="8704" max="8704" width="45" style="45" customWidth="1"/>
    <col min="8705" max="8705" width="35.5703125" style="45" customWidth="1"/>
    <col min="8706" max="8706" width="37.140625" style="45" customWidth="1"/>
    <col min="8707" max="8707" width="76.7109375" style="45" customWidth="1"/>
    <col min="8708" max="8708" width="37.7109375" style="45" customWidth="1"/>
    <col min="8709" max="8709" width="37.85546875" style="45" customWidth="1"/>
    <col min="8710" max="8710" width="39.85546875" style="45" customWidth="1"/>
    <col min="8711" max="8711" width="53.140625" style="45" customWidth="1"/>
    <col min="8712" max="8712" width="35.28515625" style="45" customWidth="1"/>
    <col min="8713" max="8713" width="31" style="45" customWidth="1"/>
    <col min="8714" max="8714" width="29.140625" style="45" customWidth="1"/>
    <col min="8715" max="8715" width="30.140625" style="45" customWidth="1"/>
    <col min="8716" max="8716" width="49.140625" style="45" customWidth="1"/>
    <col min="8717" max="8717" width="31.85546875" style="45" customWidth="1"/>
    <col min="8718" max="8718" width="39.140625" style="45" customWidth="1"/>
    <col min="8719" max="8719" width="53" style="45" bestFit="1" customWidth="1"/>
    <col min="8720" max="8720" width="33.42578125" style="45" bestFit="1" customWidth="1"/>
    <col min="8721" max="8721" width="28.140625" style="45" customWidth="1"/>
    <col min="8722" max="8726" width="6.7109375" style="45" customWidth="1"/>
    <col min="8727" max="8727" width="1.7109375" style="45" customWidth="1"/>
    <col min="8728" max="8951" width="9.140625" style="45"/>
    <col min="8952" max="8952" width="16" style="45" customWidth="1"/>
    <col min="8953" max="8953" width="27.7109375" style="45" customWidth="1"/>
    <col min="8954" max="8954" width="65.7109375" style="45" customWidth="1"/>
    <col min="8955" max="8955" width="21.85546875" style="45" bestFit="1" customWidth="1"/>
    <col min="8956" max="8956" width="30.140625" style="45" customWidth="1"/>
    <col min="8957" max="8957" width="62" style="45" customWidth="1"/>
    <col min="8958" max="8958" width="44" style="45" customWidth="1"/>
    <col min="8959" max="8959" width="43.140625" style="45" customWidth="1"/>
    <col min="8960" max="8960" width="45" style="45" customWidth="1"/>
    <col min="8961" max="8961" width="35.5703125" style="45" customWidth="1"/>
    <col min="8962" max="8962" width="37.140625" style="45" customWidth="1"/>
    <col min="8963" max="8963" width="76.7109375" style="45" customWidth="1"/>
    <col min="8964" max="8964" width="37.7109375" style="45" customWidth="1"/>
    <col min="8965" max="8965" width="37.85546875" style="45" customWidth="1"/>
    <col min="8966" max="8966" width="39.85546875" style="45" customWidth="1"/>
    <col min="8967" max="8967" width="53.140625" style="45" customWidth="1"/>
    <col min="8968" max="8968" width="35.28515625" style="45" customWidth="1"/>
    <col min="8969" max="8969" width="31" style="45" customWidth="1"/>
    <col min="8970" max="8970" width="29.140625" style="45" customWidth="1"/>
    <col min="8971" max="8971" width="30.140625" style="45" customWidth="1"/>
    <col min="8972" max="8972" width="49.140625" style="45" customWidth="1"/>
    <col min="8973" max="8973" width="31.85546875" style="45" customWidth="1"/>
    <col min="8974" max="8974" width="39.140625" style="45" customWidth="1"/>
    <col min="8975" max="8975" width="53" style="45" bestFit="1" customWidth="1"/>
    <col min="8976" max="8976" width="33.42578125" style="45" bestFit="1" customWidth="1"/>
    <col min="8977" max="8977" width="28.140625" style="45" customWidth="1"/>
    <col min="8978" max="8982" width="6.7109375" style="45" customWidth="1"/>
    <col min="8983" max="8983" width="1.7109375" style="45" customWidth="1"/>
    <col min="8984" max="9207" width="9.140625" style="45"/>
    <col min="9208" max="9208" width="16" style="45" customWidth="1"/>
    <col min="9209" max="9209" width="27.7109375" style="45" customWidth="1"/>
    <col min="9210" max="9210" width="65.7109375" style="45" customWidth="1"/>
    <col min="9211" max="9211" width="21.85546875" style="45" bestFit="1" customWidth="1"/>
    <col min="9212" max="9212" width="30.140625" style="45" customWidth="1"/>
    <col min="9213" max="9213" width="62" style="45" customWidth="1"/>
    <col min="9214" max="9214" width="44" style="45" customWidth="1"/>
    <col min="9215" max="9215" width="43.140625" style="45" customWidth="1"/>
    <col min="9216" max="9216" width="45" style="45" customWidth="1"/>
    <col min="9217" max="9217" width="35.5703125" style="45" customWidth="1"/>
    <col min="9218" max="9218" width="37.140625" style="45" customWidth="1"/>
    <col min="9219" max="9219" width="76.7109375" style="45" customWidth="1"/>
    <col min="9220" max="9220" width="37.7109375" style="45" customWidth="1"/>
    <col min="9221" max="9221" width="37.85546875" style="45" customWidth="1"/>
    <col min="9222" max="9222" width="39.85546875" style="45" customWidth="1"/>
    <col min="9223" max="9223" width="53.140625" style="45" customWidth="1"/>
    <col min="9224" max="9224" width="35.28515625" style="45" customWidth="1"/>
    <col min="9225" max="9225" width="31" style="45" customWidth="1"/>
    <col min="9226" max="9226" width="29.140625" style="45" customWidth="1"/>
    <col min="9227" max="9227" width="30.140625" style="45" customWidth="1"/>
    <col min="9228" max="9228" width="49.140625" style="45" customWidth="1"/>
    <col min="9229" max="9229" width="31.85546875" style="45" customWidth="1"/>
    <col min="9230" max="9230" width="39.140625" style="45" customWidth="1"/>
    <col min="9231" max="9231" width="53" style="45" bestFit="1" customWidth="1"/>
    <col min="9232" max="9232" width="33.42578125" style="45" bestFit="1" customWidth="1"/>
    <col min="9233" max="9233" width="28.140625" style="45" customWidth="1"/>
    <col min="9234" max="9238" width="6.7109375" style="45" customWidth="1"/>
    <col min="9239" max="9239" width="1.7109375" style="45" customWidth="1"/>
    <col min="9240" max="9463" width="9.140625" style="45"/>
    <col min="9464" max="9464" width="16" style="45" customWidth="1"/>
    <col min="9465" max="9465" width="27.7109375" style="45" customWidth="1"/>
    <col min="9466" max="9466" width="65.7109375" style="45" customWidth="1"/>
    <col min="9467" max="9467" width="21.85546875" style="45" bestFit="1" customWidth="1"/>
    <col min="9468" max="9468" width="30.140625" style="45" customWidth="1"/>
    <col min="9469" max="9469" width="62" style="45" customWidth="1"/>
    <col min="9470" max="9470" width="44" style="45" customWidth="1"/>
    <col min="9471" max="9471" width="43.140625" style="45" customWidth="1"/>
    <col min="9472" max="9472" width="45" style="45" customWidth="1"/>
    <col min="9473" max="9473" width="35.5703125" style="45" customWidth="1"/>
    <col min="9474" max="9474" width="37.140625" style="45" customWidth="1"/>
    <col min="9475" max="9475" width="76.7109375" style="45" customWidth="1"/>
    <col min="9476" max="9476" width="37.7109375" style="45" customWidth="1"/>
    <col min="9477" max="9477" width="37.85546875" style="45" customWidth="1"/>
    <col min="9478" max="9478" width="39.85546875" style="45" customWidth="1"/>
    <col min="9479" max="9479" width="53.140625" style="45" customWidth="1"/>
    <col min="9480" max="9480" width="35.28515625" style="45" customWidth="1"/>
    <col min="9481" max="9481" width="31" style="45" customWidth="1"/>
    <col min="9482" max="9482" width="29.140625" style="45" customWidth="1"/>
    <col min="9483" max="9483" width="30.140625" style="45" customWidth="1"/>
    <col min="9484" max="9484" width="49.140625" style="45" customWidth="1"/>
    <col min="9485" max="9485" width="31.85546875" style="45" customWidth="1"/>
    <col min="9486" max="9486" width="39.140625" style="45" customWidth="1"/>
    <col min="9487" max="9487" width="53" style="45" bestFit="1" customWidth="1"/>
    <col min="9488" max="9488" width="33.42578125" style="45" bestFit="1" customWidth="1"/>
    <col min="9489" max="9489" width="28.140625" style="45" customWidth="1"/>
    <col min="9490" max="9494" width="6.7109375" style="45" customWidth="1"/>
    <col min="9495" max="9495" width="1.7109375" style="45" customWidth="1"/>
    <col min="9496" max="9719" width="9.140625" style="45"/>
    <col min="9720" max="9720" width="16" style="45" customWidth="1"/>
    <col min="9721" max="9721" width="27.7109375" style="45" customWidth="1"/>
    <col min="9722" max="9722" width="65.7109375" style="45" customWidth="1"/>
    <col min="9723" max="9723" width="21.85546875" style="45" bestFit="1" customWidth="1"/>
    <col min="9724" max="9724" width="30.140625" style="45" customWidth="1"/>
    <col min="9725" max="9725" width="62" style="45" customWidth="1"/>
    <col min="9726" max="9726" width="44" style="45" customWidth="1"/>
    <col min="9727" max="9727" width="43.140625" style="45" customWidth="1"/>
    <col min="9728" max="9728" width="45" style="45" customWidth="1"/>
    <col min="9729" max="9729" width="35.5703125" style="45" customWidth="1"/>
    <col min="9730" max="9730" width="37.140625" style="45" customWidth="1"/>
    <col min="9731" max="9731" width="76.7109375" style="45" customWidth="1"/>
    <col min="9732" max="9732" width="37.7109375" style="45" customWidth="1"/>
    <col min="9733" max="9733" width="37.85546875" style="45" customWidth="1"/>
    <col min="9734" max="9734" width="39.85546875" style="45" customWidth="1"/>
    <col min="9735" max="9735" width="53.140625" style="45" customWidth="1"/>
    <col min="9736" max="9736" width="35.28515625" style="45" customWidth="1"/>
    <col min="9737" max="9737" width="31" style="45" customWidth="1"/>
    <col min="9738" max="9738" width="29.140625" style="45" customWidth="1"/>
    <col min="9739" max="9739" width="30.140625" style="45" customWidth="1"/>
    <col min="9740" max="9740" width="49.140625" style="45" customWidth="1"/>
    <col min="9741" max="9741" width="31.85546875" style="45" customWidth="1"/>
    <col min="9742" max="9742" width="39.140625" style="45" customWidth="1"/>
    <col min="9743" max="9743" width="53" style="45" bestFit="1" customWidth="1"/>
    <col min="9744" max="9744" width="33.42578125" style="45" bestFit="1" customWidth="1"/>
    <col min="9745" max="9745" width="28.140625" style="45" customWidth="1"/>
    <col min="9746" max="9750" width="6.7109375" style="45" customWidth="1"/>
    <col min="9751" max="9751" width="1.7109375" style="45" customWidth="1"/>
    <col min="9752" max="9975" width="9.140625" style="45"/>
    <col min="9976" max="9976" width="16" style="45" customWidth="1"/>
    <col min="9977" max="9977" width="27.7109375" style="45" customWidth="1"/>
    <col min="9978" max="9978" width="65.7109375" style="45" customWidth="1"/>
    <col min="9979" max="9979" width="21.85546875" style="45" bestFit="1" customWidth="1"/>
    <col min="9980" max="9980" width="30.140625" style="45" customWidth="1"/>
    <col min="9981" max="9981" width="62" style="45" customWidth="1"/>
    <col min="9982" max="9982" width="44" style="45" customWidth="1"/>
    <col min="9983" max="9983" width="43.140625" style="45" customWidth="1"/>
    <col min="9984" max="9984" width="45" style="45" customWidth="1"/>
    <col min="9985" max="9985" width="35.5703125" style="45" customWidth="1"/>
    <col min="9986" max="9986" width="37.140625" style="45" customWidth="1"/>
    <col min="9987" max="9987" width="76.7109375" style="45" customWidth="1"/>
    <col min="9988" max="9988" width="37.7109375" style="45" customWidth="1"/>
    <col min="9989" max="9989" width="37.85546875" style="45" customWidth="1"/>
    <col min="9990" max="9990" width="39.85546875" style="45" customWidth="1"/>
    <col min="9991" max="9991" width="53.140625" style="45" customWidth="1"/>
    <col min="9992" max="9992" width="35.28515625" style="45" customWidth="1"/>
    <col min="9993" max="9993" width="31" style="45" customWidth="1"/>
    <col min="9994" max="9994" width="29.140625" style="45" customWidth="1"/>
    <col min="9995" max="9995" width="30.140625" style="45" customWidth="1"/>
    <col min="9996" max="9996" width="49.140625" style="45" customWidth="1"/>
    <col min="9997" max="9997" width="31.85546875" style="45" customWidth="1"/>
    <col min="9998" max="9998" width="39.140625" style="45" customWidth="1"/>
    <col min="9999" max="9999" width="53" style="45" bestFit="1" customWidth="1"/>
    <col min="10000" max="10000" width="33.42578125" style="45" bestFit="1" customWidth="1"/>
    <col min="10001" max="10001" width="28.140625" style="45" customWidth="1"/>
    <col min="10002" max="10006" width="6.7109375" style="45" customWidth="1"/>
    <col min="10007" max="10007" width="1.7109375" style="45" customWidth="1"/>
    <col min="10008" max="10231" width="9.140625" style="45"/>
    <col min="10232" max="10232" width="16" style="45" customWidth="1"/>
    <col min="10233" max="10233" width="27.7109375" style="45" customWidth="1"/>
    <col min="10234" max="10234" width="65.7109375" style="45" customWidth="1"/>
    <col min="10235" max="10235" width="21.85546875" style="45" bestFit="1" customWidth="1"/>
    <col min="10236" max="10236" width="30.140625" style="45" customWidth="1"/>
    <col min="10237" max="10237" width="62" style="45" customWidth="1"/>
    <col min="10238" max="10238" width="44" style="45" customWidth="1"/>
    <col min="10239" max="10239" width="43.140625" style="45" customWidth="1"/>
    <col min="10240" max="10240" width="45" style="45" customWidth="1"/>
    <col min="10241" max="10241" width="35.5703125" style="45" customWidth="1"/>
    <col min="10242" max="10242" width="37.140625" style="45" customWidth="1"/>
    <col min="10243" max="10243" width="76.7109375" style="45" customWidth="1"/>
    <col min="10244" max="10244" width="37.7109375" style="45" customWidth="1"/>
    <col min="10245" max="10245" width="37.85546875" style="45" customWidth="1"/>
    <col min="10246" max="10246" width="39.85546875" style="45" customWidth="1"/>
    <col min="10247" max="10247" width="53.140625" style="45" customWidth="1"/>
    <col min="10248" max="10248" width="35.28515625" style="45" customWidth="1"/>
    <col min="10249" max="10249" width="31" style="45" customWidth="1"/>
    <col min="10250" max="10250" width="29.140625" style="45" customWidth="1"/>
    <col min="10251" max="10251" width="30.140625" style="45" customWidth="1"/>
    <col min="10252" max="10252" width="49.140625" style="45" customWidth="1"/>
    <col min="10253" max="10253" width="31.85546875" style="45" customWidth="1"/>
    <col min="10254" max="10254" width="39.140625" style="45" customWidth="1"/>
    <col min="10255" max="10255" width="53" style="45" bestFit="1" customWidth="1"/>
    <col min="10256" max="10256" width="33.42578125" style="45" bestFit="1" customWidth="1"/>
    <col min="10257" max="10257" width="28.140625" style="45" customWidth="1"/>
    <col min="10258" max="10262" width="6.7109375" style="45" customWidth="1"/>
    <col min="10263" max="10263" width="1.7109375" style="45" customWidth="1"/>
    <col min="10264" max="10487" width="9.140625" style="45"/>
    <col min="10488" max="10488" width="16" style="45" customWidth="1"/>
    <col min="10489" max="10489" width="27.7109375" style="45" customWidth="1"/>
    <col min="10490" max="10490" width="65.7109375" style="45" customWidth="1"/>
    <col min="10491" max="10491" width="21.85546875" style="45" bestFit="1" customWidth="1"/>
    <col min="10492" max="10492" width="30.140625" style="45" customWidth="1"/>
    <col min="10493" max="10493" width="62" style="45" customWidth="1"/>
    <col min="10494" max="10494" width="44" style="45" customWidth="1"/>
    <col min="10495" max="10495" width="43.140625" style="45" customWidth="1"/>
    <col min="10496" max="10496" width="45" style="45" customWidth="1"/>
    <col min="10497" max="10497" width="35.5703125" style="45" customWidth="1"/>
    <col min="10498" max="10498" width="37.140625" style="45" customWidth="1"/>
    <col min="10499" max="10499" width="76.7109375" style="45" customWidth="1"/>
    <col min="10500" max="10500" width="37.7109375" style="45" customWidth="1"/>
    <col min="10501" max="10501" width="37.85546875" style="45" customWidth="1"/>
    <col min="10502" max="10502" width="39.85546875" style="45" customWidth="1"/>
    <col min="10503" max="10503" width="53.140625" style="45" customWidth="1"/>
    <col min="10504" max="10504" width="35.28515625" style="45" customWidth="1"/>
    <col min="10505" max="10505" width="31" style="45" customWidth="1"/>
    <col min="10506" max="10506" width="29.140625" style="45" customWidth="1"/>
    <col min="10507" max="10507" width="30.140625" style="45" customWidth="1"/>
    <col min="10508" max="10508" width="49.140625" style="45" customWidth="1"/>
    <col min="10509" max="10509" width="31.85546875" style="45" customWidth="1"/>
    <col min="10510" max="10510" width="39.140625" style="45" customWidth="1"/>
    <col min="10511" max="10511" width="53" style="45" bestFit="1" customWidth="1"/>
    <col min="10512" max="10512" width="33.42578125" style="45" bestFit="1" customWidth="1"/>
    <col min="10513" max="10513" width="28.140625" style="45" customWidth="1"/>
    <col min="10514" max="10518" width="6.7109375" style="45" customWidth="1"/>
    <col min="10519" max="10519" width="1.7109375" style="45" customWidth="1"/>
    <col min="10520" max="10743" width="9.140625" style="45"/>
    <col min="10744" max="10744" width="16" style="45" customWidth="1"/>
    <col min="10745" max="10745" width="27.7109375" style="45" customWidth="1"/>
    <col min="10746" max="10746" width="65.7109375" style="45" customWidth="1"/>
    <col min="10747" max="10747" width="21.85546875" style="45" bestFit="1" customWidth="1"/>
    <col min="10748" max="10748" width="30.140625" style="45" customWidth="1"/>
    <col min="10749" max="10749" width="62" style="45" customWidth="1"/>
    <col min="10750" max="10750" width="44" style="45" customWidth="1"/>
    <col min="10751" max="10751" width="43.140625" style="45" customWidth="1"/>
    <col min="10752" max="10752" width="45" style="45" customWidth="1"/>
    <col min="10753" max="10753" width="35.5703125" style="45" customWidth="1"/>
    <col min="10754" max="10754" width="37.140625" style="45" customWidth="1"/>
    <col min="10755" max="10755" width="76.7109375" style="45" customWidth="1"/>
    <col min="10756" max="10756" width="37.7109375" style="45" customWidth="1"/>
    <col min="10757" max="10757" width="37.85546875" style="45" customWidth="1"/>
    <col min="10758" max="10758" width="39.85546875" style="45" customWidth="1"/>
    <col min="10759" max="10759" width="53.140625" style="45" customWidth="1"/>
    <col min="10760" max="10760" width="35.28515625" style="45" customWidth="1"/>
    <col min="10761" max="10761" width="31" style="45" customWidth="1"/>
    <col min="10762" max="10762" width="29.140625" style="45" customWidth="1"/>
    <col min="10763" max="10763" width="30.140625" style="45" customWidth="1"/>
    <col min="10764" max="10764" width="49.140625" style="45" customWidth="1"/>
    <col min="10765" max="10765" width="31.85546875" style="45" customWidth="1"/>
    <col min="10766" max="10766" width="39.140625" style="45" customWidth="1"/>
    <col min="10767" max="10767" width="53" style="45" bestFit="1" customWidth="1"/>
    <col min="10768" max="10768" width="33.42578125" style="45" bestFit="1" customWidth="1"/>
    <col min="10769" max="10769" width="28.140625" style="45" customWidth="1"/>
    <col min="10770" max="10774" width="6.7109375" style="45" customWidth="1"/>
    <col min="10775" max="10775" width="1.7109375" style="45" customWidth="1"/>
    <col min="10776" max="10999" width="9.140625" style="45"/>
    <col min="11000" max="11000" width="16" style="45" customWidth="1"/>
    <col min="11001" max="11001" width="27.7109375" style="45" customWidth="1"/>
    <col min="11002" max="11002" width="65.7109375" style="45" customWidth="1"/>
    <col min="11003" max="11003" width="21.85546875" style="45" bestFit="1" customWidth="1"/>
    <col min="11004" max="11004" width="30.140625" style="45" customWidth="1"/>
    <col min="11005" max="11005" width="62" style="45" customWidth="1"/>
    <col min="11006" max="11006" width="44" style="45" customWidth="1"/>
    <col min="11007" max="11007" width="43.140625" style="45" customWidth="1"/>
    <col min="11008" max="11008" width="45" style="45" customWidth="1"/>
    <col min="11009" max="11009" width="35.5703125" style="45" customWidth="1"/>
    <col min="11010" max="11010" width="37.140625" style="45" customWidth="1"/>
    <col min="11011" max="11011" width="76.7109375" style="45" customWidth="1"/>
    <col min="11012" max="11012" width="37.7109375" style="45" customWidth="1"/>
    <col min="11013" max="11013" width="37.85546875" style="45" customWidth="1"/>
    <col min="11014" max="11014" width="39.85546875" style="45" customWidth="1"/>
    <col min="11015" max="11015" width="53.140625" style="45" customWidth="1"/>
    <col min="11016" max="11016" width="35.28515625" style="45" customWidth="1"/>
    <col min="11017" max="11017" width="31" style="45" customWidth="1"/>
    <col min="11018" max="11018" width="29.140625" style="45" customWidth="1"/>
    <col min="11019" max="11019" width="30.140625" style="45" customWidth="1"/>
    <col min="11020" max="11020" width="49.140625" style="45" customWidth="1"/>
    <col min="11021" max="11021" width="31.85546875" style="45" customWidth="1"/>
    <col min="11022" max="11022" width="39.140625" style="45" customWidth="1"/>
    <col min="11023" max="11023" width="53" style="45" bestFit="1" customWidth="1"/>
    <col min="11024" max="11024" width="33.42578125" style="45" bestFit="1" customWidth="1"/>
    <col min="11025" max="11025" width="28.140625" style="45" customWidth="1"/>
    <col min="11026" max="11030" width="6.7109375" style="45" customWidth="1"/>
    <col min="11031" max="11031" width="1.7109375" style="45" customWidth="1"/>
    <col min="11032" max="11255" width="9.140625" style="45"/>
    <col min="11256" max="11256" width="16" style="45" customWidth="1"/>
    <col min="11257" max="11257" width="27.7109375" style="45" customWidth="1"/>
    <col min="11258" max="11258" width="65.7109375" style="45" customWidth="1"/>
    <col min="11259" max="11259" width="21.85546875" style="45" bestFit="1" customWidth="1"/>
    <col min="11260" max="11260" width="30.140625" style="45" customWidth="1"/>
    <col min="11261" max="11261" width="62" style="45" customWidth="1"/>
    <col min="11262" max="11262" width="44" style="45" customWidth="1"/>
    <col min="11263" max="11263" width="43.140625" style="45" customWidth="1"/>
    <col min="11264" max="11264" width="45" style="45" customWidth="1"/>
    <col min="11265" max="11265" width="35.5703125" style="45" customWidth="1"/>
    <col min="11266" max="11266" width="37.140625" style="45" customWidth="1"/>
    <col min="11267" max="11267" width="76.7109375" style="45" customWidth="1"/>
    <col min="11268" max="11268" width="37.7109375" style="45" customWidth="1"/>
    <col min="11269" max="11269" width="37.85546875" style="45" customWidth="1"/>
    <col min="11270" max="11270" width="39.85546875" style="45" customWidth="1"/>
    <col min="11271" max="11271" width="53.140625" style="45" customWidth="1"/>
    <col min="11272" max="11272" width="35.28515625" style="45" customWidth="1"/>
    <col min="11273" max="11273" width="31" style="45" customWidth="1"/>
    <col min="11274" max="11274" width="29.140625" style="45" customWidth="1"/>
    <col min="11275" max="11275" width="30.140625" style="45" customWidth="1"/>
    <col min="11276" max="11276" width="49.140625" style="45" customWidth="1"/>
    <col min="11277" max="11277" width="31.85546875" style="45" customWidth="1"/>
    <col min="11278" max="11278" width="39.140625" style="45" customWidth="1"/>
    <col min="11279" max="11279" width="53" style="45" bestFit="1" customWidth="1"/>
    <col min="11280" max="11280" width="33.42578125" style="45" bestFit="1" customWidth="1"/>
    <col min="11281" max="11281" width="28.140625" style="45" customWidth="1"/>
    <col min="11282" max="11286" width="6.7109375" style="45" customWidth="1"/>
    <col min="11287" max="11287" width="1.7109375" style="45" customWidth="1"/>
    <col min="11288" max="11511" width="9.140625" style="45"/>
    <col min="11512" max="11512" width="16" style="45" customWidth="1"/>
    <col min="11513" max="11513" width="27.7109375" style="45" customWidth="1"/>
    <col min="11514" max="11514" width="65.7109375" style="45" customWidth="1"/>
    <col min="11515" max="11515" width="21.85546875" style="45" bestFit="1" customWidth="1"/>
    <col min="11516" max="11516" width="30.140625" style="45" customWidth="1"/>
    <col min="11517" max="11517" width="62" style="45" customWidth="1"/>
    <col min="11518" max="11518" width="44" style="45" customWidth="1"/>
    <col min="11519" max="11519" width="43.140625" style="45" customWidth="1"/>
    <col min="11520" max="11520" width="45" style="45" customWidth="1"/>
    <col min="11521" max="11521" width="35.5703125" style="45" customWidth="1"/>
    <col min="11522" max="11522" width="37.140625" style="45" customWidth="1"/>
    <col min="11523" max="11523" width="76.7109375" style="45" customWidth="1"/>
    <col min="11524" max="11524" width="37.7109375" style="45" customWidth="1"/>
    <col min="11525" max="11525" width="37.85546875" style="45" customWidth="1"/>
    <col min="11526" max="11526" width="39.85546875" style="45" customWidth="1"/>
    <col min="11527" max="11527" width="53.140625" style="45" customWidth="1"/>
    <col min="11528" max="11528" width="35.28515625" style="45" customWidth="1"/>
    <col min="11529" max="11529" width="31" style="45" customWidth="1"/>
    <col min="11530" max="11530" width="29.140625" style="45" customWidth="1"/>
    <col min="11531" max="11531" width="30.140625" style="45" customWidth="1"/>
    <col min="11532" max="11532" width="49.140625" style="45" customWidth="1"/>
    <col min="11533" max="11533" width="31.85546875" style="45" customWidth="1"/>
    <col min="11534" max="11534" width="39.140625" style="45" customWidth="1"/>
    <col min="11535" max="11535" width="53" style="45" bestFit="1" customWidth="1"/>
    <col min="11536" max="11536" width="33.42578125" style="45" bestFit="1" customWidth="1"/>
    <col min="11537" max="11537" width="28.140625" style="45" customWidth="1"/>
    <col min="11538" max="11542" width="6.7109375" style="45" customWidth="1"/>
    <col min="11543" max="11543" width="1.7109375" style="45" customWidth="1"/>
    <col min="11544" max="11767" width="9.140625" style="45"/>
    <col min="11768" max="11768" width="16" style="45" customWidth="1"/>
    <col min="11769" max="11769" width="27.7109375" style="45" customWidth="1"/>
    <col min="11770" max="11770" width="65.7109375" style="45" customWidth="1"/>
    <col min="11771" max="11771" width="21.85546875" style="45" bestFit="1" customWidth="1"/>
    <col min="11772" max="11772" width="30.140625" style="45" customWidth="1"/>
    <col min="11773" max="11773" width="62" style="45" customWidth="1"/>
    <col min="11774" max="11774" width="44" style="45" customWidth="1"/>
    <col min="11775" max="11775" width="43.140625" style="45" customWidth="1"/>
    <col min="11776" max="11776" width="45" style="45" customWidth="1"/>
    <col min="11777" max="11777" width="35.5703125" style="45" customWidth="1"/>
    <col min="11778" max="11778" width="37.140625" style="45" customWidth="1"/>
    <col min="11779" max="11779" width="76.7109375" style="45" customWidth="1"/>
    <col min="11780" max="11780" width="37.7109375" style="45" customWidth="1"/>
    <col min="11781" max="11781" width="37.85546875" style="45" customWidth="1"/>
    <col min="11782" max="11782" width="39.85546875" style="45" customWidth="1"/>
    <col min="11783" max="11783" width="53.140625" style="45" customWidth="1"/>
    <col min="11784" max="11784" width="35.28515625" style="45" customWidth="1"/>
    <col min="11785" max="11785" width="31" style="45" customWidth="1"/>
    <col min="11786" max="11786" width="29.140625" style="45" customWidth="1"/>
    <col min="11787" max="11787" width="30.140625" style="45" customWidth="1"/>
    <col min="11788" max="11788" width="49.140625" style="45" customWidth="1"/>
    <col min="11789" max="11789" width="31.85546875" style="45" customWidth="1"/>
    <col min="11790" max="11790" width="39.140625" style="45" customWidth="1"/>
    <col min="11791" max="11791" width="53" style="45" bestFit="1" customWidth="1"/>
    <col min="11792" max="11792" width="33.42578125" style="45" bestFit="1" customWidth="1"/>
    <col min="11793" max="11793" width="28.140625" style="45" customWidth="1"/>
    <col min="11794" max="11798" width="6.7109375" style="45" customWidth="1"/>
    <col min="11799" max="11799" width="1.7109375" style="45" customWidth="1"/>
    <col min="11800" max="12023" width="9.140625" style="45"/>
    <col min="12024" max="12024" width="16" style="45" customWidth="1"/>
    <col min="12025" max="12025" width="27.7109375" style="45" customWidth="1"/>
    <col min="12026" max="12026" width="65.7109375" style="45" customWidth="1"/>
    <col min="12027" max="12027" width="21.85546875" style="45" bestFit="1" customWidth="1"/>
    <col min="12028" max="12028" width="30.140625" style="45" customWidth="1"/>
    <col min="12029" max="12029" width="62" style="45" customWidth="1"/>
    <col min="12030" max="12030" width="44" style="45" customWidth="1"/>
    <col min="12031" max="12031" width="43.140625" style="45" customWidth="1"/>
    <col min="12032" max="12032" width="45" style="45" customWidth="1"/>
    <col min="12033" max="12033" width="35.5703125" style="45" customWidth="1"/>
    <col min="12034" max="12034" width="37.140625" style="45" customWidth="1"/>
    <col min="12035" max="12035" width="76.7109375" style="45" customWidth="1"/>
    <col min="12036" max="12036" width="37.7109375" style="45" customWidth="1"/>
    <col min="12037" max="12037" width="37.85546875" style="45" customWidth="1"/>
    <col min="12038" max="12038" width="39.85546875" style="45" customWidth="1"/>
    <col min="12039" max="12039" width="53.140625" style="45" customWidth="1"/>
    <col min="12040" max="12040" width="35.28515625" style="45" customWidth="1"/>
    <col min="12041" max="12041" width="31" style="45" customWidth="1"/>
    <col min="12042" max="12042" width="29.140625" style="45" customWidth="1"/>
    <col min="12043" max="12043" width="30.140625" style="45" customWidth="1"/>
    <col min="12044" max="12044" width="49.140625" style="45" customWidth="1"/>
    <col min="12045" max="12045" width="31.85546875" style="45" customWidth="1"/>
    <col min="12046" max="12046" width="39.140625" style="45" customWidth="1"/>
    <col min="12047" max="12047" width="53" style="45" bestFit="1" customWidth="1"/>
    <col min="12048" max="12048" width="33.42578125" style="45" bestFit="1" customWidth="1"/>
    <col min="12049" max="12049" width="28.140625" style="45" customWidth="1"/>
    <col min="12050" max="12054" width="6.7109375" style="45" customWidth="1"/>
    <col min="12055" max="12055" width="1.7109375" style="45" customWidth="1"/>
    <col min="12056" max="12279" width="9.140625" style="45"/>
    <col min="12280" max="12280" width="16" style="45" customWidth="1"/>
    <col min="12281" max="12281" width="27.7109375" style="45" customWidth="1"/>
    <col min="12282" max="12282" width="65.7109375" style="45" customWidth="1"/>
    <col min="12283" max="12283" width="21.85546875" style="45" bestFit="1" customWidth="1"/>
    <col min="12284" max="12284" width="30.140625" style="45" customWidth="1"/>
    <col min="12285" max="12285" width="62" style="45" customWidth="1"/>
    <col min="12286" max="12286" width="44" style="45" customWidth="1"/>
    <col min="12287" max="12287" width="43.140625" style="45" customWidth="1"/>
    <col min="12288" max="12288" width="45" style="45" customWidth="1"/>
    <col min="12289" max="12289" width="35.5703125" style="45" customWidth="1"/>
    <col min="12290" max="12290" width="37.140625" style="45" customWidth="1"/>
    <col min="12291" max="12291" width="76.7109375" style="45" customWidth="1"/>
    <col min="12292" max="12292" width="37.7109375" style="45" customWidth="1"/>
    <col min="12293" max="12293" width="37.85546875" style="45" customWidth="1"/>
    <col min="12294" max="12294" width="39.85546875" style="45" customWidth="1"/>
    <col min="12295" max="12295" width="53.140625" style="45" customWidth="1"/>
    <col min="12296" max="12296" width="35.28515625" style="45" customWidth="1"/>
    <col min="12297" max="12297" width="31" style="45" customWidth="1"/>
    <col min="12298" max="12298" width="29.140625" style="45" customWidth="1"/>
    <col min="12299" max="12299" width="30.140625" style="45" customWidth="1"/>
    <col min="12300" max="12300" width="49.140625" style="45" customWidth="1"/>
    <col min="12301" max="12301" width="31.85546875" style="45" customWidth="1"/>
    <col min="12302" max="12302" width="39.140625" style="45" customWidth="1"/>
    <col min="12303" max="12303" width="53" style="45" bestFit="1" customWidth="1"/>
    <col min="12304" max="12304" width="33.42578125" style="45" bestFit="1" customWidth="1"/>
    <col min="12305" max="12305" width="28.140625" style="45" customWidth="1"/>
    <col min="12306" max="12310" width="6.7109375" style="45" customWidth="1"/>
    <col min="12311" max="12311" width="1.7109375" style="45" customWidth="1"/>
    <col min="12312" max="12535" width="9.140625" style="45"/>
    <col min="12536" max="12536" width="16" style="45" customWidth="1"/>
    <col min="12537" max="12537" width="27.7109375" style="45" customWidth="1"/>
    <col min="12538" max="12538" width="65.7109375" style="45" customWidth="1"/>
    <col min="12539" max="12539" width="21.85546875" style="45" bestFit="1" customWidth="1"/>
    <col min="12540" max="12540" width="30.140625" style="45" customWidth="1"/>
    <col min="12541" max="12541" width="62" style="45" customWidth="1"/>
    <col min="12542" max="12542" width="44" style="45" customWidth="1"/>
    <col min="12543" max="12543" width="43.140625" style="45" customWidth="1"/>
    <col min="12544" max="12544" width="45" style="45" customWidth="1"/>
    <col min="12545" max="12545" width="35.5703125" style="45" customWidth="1"/>
    <col min="12546" max="12546" width="37.140625" style="45" customWidth="1"/>
    <col min="12547" max="12547" width="76.7109375" style="45" customWidth="1"/>
    <col min="12548" max="12548" width="37.7109375" style="45" customWidth="1"/>
    <col min="12549" max="12549" width="37.85546875" style="45" customWidth="1"/>
    <col min="12550" max="12550" width="39.85546875" style="45" customWidth="1"/>
    <col min="12551" max="12551" width="53.140625" style="45" customWidth="1"/>
    <col min="12552" max="12552" width="35.28515625" style="45" customWidth="1"/>
    <col min="12553" max="12553" width="31" style="45" customWidth="1"/>
    <col min="12554" max="12554" width="29.140625" style="45" customWidth="1"/>
    <col min="12555" max="12555" width="30.140625" style="45" customWidth="1"/>
    <col min="12556" max="12556" width="49.140625" style="45" customWidth="1"/>
    <col min="12557" max="12557" width="31.85546875" style="45" customWidth="1"/>
    <col min="12558" max="12558" width="39.140625" style="45" customWidth="1"/>
    <col min="12559" max="12559" width="53" style="45" bestFit="1" customWidth="1"/>
    <col min="12560" max="12560" width="33.42578125" style="45" bestFit="1" customWidth="1"/>
    <col min="12561" max="12561" width="28.140625" style="45" customWidth="1"/>
    <col min="12562" max="12566" width="6.7109375" style="45" customWidth="1"/>
    <col min="12567" max="12567" width="1.7109375" style="45" customWidth="1"/>
    <col min="12568" max="12791" width="9.140625" style="45"/>
    <col min="12792" max="12792" width="16" style="45" customWidth="1"/>
    <col min="12793" max="12793" width="27.7109375" style="45" customWidth="1"/>
    <col min="12794" max="12794" width="65.7109375" style="45" customWidth="1"/>
    <col min="12795" max="12795" width="21.85546875" style="45" bestFit="1" customWidth="1"/>
    <col min="12796" max="12796" width="30.140625" style="45" customWidth="1"/>
    <col min="12797" max="12797" width="62" style="45" customWidth="1"/>
    <col min="12798" max="12798" width="44" style="45" customWidth="1"/>
    <col min="12799" max="12799" width="43.140625" style="45" customWidth="1"/>
    <col min="12800" max="12800" width="45" style="45" customWidth="1"/>
    <col min="12801" max="12801" width="35.5703125" style="45" customWidth="1"/>
    <col min="12802" max="12802" width="37.140625" style="45" customWidth="1"/>
    <col min="12803" max="12803" width="76.7109375" style="45" customWidth="1"/>
    <col min="12804" max="12804" width="37.7109375" style="45" customWidth="1"/>
    <col min="12805" max="12805" width="37.85546875" style="45" customWidth="1"/>
    <col min="12806" max="12806" width="39.85546875" style="45" customWidth="1"/>
    <col min="12807" max="12807" width="53.140625" style="45" customWidth="1"/>
    <col min="12808" max="12808" width="35.28515625" style="45" customWidth="1"/>
    <col min="12809" max="12809" width="31" style="45" customWidth="1"/>
    <col min="12810" max="12810" width="29.140625" style="45" customWidth="1"/>
    <col min="12811" max="12811" width="30.140625" style="45" customWidth="1"/>
    <col min="12812" max="12812" width="49.140625" style="45" customWidth="1"/>
    <col min="12813" max="12813" width="31.85546875" style="45" customWidth="1"/>
    <col min="12814" max="12814" width="39.140625" style="45" customWidth="1"/>
    <col min="12815" max="12815" width="53" style="45" bestFit="1" customWidth="1"/>
    <col min="12816" max="12816" width="33.42578125" style="45" bestFit="1" customWidth="1"/>
    <col min="12817" max="12817" width="28.140625" style="45" customWidth="1"/>
    <col min="12818" max="12822" width="6.7109375" style="45" customWidth="1"/>
    <col min="12823" max="12823" width="1.7109375" style="45" customWidth="1"/>
    <col min="12824" max="13047" width="9.140625" style="45"/>
    <col min="13048" max="13048" width="16" style="45" customWidth="1"/>
    <col min="13049" max="13049" width="27.7109375" style="45" customWidth="1"/>
    <col min="13050" max="13050" width="65.7109375" style="45" customWidth="1"/>
    <col min="13051" max="13051" width="21.85546875" style="45" bestFit="1" customWidth="1"/>
    <col min="13052" max="13052" width="30.140625" style="45" customWidth="1"/>
    <col min="13053" max="13053" width="62" style="45" customWidth="1"/>
    <col min="13054" max="13054" width="44" style="45" customWidth="1"/>
    <col min="13055" max="13055" width="43.140625" style="45" customWidth="1"/>
    <col min="13056" max="13056" width="45" style="45" customWidth="1"/>
    <col min="13057" max="13057" width="35.5703125" style="45" customWidth="1"/>
    <col min="13058" max="13058" width="37.140625" style="45" customWidth="1"/>
    <col min="13059" max="13059" width="76.7109375" style="45" customWidth="1"/>
    <col min="13060" max="13060" width="37.7109375" style="45" customWidth="1"/>
    <col min="13061" max="13061" width="37.85546875" style="45" customWidth="1"/>
    <col min="13062" max="13062" width="39.85546875" style="45" customWidth="1"/>
    <col min="13063" max="13063" width="53.140625" style="45" customWidth="1"/>
    <col min="13064" max="13064" width="35.28515625" style="45" customWidth="1"/>
    <col min="13065" max="13065" width="31" style="45" customWidth="1"/>
    <col min="13066" max="13066" width="29.140625" style="45" customWidth="1"/>
    <col min="13067" max="13067" width="30.140625" style="45" customWidth="1"/>
    <col min="13068" max="13068" width="49.140625" style="45" customWidth="1"/>
    <col min="13069" max="13069" width="31.85546875" style="45" customWidth="1"/>
    <col min="13070" max="13070" width="39.140625" style="45" customWidth="1"/>
    <col min="13071" max="13071" width="53" style="45" bestFit="1" customWidth="1"/>
    <col min="13072" max="13072" width="33.42578125" style="45" bestFit="1" customWidth="1"/>
    <col min="13073" max="13073" width="28.140625" style="45" customWidth="1"/>
    <col min="13074" max="13078" width="6.7109375" style="45" customWidth="1"/>
    <col min="13079" max="13079" width="1.7109375" style="45" customWidth="1"/>
    <col min="13080" max="13303" width="9.140625" style="45"/>
    <col min="13304" max="13304" width="16" style="45" customWidth="1"/>
    <col min="13305" max="13305" width="27.7109375" style="45" customWidth="1"/>
    <col min="13306" max="13306" width="65.7109375" style="45" customWidth="1"/>
    <col min="13307" max="13307" width="21.85546875" style="45" bestFit="1" customWidth="1"/>
    <col min="13308" max="13308" width="30.140625" style="45" customWidth="1"/>
    <col min="13309" max="13309" width="62" style="45" customWidth="1"/>
    <col min="13310" max="13310" width="44" style="45" customWidth="1"/>
    <col min="13311" max="13311" width="43.140625" style="45" customWidth="1"/>
    <col min="13312" max="13312" width="45" style="45" customWidth="1"/>
    <col min="13313" max="13313" width="35.5703125" style="45" customWidth="1"/>
    <col min="13314" max="13314" width="37.140625" style="45" customWidth="1"/>
    <col min="13315" max="13315" width="76.7109375" style="45" customWidth="1"/>
    <col min="13316" max="13316" width="37.7109375" style="45" customWidth="1"/>
    <col min="13317" max="13317" width="37.85546875" style="45" customWidth="1"/>
    <col min="13318" max="13318" width="39.85546875" style="45" customWidth="1"/>
    <col min="13319" max="13319" width="53.140625" style="45" customWidth="1"/>
    <col min="13320" max="13320" width="35.28515625" style="45" customWidth="1"/>
    <col min="13321" max="13321" width="31" style="45" customWidth="1"/>
    <col min="13322" max="13322" width="29.140625" style="45" customWidth="1"/>
    <col min="13323" max="13323" width="30.140625" style="45" customWidth="1"/>
    <col min="13324" max="13324" width="49.140625" style="45" customWidth="1"/>
    <col min="13325" max="13325" width="31.85546875" style="45" customWidth="1"/>
    <col min="13326" max="13326" width="39.140625" style="45" customWidth="1"/>
    <col min="13327" max="13327" width="53" style="45" bestFit="1" customWidth="1"/>
    <col min="13328" max="13328" width="33.42578125" style="45" bestFit="1" customWidth="1"/>
    <col min="13329" max="13329" width="28.140625" style="45" customWidth="1"/>
    <col min="13330" max="13334" width="6.7109375" style="45" customWidth="1"/>
    <col min="13335" max="13335" width="1.7109375" style="45" customWidth="1"/>
    <col min="13336" max="13559" width="9.140625" style="45"/>
    <col min="13560" max="13560" width="16" style="45" customWidth="1"/>
    <col min="13561" max="13561" width="27.7109375" style="45" customWidth="1"/>
    <col min="13562" max="13562" width="65.7109375" style="45" customWidth="1"/>
    <col min="13563" max="13563" width="21.85546875" style="45" bestFit="1" customWidth="1"/>
    <col min="13564" max="13564" width="30.140625" style="45" customWidth="1"/>
    <col min="13565" max="13565" width="62" style="45" customWidth="1"/>
    <col min="13566" max="13566" width="44" style="45" customWidth="1"/>
    <col min="13567" max="13567" width="43.140625" style="45" customWidth="1"/>
    <col min="13568" max="13568" width="45" style="45" customWidth="1"/>
    <col min="13569" max="13569" width="35.5703125" style="45" customWidth="1"/>
    <col min="13570" max="13570" width="37.140625" style="45" customWidth="1"/>
    <col min="13571" max="13571" width="76.7109375" style="45" customWidth="1"/>
    <col min="13572" max="13572" width="37.7109375" style="45" customWidth="1"/>
    <col min="13573" max="13573" width="37.85546875" style="45" customWidth="1"/>
    <col min="13574" max="13574" width="39.85546875" style="45" customWidth="1"/>
    <col min="13575" max="13575" width="53.140625" style="45" customWidth="1"/>
    <col min="13576" max="13576" width="35.28515625" style="45" customWidth="1"/>
    <col min="13577" max="13577" width="31" style="45" customWidth="1"/>
    <col min="13578" max="13578" width="29.140625" style="45" customWidth="1"/>
    <col min="13579" max="13579" width="30.140625" style="45" customWidth="1"/>
    <col min="13580" max="13580" width="49.140625" style="45" customWidth="1"/>
    <col min="13581" max="13581" width="31.85546875" style="45" customWidth="1"/>
    <col min="13582" max="13582" width="39.140625" style="45" customWidth="1"/>
    <col min="13583" max="13583" width="53" style="45" bestFit="1" customWidth="1"/>
    <col min="13584" max="13584" width="33.42578125" style="45" bestFit="1" customWidth="1"/>
    <col min="13585" max="13585" width="28.140625" style="45" customWidth="1"/>
    <col min="13586" max="13590" width="6.7109375" style="45" customWidth="1"/>
    <col min="13591" max="13591" width="1.7109375" style="45" customWidth="1"/>
    <col min="13592" max="13815" width="9.140625" style="45"/>
    <col min="13816" max="13816" width="16" style="45" customWidth="1"/>
    <col min="13817" max="13817" width="27.7109375" style="45" customWidth="1"/>
    <col min="13818" max="13818" width="65.7109375" style="45" customWidth="1"/>
    <col min="13819" max="13819" width="21.85546875" style="45" bestFit="1" customWidth="1"/>
    <col min="13820" max="13820" width="30.140625" style="45" customWidth="1"/>
    <col min="13821" max="13821" width="62" style="45" customWidth="1"/>
    <col min="13822" max="13822" width="44" style="45" customWidth="1"/>
    <col min="13823" max="13823" width="43.140625" style="45" customWidth="1"/>
    <col min="13824" max="13824" width="45" style="45" customWidth="1"/>
    <col min="13825" max="13825" width="35.5703125" style="45" customWidth="1"/>
    <col min="13826" max="13826" width="37.140625" style="45" customWidth="1"/>
    <col min="13827" max="13827" width="76.7109375" style="45" customWidth="1"/>
    <col min="13828" max="13828" width="37.7109375" style="45" customWidth="1"/>
    <col min="13829" max="13829" width="37.85546875" style="45" customWidth="1"/>
    <col min="13830" max="13830" width="39.85546875" style="45" customWidth="1"/>
    <col min="13831" max="13831" width="53.140625" style="45" customWidth="1"/>
    <col min="13832" max="13832" width="35.28515625" style="45" customWidth="1"/>
    <col min="13833" max="13833" width="31" style="45" customWidth="1"/>
    <col min="13834" max="13834" width="29.140625" style="45" customWidth="1"/>
    <col min="13835" max="13835" width="30.140625" style="45" customWidth="1"/>
    <col min="13836" max="13836" width="49.140625" style="45" customWidth="1"/>
    <col min="13837" max="13837" width="31.85546875" style="45" customWidth="1"/>
    <col min="13838" max="13838" width="39.140625" style="45" customWidth="1"/>
    <col min="13839" max="13839" width="53" style="45" bestFit="1" customWidth="1"/>
    <col min="13840" max="13840" width="33.42578125" style="45" bestFit="1" customWidth="1"/>
    <col min="13841" max="13841" width="28.140625" style="45" customWidth="1"/>
    <col min="13842" max="13846" width="6.7109375" style="45" customWidth="1"/>
    <col min="13847" max="13847" width="1.7109375" style="45" customWidth="1"/>
    <col min="13848" max="14071" width="9.140625" style="45"/>
    <col min="14072" max="14072" width="16" style="45" customWidth="1"/>
    <col min="14073" max="14073" width="27.7109375" style="45" customWidth="1"/>
    <col min="14074" max="14074" width="65.7109375" style="45" customWidth="1"/>
    <col min="14075" max="14075" width="21.85546875" style="45" bestFit="1" customWidth="1"/>
    <col min="14076" max="14076" width="30.140625" style="45" customWidth="1"/>
    <col min="14077" max="14077" width="62" style="45" customWidth="1"/>
    <col min="14078" max="14078" width="44" style="45" customWidth="1"/>
    <col min="14079" max="14079" width="43.140625" style="45" customWidth="1"/>
    <col min="14080" max="14080" width="45" style="45" customWidth="1"/>
    <col min="14081" max="14081" width="35.5703125" style="45" customWidth="1"/>
    <col min="14082" max="14082" width="37.140625" style="45" customWidth="1"/>
    <col min="14083" max="14083" width="76.7109375" style="45" customWidth="1"/>
    <col min="14084" max="14084" width="37.7109375" style="45" customWidth="1"/>
    <col min="14085" max="14085" width="37.85546875" style="45" customWidth="1"/>
    <col min="14086" max="14086" width="39.85546875" style="45" customWidth="1"/>
    <col min="14087" max="14087" width="53.140625" style="45" customWidth="1"/>
    <col min="14088" max="14088" width="35.28515625" style="45" customWidth="1"/>
    <col min="14089" max="14089" width="31" style="45" customWidth="1"/>
    <col min="14090" max="14090" width="29.140625" style="45" customWidth="1"/>
    <col min="14091" max="14091" width="30.140625" style="45" customWidth="1"/>
    <col min="14092" max="14092" width="49.140625" style="45" customWidth="1"/>
    <col min="14093" max="14093" width="31.85546875" style="45" customWidth="1"/>
    <col min="14094" max="14094" width="39.140625" style="45" customWidth="1"/>
    <col min="14095" max="14095" width="53" style="45" bestFit="1" customWidth="1"/>
    <col min="14096" max="14096" width="33.42578125" style="45" bestFit="1" customWidth="1"/>
    <col min="14097" max="14097" width="28.140625" style="45" customWidth="1"/>
    <col min="14098" max="14102" width="6.7109375" style="45" customWidth="1"/>
    <col min="14103" max="14103" width="1.7109375" style="45" customWidth="1"/>
    <col min="14104" max="14327" width="9.140625" style="45"/>
    <col min="14328" max="14328" width="16" style="45" customWidth="1"/>
    <col min="14329" max="14329" width="27.7109375" style="45" customWidth="1"/>
    <col min="14330" max="14330" width="65.7109375" style="45" customWidth="1"/>
    <col min="14331" max="14331" width="21.85546875" style="45" bestFit="1" customWidth="1"/>
    <col min="14332" max="14332" width="30.140625" style="45" customWidth="1"/>
    <col min="14333" max="14333" width="62" style="45" customWidth="1"/>
    <col min="14334" max="14334" width="44" style="45" customWidth="1"/>
    <col min="14335" max="14335" width="43.140625" style="45" customWidth="1"/>
    <col min="14336" max="14336" width="45" style="45" customWidth="1"/>
    <col min="14337" max="14337" width="35.5703125" style="45" customWidth="1"/>
    <col min="14338" max="14338" width="37.140625" style="45" customWidth="1"/>
    <col min="14339" max="14339" width="76.7109375" style="45" customWidth="1"/>
    <col min="14340" max="14340" width="37.7109375" style="45" customWidth="1"/>
    <col min="14341" max="14341" width="37.85546875" style="45" customWidth="1"/>
    <col min="14342" max="14342" width="39.85546875" style="45" customWidth="1"/>
    <col min="14343" max="14343" width="53.140625" style="45" customWidth="1"/>
    <col min="14344" max="14344" width="35.28515625" style="45" customWidth="1"/>
    <col min="14345" max="14345" width="31" style="45" customWidth="1"/>
    <col min="14346" max="14346" width="29.140625" style="45" customWidth="1"/>
    <col min="14347" max="14347" width="30.140625" style="45" customWidth="1"/>
    <col min="14348" max="14348" width="49.140625" style="45" customWidth="1"/>
    <col min="14349" max="14349" width="31.85546875" style="45" customWidth="1"/>
    <col min="14350" max="14350" width="39.140625" style="45" customWidth="1"/>
    <col min="14351" max="14351" width="53" style="45" bestFit="1" customWidth="1"/>
    <col min="14352" max="14352" width="33.42578125" style="45" bestFit="1" customWidth="1"/>
    <col min="14353" max="14353" width="28.140625" style="45" customWidth="1"/>
    <col min="14354" max="14358" width="6.7109375" style="45" customWidth="1"/>
    <col min="14359" max="14359" width="1.7109375" style="45" customWidth="1"/>
    <col min="14360" max="14583" width="9.140625" style="45"/>
    <col min="14584" max="14584" width="16" style="45" customWidth="1"/>
    <col min="14585" max="14585" width="27.7109375" style="45" customWidth="1"/>
    <col min="14586" max="14586" width="65.7109375" style="45" customWidth="1"/>
    <col min="14587" max="14587" width="21.85546875" style="45" bestFit="1" customWidth="1"/>
    <col min="14588" max="14588" width="30.140625" style="45" customWidth="1"/>
    <col min="14589" max="14589" width="62" style="45" customWidth="1"/>
    <col min="14590" max="14590" width="44" style="45" customWidth="1"/>
    <col min="14591" max="14591" width="43.140625" style="45" customWidth="1"/>
    <col min="14592" max="14592" width="45" style="45" customWidth="1"/>
    <col min="14593" max="14593" width="35.5703125" style="45" customWidth="1"/>
    <col min="14594" max="14594" width="37.140625" style="45" customWidth="1"/>
    <col min="14595" max="14595" width="76.7109375" style="45" customWidth="1"/>
    <col min="14596" max="14596" width="37.7109375" style="45" customWidth="1"/>
    <col min="14597" max="14597" width="37.85546875" style="45" customWidth="1"/>
    <col min="14598" max="14598" width="39.85546875" style="45" customWidth="1"/>
    <col min="14599" max="14599" width="53.140625" style="45" customWidth="1"/>
    <col min="14600" max="14600" width="35.28515625" style="45" customWidth="1"/>
    <col min="14601" max="14601" width="31" style="45" customWidth="1"/>
    <col min="14602" max="14602" width="29.140625" style="45" customWidth="1"/>
    <col min="14603" max="14603" width="30.140625" style="45" customWidth="1"/>
    <col min="14604" max="14604" width="49.140625" style="45" customWidth="1"/>
    <col min="14605" max="14605" width="31.85546875" style="45" customWidth="1"/>
    <col min="14606" max="14606" width="39.140625" style="45" customWidth="1"/>
    <col min="14607" max="14607" width="53" style="45" bestFit="1" customWidth="1"/>
    <col min="14608" max="14608" width="33.42578125" style="45" bestFit="1" customWidth="1"/>
    <col min="14609" max="14609" width="28.140625" style="45" customWidth="1"/>
    <col min="14610" max="14614" width="6.7109375" style="45" customWidth="1"/>
    <col min="14615" max="14615" width="1.7109375" style="45" customWidth="1"/>
    <col min="14616" max="14839" width="9.140625" style="45"/>
    <col min="14840" max="14840" width="16" style="45" customWidth="1"/>
    <col min="14841" max="14841" width="27.7109375" style="45" customWidth="1"/>
    <col min="14842" max="14842" width="65.7109375" style="45" customWidth="1"/>
    <col min="14843" max="14843" width="21.85546875" style="45" bestFit="1" customWidth="1"/>
    <col min="14844" max="14844" width="30.140625" style="45" customWidth="1"/>
    <col min="14845" max="14845" width="62" style="45" customWidth="1"/>
    <col min="14846" max="14846" width="44" style="45" customWidth="1"/>
    <col min="14847" max="14847" width="43.140625" style="45" customWidth="1"/>
    <col min="14848" max="14848" width="45" style="45" customWidth="1"/>
    <col min="14849" max="14849" width="35.5703125" style="45" customWidth="1"/>
    <col min="14850" max="14850" width="37.140625" style="45" customWidth="1"/>
    <col min="14851" max="14851" width="76.7109375" style="45" customWidth="1"/>
    <col min="14852" max="14852" width="37.7109375" style="45" customWidth="1"/>
    <col min="14853" max="14853" width="37.85546875" style="45" customWidth="1"/>
    <col min="14854" max="14854" width="39.85546875" style="45" customWidth="1"/>
    <col min="14855" max="14855" width="53.140625" style="45" customWidth="1"/>
    <col min="14856" max="14856" width="35.28515625" style="45" customWidth="1"/>
    <col min="14857" max="14857" width="31" style="45" customWidth="1"/>
    <col min="14858" max="14858" width="29.140625" style="45" customWidth="1"/>
    <col min="14859" max="14859" width="30.140625" style="45" customWidth="1"/>
    <col min="14860" max="14860" width="49.140625" style="45" customWidth="1"/>
    <col min="14861" max="14861" width="31.85546875" style="45" customWidth="1"/>
    <col min="14862" max="14862" width="39.140625" style="45" customWidth="1"/>
    <col min="14863" max="14863" width="53" style="45" bestFit="1" customWidth="1"/>
    <col min="14864" max="14864" width="33.42578125" style="45" bestFit="1" customWidth="1"/>
    <col min="14865" max="14865" width="28.140625" style="45" customWidth="1"/>
    <col min="14866" max="14870" width="6.7109375" style="45" customWidth="1"/>
    <col min="14871" max="14871" width="1.7109375" style="45" customWidth="1"/>
    <col min="14872" max="15095" width="9.140625" style="45"/>
    <col min="15096" max="15096" width="16" style="45" customWidth="1"/>
    <col min="15097" max="15097" width="27.7109375" style="45" customWidth="1"/>
    <col min="15098" max="15098" width="65.7109375" style="45" customWidth="1"/>
    <col min="15099" max="15099" width="21.85546875" style="45" bestFit="1" customWidth="1"/>
    <col min="15100" max="15100" width="30.140625" style="45" customWidth="1"/>
    <col min="15101" max="15101" width="62" style="45" customWidth="1"/>
    <col min="15102" max="15102" width="44" style="45" customWidth="1"/>
    <col min="15103" max="15103" width="43.140625" style="45" customWidth="1"/>
    <col min="15104" max="15104" width="45" style="45" customWidth="1"/>
    <col min="15105" max="15105" width="35.5703125" style="45" customWidth="1"/>
    <col min="15106" max="15106" width="37.140625" style="45" customWidth="1"/>
    <col min="15107" max="15107" width="76.7109375" style="45" customWidth="1"/>
    <col min="15108" max="15108" width="37.7109375" style="45" customWidth="1"/>
    <col min="15109" max="15109" width="37.85546875" style="45" customWidth="1"/>
    <col min="15110" max="15110" width="39.85546875" style="45" customWidth="1"/>
    <col min="15111" max="15111" width="53.140625" style="45" customWidth="1"/>
    <col min="15112" max="15112" width="35.28515625" style="45" customWidth="1"/>
    <col min="15113" max="15113" width="31" style="45" customWidth="1"/>
    <col min="15114" max="15114" width="29.140625" style="45" customWidth="1"/>
    <col min="15115" max="15115" width="30.140625" style="45" customWidth="1"/>
    <col min="15116" max="15116" width="49.140625" style="45" customWidth="1"/>
    <col min="15117" max="15117" width="31.85546875" style="45" customWidth="1"/>
    <col min="15118" max="15118" width="39.140625" style="45" customWidth="1"/>
    <col min="15119" max="15119" width="53" style="45" bestFit="1" customWidth="1"/>
    <col min="15120" max="15120" width="33.42578125" style="45" bestFit="1" customWidth="1"/>
    <col min="15121" max="15121" width="28.140625" style="45" customWidth="1"/>
    <col min="15122" max="15126" width="6.7109375" style="45" customWidth="1"/>
    <col min="15127" max="15127" width="1.7109375" style="45" customWidth="1"/>
    <col min="15128" max="15351" width="9.140625" style="45"/>
    <col min="15352" max="15352" width="16" style="45" customWidth="1"/>
    <col min="15353" max="15353" width="27.7109375" style="45" customWidth="1"/>
    <col min="15354" max="15354" width="65.7109375" style="45" customWidth="1"/>
    <col min="15355" max="15355" width="21.85546875" style="45" bestFit="1" customWidth="1"/>
    <col min="15356" max="15356" width="30.140625" style="45" customWidth="1"/>
    <col min="15357" max="15357" width="62" style="45" customWidth="1"/>
    <col min="15358" max="15358" width="44" style="45" customWidth="1"/>
    <col min="15359" max="15359" width="43.140625" style="45" customWidth="1"/>
    <col min="15360" max="15360" width="45" style="45" customWidth="1"/>
    <col min="15361" max="15361" width="35.5703125" style="45" customWidth="1"/>
    <col min="15362" max="15362" width="37.140625" style="45" customWidth="1"/>
    <col min="15363" max="15363" width="76.7109375" style="45" customWidth="1"/>
    <col min="15364" max="15364" width="37.7109375" style="45" customWidth="1"/>
    <col min="15365" max="15365" width="37.85546875" style="45" customWidth="1"/>
    <col min="15366" max="15366" width="39.85546875" style="45" customWidth="1"/>
    <col min="15367" max="15367" width="53.140625" style="45" customWidth="1"/>
    <col min="15368" max="15368" width="35.28515625" style="45" customWidth="1"/>
    <col min="15369" max="15369" width="31" style="45" customWidth="1"/>
    <col min="15370" max="15370" width="29.140625" style="45" customWidth="1"/>
    <col min="15371" max="15371" width="30.140625" style="45" customWidth="1"/>
    <col min="15372" max="15372" width="49.140625" style="45" customWidth="1"/>
    <col min="15373" max="15373" width="31.85546875" style="45" customWidth="1"/>
    <col min="15374" max="15374" width="39.140625" style="45" customWidth="1"/>
    <col min="15375" max="15375" width="53" style="45" bestFit="1" customWidth="1"/>
    <col min="15376" max="15376" width="33.42578125" style="45" bestFit="1" customWidth="1"/>
    <col min="15377" max="15377" width="28.140625" style="45" customWidth="1"/>
    <col min="15378" max="15382" width="6.7109375" style="45" customWidth="1"/>
    <col min="15383" max="15383" width="1.7109375" style="45" customWidth="1"/>
    <col min="15384" max="15607" width="9.140625" style="45"/>
    <col min="15608" max="15608" width="16" style="45" customWidth="1"/>
    <col min="15609" max="15609" width="27.7109375" style="45" customWidth="1"/>
    <col min="15610" max="15610" width="65.7109375" style="45" customWidth="1"/>
    <col min="15611" max="15611" width="21.85546875" style="45" bestFit="1" customWidth="1"/>
    <col min="15612" max="15612" width="30.140625" style="45" customWidth="1"/>
    <col min="15613" max="15613" width="62" style="45" customWidth="1"/>
    <col min="15614" max="15614" width="44" style="45" customWidth="1"/>
    <col min="15615" max="15615" width="43.140625" style="45" customWidth="1"/>
    <col min="15616" max="15616" width="45" style="45" customWidth="1"/>
    <col min="15617" max="15617" width="35.5703125" style="45" customWidth="1"/>
    <col min="15618" max="15618" width="37.140625" style="45" customWidth="1"/>
    <col min="15619" max="15619" width="76.7109375" style="45" customWidth="1"/>
    <col min="15620" max="15620" width="37.7109375" style="45" customWidth="1"/>
    <col min="15621" max="15621" width="37.85546875" style="45" customWidth="1"/>
    <col min="15622" max="15622" width="39.85546875" style="45" customWidth="1"/>
    <col min="15623" max="15623" width="53.140625" style="45" customWidth="1"/>
    <col min="15624" max="15624" width="35.28515625" style="45" customWidth="1"/>
    <col min="15625" max="15625" width="31" style="45" customWidth="1"/>
    <col min="15626" max="15626" width="29.140625" style="45" customWidth="1"/>
    <col min="15627" max="15627" width="30.140625" style="45" customWidth="1"/>
    <col min="15628" max="15628" width="49.140625" style="45" customWidth="1"/>
    <col min="15629" max="15629" width="31.85546875" style="45" customWidth="1"/>
    <col min="15630" max="15630" width="39.140625" style="45" customWidth="1"/>
    <col min="15631" max="15631" width="53" style="45" bestFit="1" customWidth="1"/>
    <col min="15632" max="15632" width="33.42578125" style="45" bestFit="1" customWidth="1"/>
    <col min="15633" max="15633" width="28.140625" style="45" customWidth="1"/>
    <col min="15634" max="15638" width="6.7109375" style="45" customWidth="1"/>
    <col min="15639" max="15639" width="1.7109375" style="45" customWidth="1"/>
    <col min="15640" max="15863" width="9.140625" style="45"/>
    <col min="15864" max="15864" width="16" style="45" customWidth="1"/>
    <col min="15865" max="15865" width="27.7109375" style="45" customWidth="1"/>
    <col min="15866" max="15866" width="65.7109375" style="45" customWidth="1"/>
    <col min="15867" max="15867" width="21.85546875" style="45" bestFit="1" customWidth="1"/>
    <col min="15868" max="15868" width="30.140625" style="45" customWidth="1"/>
    <col min="15869" max="15869" width="62" style="45" customWidth="1"/>
    <col min="15870" max="15870" width="44" style="45" customWidth="1"/>
    <col min="15871" max="15871" width="43.140625" style="45" customWidth="1"/>
    <col min="15872" max="15872" width="45" style="45" customWidth="1"/>
    <col min="15873" max="15873" width="35.5703125" style="45" customWidth="1"/>
    <col min="15874" max="15874" width="37.140625" style="45" customWidth="1"/>
    <col min="15875" max="15875" width="76.7109375" style="45" customWidth="1"/>
    <col min="15876" max="15876" width="37.7109375" style="45" customWidth="1"/>
    <col min="15877" max="15877" width="37.85546875" style="45" customWidth="1"/>
    <col min="15878" max="15878" width="39.85546875" style="45" customWidth="1"/>
    <col min="15879" max="15879" width="53.140625" style="45" customWidth="1"/>
    <col min="15880" max="15880" width="35.28515625" style="45" customWidth="1"/>
    <col min="15881" max="15881" width="31" style="45" customWidth="1"/>
    <col min="15882" max="15882" width="29.140625" style="45" customWidth="1"/>
    <col min="15883" max="15883" width="30.140625" style="45" customWidth="1"/>
    <col min="15884" max="15884" width="49.140625" style="45" customWidth="1"/>
    <col min="15885" max="15885" width="31.85546875" style="45" customWidth="1"/>
    <col min="15886" max="15886" width="39.140625" style="45" customWidth="1"/>
    <col min="15887" max="15887" width="53" style="45" bestFit="1" customWidth="1"/>
    <col min="15888" max="15888" width="33.42578125" style="45" bestFit="1" customWidth="1"/>
    <col min="15889" max="15889" width="28.140625" style="45" customWidth="1"/>
    <col min="15890" max="15894" width="6.7109375" style="45" customWidth="1"/>
    <col min="15895" max="15895" width="1.7109375" style="45" customWidth="1"/>
    <col min="15896" max="16119" width="9.140625" style="45"/>
    <col min="16120" max="16120" width="16" style="45" customWidth="1"/>
    <col min="16121" max="16121" width="27.7109375" style="45" customWidth="1"/>
    <col min="16122" max="16122" width="65.7109375" style="45" customWidth="1"/>
    <col min="16123" max="16123" width="21.85546875" style="45" bestFit="1" customWidth="1"/>
    <col min="16124" max="16124" width="30.140625" style="45" customWidth="1"/>
    <col min="16125" max="16125" width="62" style="45" customWidth="1"/>
    <col min="16126" max="16126" width="44" style="45" customWidth="1"/>
    <col min="16127" max="16127" width="43.140625" style="45" customWidth="1"/>
    <col min="16128" max="16128" width="45" style="45" customWidth="1"/>
    <col min="16129" max="16129" width="35.5703125" style="45" customWidth="1"/>
    <col min="16130" max="16130" width="37.140625" style="45" customWidth="1"/>
    <col min="16131" max="16131" width="76.7109375" style="45" customWidth="1"/>
    <col min="16132" max="16132" width="37.7109375" style="45" customWidth="1"/>
    <col min="16133" max="16133" width="37.85546875" style="45" customWidth="1"/>
    <col min="16134" max="16134" width="39.85546875" style="45" customWidth="1"/>
    <col min="16135" max="16135" width="53.140625" style="45" customWidth="1"/>
    <col min="16136" max="16136" width="35.28515625" style="45" customWidth="1"/>
    <col min="16137" max="16137" width="31" style="45" customWidth="1"/>
    <col min="16138" max="16138" width="29.140625" style="45" customWidth="1"/>
    <col min="16139" max="16139" width="30.140625" style="45" customWidth="1"/>
    <col min="16140" max="16140" width="49.140625" style="45" customWidth="1"/>
    <col min="16141" max="16141" width="31.85546875" style="45" customWidth="1"/>
    <col min="16142" max="16142" width="39.140625" style="45" customWidth="1"/>
    <col min="16143" max="16143" width="53" style="45" bestFit="1" customWidth="1"/>
    <col min="16144" max="16144" width="33.42578125" style="45" bestFit="1" customWidth="1"/>
    <col min="16145" max="16145" width="28.140625" style="45" customWidth="1"/>
    <col min="16146" max="16150" width="6.7109375" style="45" customWidth="1"/>
    <col min="16151" max="16151" width="1.7109375" style="45" customWidth="1"/>
    <col min="16152" max="16384" width="9.140625" style="45"/>
  </cols>
  <sheetData>
    <row r="1" spans="1:23" ht="30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60.75" customHeight="1" x14ac:dyDescent="0.25">
      <c r="A2" s="1"/>
      <c r="B2" s="352"/>
      <c r="C2" s="353"/>
      <c r="D2" s="353"/>
      <c r="E2" s="354"/>
      <c r="F2" s="358" t="s">
        <v>124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  <c r="S2" s="359"/>
      <c r="T2" s="359"/>
      <c r="U2" s="360"/>
      <c r="V2" s="364"/>
      <c r="W2" s="365"/>
    </row>
    <row r="3" spans="1:23" ht="65.25" customHeight="1" x14ac:dyDescent="0.25">
      <c r="A3" s="1"/>
      <c r="B3" s="355"/>
      <c r="C3" s="356"/>
      <c r="D3" s="356"/>
      <c r="E3" s="357"/>
      <c r="F3" s="361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3"/>
      <c r="V3" s="267" t="s">
        <v>0</v>
      </c>
      <c r="W3" s="146"/>
    </row>
    <row r="4" spans="1:23" ht="60.75" customHeight="1" x14ac:dyDescent="0.25">
      <c r="A4" s="1"/>
      <c r="B4" s="2"/>
      <c r="C4" s="1"/>
      <c r="D4" s="1"/>
      <c r="E4" s="1"/>
      <c r="F4" s="1"/>
      <c r="G4" s="3"/>
      <c r="H4" s="4"/>
      <c r="I4" s="3"/>
      <c r="J4" s="1"/>
      <c r="K4" s="3"/>
      <c r="L4" s="3"/>
      <c r="M4" s="1"/>
      <c r="N4" s="1"/>
      <c r="O4" s="1"/>
      <c r="P4" s="1"/>
      <c r="Q4" s="1"/>
      <c r="R4" s="3"/>
      <c r="S4" s="3"/>
      <c r="T4" s="1"/>
      <c r="U4" s="1"/>
      <c r="V4" s="268" t="s">
        <v>130</v>
      </c>
      <c r="W4" s="147"/>
    </row>
    <row r="5" spans="1:23" ht="60" customHeight="1" x14ac:dyDescent="0.25">
      <c r="A5" s="1"/>
      <c r="B5" s="5" t="s">
        <v>1</v>
      </c>
      <c r="C5" s="3"/>
      <c r="D5" s="3"/>
      <c r="E5" s="3"/>
      <c r="F5" s="3"/>
      <c r="G5" s="6"/>
      <c r="H5" s="7"/>
      <c r="I5" s="3"/>
      <c r="J5" s="4" t="s">
        <v>7</v>
      </c>
      <c r="K5" s="3"/>
      <c r="L5" s="1"/>
      <c r="M5" s="3"/>
      <c r="N5" s="3"/>
      <c r="O5" s="1"/>
      <c r="P5" s="1"/>
      <c r="Q5" s="1"/>
      <c r="R5" s="4" t="s">
        <v>3</v>
      </c>
      <c r="S5" s="1"/>
      <c r="T5" s="1"/>
      <c r="U5" s="1"/>
      <c r="V5" s="1"/>
      <c r="W5" s="8"/>
    </row>
    <row r="6" spans="1:23" ht="65.099999999999994" customHeight="1" x14ac:dyDescent="0.25">
      <c r="A6" s="1"/>
      <c r="B6" s="9" t="s">
        <v>2</v>
      </c>
      <c r="C6" s="7"/>
      <c r="D6" s="259"/>
      <c r="E6" s="6"/>
      <c r="F6" s="1"/>
      <c r="G6" s="51"/>
      <c r="H6" s="7"/>
      <c r="I6" s="1"/>
      <c r="J6" s="7" t="s">
        <v>82</v>
      </c>
      <c r="K6" s="3"/>
      <c r="L6" s="257"/>
      <c r="M6" s="256"/>
      <c r="N6" s="1"/>
      <c r="O6" s="1"/>
      <c r="P6" s="1"/>
      <c r="Q6" s="1"/>
      <c r="R6" s="3" t="s">
        <v>4</v>
      </c>
      <c r="S6" s="11"/>
      <c r="T6" s="1"/>
      <c r="U6" s="265"/>
      <c r="V6" s="1"/>
      <c r="W6" s="52"/>
    </row>
    <row r="7" spans="1:23" ht="65.099999999999994" customHeight="1" x14ac:dyDescent="0.25">
      <c r="A7" s="1"/>
      <c r="B7" s="9" t="s">
        <v>83</v>
      </c>
      <c r="C7" s="7"/>
      <c r="D7" s="259"/>
      <c r="E7" s="51"/>
      <c r="F7" s="1"/>
      <c r="G7" s="1"/>
      <c r="H7" s="7"/>
      <c r="I7" s="1"/>
      <c r="J7" s="7" t="s">
        <v>9</v>
      </c>
      <c r="K7" s="1"/>
      <c r="L7" s="258"/>
      <c r="M7" s="13"/>
      <c r="N7" s="1"/>
      <c r="O7" s="1"/>
      <c r="P7" s="1"/>
      <c r="Q7" s="1"/>
      <c r="R7" s="3" t="s">
        <v>5</v>
      </c>
      <c r="S7" s="11"/>
      <c r="T7" s="1"/>
      <c r="U7" s="266"/>
      <c r="V7" s="1"/>
      <c r="W7" s="52"/>
    </row>
    <row r="8" spans="1:23" ht="65.099999999999994" customHeight="1" x14ac:dyDescent="0.25">
      <c r="A8" s="1"/>
      <c r="B8" s="9" t="s">
        <v>84</v>
      </c>
      <c r="C8" s="7"/>
      <c r="D8" s="261"/>
      <c r="E8" s="14"/>
      <c r="F8" s="1"/>
      <c r="G8" s="1"/>
      <c r="H8" s="7"/>
      <c r="I8" s="1"/>
      <c r="J8" s="7" t="s">
        <v>10</v>
      </c>
      <c r="K8" s="1"/>
      <c r="L8" s="53"/>
      <c r="M8" s="13"/>
      <c r="N8" s="1"/>
      <c r="O8" s="1"/>
      <c r="P8" s="1"/>
      <c r="Q8" s="1"/>
      <c r="R8" s="3" t="s">
        <v>6</v>
      </c>
      <c r="S8" s="11"/>
      <c r="T8" s="1"/>
      <c r="U8" s="264"/>
      <c r="V8" s="1"/>
      <c r="W8" s="52"/>
    </row>
    <row r="9" spans="1:23" ht="65.099999999999994" customHeight="1" x14ac:dyDescent="0.25">
      <c r="A9" s="1"/>
      <c r="B9" s="12" t="s">
        <v>85</v>
      </c>
      <c r="C9" s="1"/>
      <c r="D9" s="262"/>
      <c r="E9" s="15"/>
      <c r="F9" s="1"/>
      <c r="G9" s="3"/>
      <c r="H9" s="7"/>
      <c r="I9" s="3"/>
      <c r="J9" s="7" t="s">
        <v>86</v>
      </c>
      <c r="K9" s="1"/>
      <c r="L9" s="53"/>
      <c r="M9" s="13"/>
      <c r="N9" s="1"/>
      <c r="O9" s="1"/>
      <c r="P9" s="1"/>
      <c r="Q9" s="1"/>
      <c r="R9" s="3"/>
      <c r="S9" s="3"/>
      <c r="T9" s="1"/>
      <c r="U9" s="1"/>
      <c r="V9" s="1"/>
      <c r="W9" s="8"/>
    </row>
    <row r="10" spans="1:23" ht="65.099999999999994" customHeight="1" x14ac:dyDescent="0.25">
      <c r="A10" s="1"/>
      <c r="B10" s="9"/>
      <c r="C10" s="3"/>
      <c r="D10" s="274"/>
      <c r="E10" s="7"/>
      <c r="F10" s="1"/>
      <c r="G10" s="7"/>
      <c r="H10" s="7"/>
      <c r="I10" s="3"/>
      <c r="J10" s="7" t="s">
        <v>8</v>
      </c>
      <c r="K10" s="3"/>
      <c r="L10" s="260"/>
      <c r="M10" s="7"/>
      <c r="N10" s="1"/>
      <c r="O10" s="1"/>
      <c r="P10" s="1"/>
      <c r="Q10" s="1"/>
      <c r="R10" s="3"/>
      <c r="S10" s="1"/>
      <c r="T10" s="1"/>
      <c r="U10" s="1"/>
      <c r="V10" s="1"/>
      <c r="W10" s="8"/>
    </row>
    <row r="11" spans="1:23" ht="65.099999999999994" customHeight="1" x14ac:dyDescent="0.25">
      <c r="A11" s="1"/>
      <c r="B11" s="9"/>
      <c r="C11" s="3"/>
      <c r="D11" s="1"/>
      <c r="E11" s="32"/>
      <c r="F11" s="47"/>
      <c r="G11" s="1"/>
      <c r="H11" s="7"/>
      <c r="I11" s="3"/>
      <c r="J11" s="7" t="s">
        <v>19</v>
      </c>
      <c r="K11" s="3"/>
      <c r="L11" s="259"/>
      <c r="M11" s="7"/>
      <c r="N11" s="3"/>
      <c r="O11" s="1"/>
      <c r="P11" s="3"/>
      <c r="Q11" s="1"/>
      <c r="R11" s="1"/>
      <c r="S11" s="7"/>
      <c r="T11" s="7"/>
      <c r="U11" s="7"/>
      <c r="V11" s="1"/>
      <c r="W11" s="8"/>
    </row>
    <row r="12" spans="1:23" ht="12.75" customHeight="1" x14ac:dyDescent="0.25">
      <c r="A12" s="1"/>
      <c r="B12" s="54"/>
      <c r="C12" s="3"/>
      <c r="D12" s="1"/>
      <c r="E12" s="32"/>
      <c r="F12" s="47"/>
      <c r="G12" s="1"/>
      <c r="H12" s="7"/>
      <c r="I12" s="3"/>
      <c r="J12" s="7"/>
      <c r="K12" s="3"/>
      <c r="L12" s="32"/>
      <c r="M12" s="32"/>
      <c r="N12" s="7"/>
      <c r="O12" s="3"/>
      <c r="P12" s="3"/>
      <c r="Q12" s="1"/>
      <c r="R12" s="1"/>
      <c r="S12" s="7"/>
      <c r="T12" s="7"/>
      <c r="U12" s="7"/>
      <c r="V12" s="1"/>
      <c r="W12" s="8"/>
    </row>
    <row r="13" spans="1:23" ht="59.25" customHeight="1" x14ac:dyDescent="0.25">
      <c r="A13" s="1"/>
      <c r="B13" s="366" t="s">
        <v>114</v>
      </c>
      <c r="C13" s="351" t="s">
        <v>115</v>
      </c>
      <c r="D13" s="351" t="s">
        <v>116</v>
      </c>
      <c r="E13" s="351" t="s">
        <v>113</v>
      </c>
      <c r="F13" s="351" t="s">
        <v>87</v>
      </c>
      <c r="G13" s="351" t="s">
        <v>88</v>
      </c>
      <c r="H13" s="351" t="s">
        <v>89</v>
      </c>
      <c r="I13" s="351" t="s">
        <v>117</v>
      </c>
      <c r="J13" s="351" t="s">
        <v>118</v>
      </c>
      <c r="K13" s="351" t="s">
        <v>119</v>
      </c>
      <c r="L13" s="372" t="s">
        <v>31</v>
      </c>
      <c r="M13" s="372"/>
      <c r="N13" s="372"/>
      <c r="O13" s="372"/>
      <c r="P13" s="372"/>
      <c r="Q13" s="372"/>
      <c r="R13" s="373" t="s">
        <v>11</v>
      </c>
      <c r="S13" s="373"/>
      <c r="T13" s="367" t="s">
        <v>12</v>
      </c>
      <c r="U13" s="368"/>
      <c r="V13" s="368"/>
      <c r="W13" s="369"/>
    </row>
    <row r="14" spans="1:23" ht="103.5" customHeight="1" x14ac:dyDescent="0.25">
      <c r="A14" s="1"/>
      <c r="B14" s="366"/>
      <c r="C14" s="351"/>
      <c r="D14" s="351"/>
      <c r="E14" s="351"/>
      <c r="F14" s="351"/>
      <c r="G14" s="351"/>
      <c r="H14" s="351"/>
      <c r="I14" s="351"/>
      <c r="J14" s="351"/>
      <c r="K14" s="351"/>
      <c r="L14" s="123" t="s">
        <v>90</v>
      </c>
      <c r="M14" s="123" t="s">
        <v>91</v>
      </c>
      <c r="N14" s="123" t="s">
        <v>92</v>
      </c>
      <c r="O14" s="123" t="s">
        <v>93</v>
      </c>
      <c r="P14" s="123" t="s">
        <v>94</v>
      </c>
      <c r="Q14" s="128" t="s">
        <v>95</v>
      </c>
      <c r="R14" s="123" t="s">
        <v>14</v>
      </c>
      <c r="S14" s="123" t="s">
        <v>15</v>
      </c>
      <c r="T14" s="123" t="s">
        <v>16</v>
      </c>
      <c r="U14" s="123" t="s">
        <v>96</v>
      </c>
      <c r="V14" s="370" t="s">
        <v>95</v>
      </c>
      <c r="W14" s="371"/>
    </row>
    <row r="15" spans="1:23" ht="69.95" customHeight="1" x14ac:dyDescent="0.25">
      <c r="A15" s="1"/>
      <c r="B15" s="332">
        <v>1</v>
      </c>
      <c r="C15" s="332"/>
      <c r="D15" s="339"/>
      <c r="E15" s="332"/>
      <c r="F15" s="348"/>
      <c r="G15" s="348"/>
      <c r="H15" s="348"/>
      <c r="I15" s="348"/>
      <c r="J15" s="132" t="s">
        <v>97</v>
      </c>
      <c r="K15" s="131" t="s">
        <v>98</v>
      </c>
      <c r="L15" s="145"/>
      <c r="M15" s="145"/>
      <c r="N15" s="145" t="str">
        <f>IF(M15="","",M15-L15)</f>
        <v/>
      </c>
      <c r="O15" s="145" t="str">
        <f>IF(M15="","",((L15+M15)/2))</f>
        <v/>
      </c>
      <c r="P15" s="16"/>
      <c r="Q15" s="130"/>
      <c r="R15" s="124"/>
      <c r="S15" s="123" t="str">
        <f>IF(R15&lt;&gt;"", 0, "")</f>
        <v/>
      </c>
      <c r="T15" s="124"/>
      <c r="U15" s="123"/>
      <c r="V15" s="291"/>
      <c r="W15" s="292"/>
    </row>
    <row r="16" spans="1:23" ht="69.95" customHeight="1" x14ac:dyDescent="0.25">
      <c r="A16" s="1"/>
      <c r="B16" s="333"/>
      <c r="C16" s="333"/>
      <c r="D16" s="342"/>
      <c r="E16" s="333"/>
      <c r="F16" s="349"/>
      <c r="G16" s="349"/>
      <c r="H16" s="349"/>
      <c r="I16" s="349"/>
      <c r="J16" s="124"/>
      <c r="K16" s="131" t="s">
        <v>99</v>
      </c>
      <c r="L16" s="145"/>
      <c r="M16" s="145"/>
      <c r="N16" s="145" t="str">
        <f>IF(M16="","",M16-L16)</f>
        <v/>
      </c>
      <c r="O16" s="145" t="str">
        <f t="shared" ref="O16:O74" si="0">IF(M16="","",((L16+M16)/2))</f>
        <v/>
      </c>
      <c r="P16" s="16"/>
      <c r="Q16" s="148"/>
      <c r="R16" s="124"/>
      <c r="S16" s="123" t="str">
        <f>IF(R16&lt;&gt;"", 0, "")</f>
        <v/>
      </c>
      <c r="T16" s="124"/>
      <c r="U16" s="123"/>
      <c r="V16" s="293"/>
      <c r="W16" s="62"/>
    </row>
    <row r="17" spans="1:23" ht="69.95" customHeight="1" x14ac:dyDescent="0.25">
      <c r="A17" s="1"/>
      <c r="B17" s="333"/>
      <c r="C17" s="333"/>
      <c r="D17" s="342"/>
      <c r="E17" s="333"/>
      <c r="F17" s="349"/>
      <c r="G17" s="349"/>
      <c r="H17" s="349"/>
      <c r="I17" s="349"/>
      <c r="J17" s="132" t="s">
        <v>100</v>
      </c>
      <c r="K17" s="131" t="s">
        <v>101</v>
      </c>
      <c r="L17" s="145"/>
      <c r="M17" s="145"/>
      <c r="N17" s="145" t="str">
        <f t="shared" ref="N17:N62" si="1">IF(M17="","",M17-L17)</f>
        <v/>
      </c>
      <c r="O17" s="145" t="str">
        <f t="shared" si="0"/>
        <v/>
      </c>
      <c r="P17" s="16"/>
      <c r="Q17" s="148"/>
      <c r="R17" s="31"/>
      <c r="S17" s="129"/>
      <c r="T17" s="124"/>
      <c r="U17" s="123"/>
      <c r="V17" s="293"/>
      <c r="W17" s="62"/>
    </row>
    <row r="18" spans="1:23" ht="69.95" customHeight="1" x14ac:dyDescent="0.25">
      <c r="A18" s="1"/>
      <c r="B18" s="333"/>
      <c r="C18" s="333"/>
      <c r="D18" s="342"/>
      <c r="E18" s="333"/>
      <c r="F18" s="349"/>
      <c r="G18" s="349"/>
      <c r="H18" s="349"/>
      <c r="I18" s="349"/>
      <c r="J18" s="124" t="str">
        <f>IF(J16="","","0.0")</f>
        <v/>
      </c>
      <c r="K18" s="131" t="s">
        <v>102</v>
      </c>
      <c r="L18" s="145"/>
      <c r="M18" s="145"/>
      <c r="N18" s="145" t="str">
        <f t="shared" si="1"/>
        <v/>
      </c>
      <c r="O18" s="145" t="str">
        <f t="shared" si="0"/>
        <v/>
      </c>
      <c r="P18" s="16"/>
      <c r="Q18" s="148"/>
      <c r="R18" s="124"/>
      <c r="S18" s="123" t="str">
        <f>IF(R18&lt;&gt;"", 0, "")</f>
        <v/>
      </c>
      <c r="T18" s="124"/>
      <c r="U18" s="123"/>
      <c r="V18" s="293"/>
      <c r="W18" s="62"/>
    </row>
    <row r="19" spans="1:23" ht="69.95" customHeight="1" x14ac:dyDescent="0.25">
      <c r="A19" s="1"/>
      <c r="B19" s="333"/>
      <c r="C19" s="333"/>
      <c r="D19" s="342"/>
      <c r="E19" s="333"/>
      <c r="F19" s="349"/>
      <c r="G19" s="349"/>
      <c r="H19" s="349"/>
      <c r="I19" s="349"/>
      <c r="J19" s="43"/>
      <c r="K19" s="131" t="s">
        <v>111</v>
      </c>
      <c r="L19" s="145"/>
      <c r="M19" s="145"/>
      <c r="N19" s="145" t="str">
        <f t="shared" si="1"/>
        <v/>
      </c>
      <c r="O19" s="145" t="str">
        <f t="shared" si="0"/>
        <v/>
      </c>
      <c r="P19" s="16"/>
      <c r="Q19" s="148"/>
      <c r="R19" s="31"/>
      <c r="S19" s="129"/>
      <c r="T19" s="124"/>
      <c r="U19" s="123"/>
      <c r="V19" s="293"/>
      <c r="W19" s="62"/>
    </row>
    <row r="20" spans="1:23" ht="69.95" customHeight="1" x14ac:dyDescent="0.25">
      <c r="A20" s="1"/>
      <c r="B20" s="334"/>
      <c r="C20" s="334"/>
      <c r="D20" s="345"/>
      <c r="E20" s="334"/>
      <c r="F20" s="350"/>
      <c r="G20" s="350"/>
      <c r="H20" s="350"/>
      <c r="I20" s="350"/>
      <c r="J20" s="43"/>
      <c r="K20" s="131" t="s">
        <v>112</v>
      </c>
      <c r="L20" s="145"/>
      <c r="M20" s="145"/>
      <c r="N20" s="145" t="str">
        <f t="shared" si="1"/>
        <v/>
      </c>
      <c r="O20" s="145" t="str">
        <f t="shared" si="0"/>
        <v/>
      </c>
      <c r="P20" s="16"/>
      <c r="Q20" s="149"/>
      <c r="R20" s="31"/>
      <c r="S20" s="129"/>
      <c r="T20" s="124"/>
      <c r="U20" s="123"/>
      <c r="V20" s="294"/>
      <c r="W20" s="295"/>
    </row>
    <row r="21" spans="1:23" ht="69.95" customHeight="1" x14ac:dyDescent="0.25">
      <c r="A21" s="1"/>
      <c r="B21" s="332">
        <v>2</v>
      </c>
      <c r="C21" s="332"/>
      <c r="D21" s="339"/>
      <c r="E21" s="332"/>
      <c r="F21" s="348"/>
      <c r="G21" s="348"/>
      <c r="H21" s="348"/>
      <c r="I21" s="348"/>
      <c r="J21" s="132" t="s">
        <v>97</v>
      </c>
      <c r="K21" s="131" t="s">
        <v>98</v>
      </c>
      <c r="L21" s="145"/>
      <c r="M21" s="145"/>
      <c r="N21" s="145" t="str">
        <f t="shared" si="1"/>
        <v/>
      </c>
      <c r="O21" s="145" t="str">
        <f t="shared" si="0"/>
        <v/>
      </c>
      <c r="P21" s="16"/>
      <c r="Q21" s="130"/>
      <c r="R21" s="124"/>
      <c r="S21" s="123" t="str">
        <f t="shared" ref="S21:S22" si="2">IF(R21&lt;&gt;"", 0, "")</f>
        <v/>
      </c>
      <c r="T21" s="124"/>
      <c r="U21" s="123"/>
      <c r="V21" s="291"/>
      <c r="W21" s="292"/>
    </row>
    <row r="22" spans="1:23" ht="69.95" customHeight="1" x14ac:dyDescent="0.25">
      <c r="A22" s="1"/>
      <c r="B22" s="333"/>
      <c r="C22" s="333"/>
      <c r="D22" s="342"/>
      <c r="E22" s="333"/>
      <c r="F22" s="349"/>
      <c r="G22" s="349"/>
      <c r="H22" s="349"/>
      <c r="I22" s="349"/>
      <c r="J22" s="124"/>
      <c r="K22" s="131" t="s">
        <v>99</v>
      </c>
      <c r="L22" s="145"/>
      <c r="M22" s="145"/>
      <c r="N22" s="145" t="str">
        <f t="shared" si="1"/>
        <v/>
      </c>
      <c r="O22" s="145" t="str">
        <f t="shared" si="0"/>
        <v/>
      </c>
      <c r="P22" s="16"/>
      <c r="Q22" s="148"/>
      <c r="R22" s="124"/>
      <c r="S22" s="123" t="str">
        <f t="shared" si="2"/>
        <v/>
      </c>
      <c r="T22" s="124"/>
      <c r="U22" s="123"/>
      <c r="V22" s="293"/>
      <c r="W22" s="62"/>
    </row>
    <row r="23" spans="1:23" ht="69.95" customHeight="1" x14ac:dyDescent="0.25">
      <c r="A23" s="1"/>
      <c r="B23" s="333"/>
      <c r="C23" s="333"/>
      <c r="D23" s="342"/>
      <c r="E23" s="333"/>
      <c r="F23" s="349"/>
      <c r="G23" s="349"/>
      <c r="H23" s="349"/>
      <c r="I23" s="349"/>
      <c r="J23" s="132" t="s">
        <v>100</v>
      </c>
      <c r="K23" s="131" t="s">
        <v>101</v>
      </c>
      <c r="L23" s="145"/>
      <c r="M23" s="145"/>
      <c r="N23" s="145" t="str">
        <f t="shared" si="1"/>
        <v/>
      </c>
      <c r="O23" s="145" t="str">
        <f t="shared" si="0"/>
        <v/>
      </c>
      <c r="P23" s="16"/>
      <c r="Q23" s="148"/>
      <c r="R23" s="31"/>
      <c r="S23" s="129"/>
      <c r="T23" s="124"/>
      <c r="U23" s="123"/>
      <c r="V23" s="293"/>
      <c r="W23" s="62"/>
    </row>
    <row r="24" spans="1:23" ht="69.95" customHeight="1" x14ac:dyDescent="0.25">
      <c r="A24" s="1"/>
      <c r="B24" s="333"/>
      <c r="C24" s="333"/>
      <c r="D24" s="342"/>
      <c r="E24" s="333"/>
      <c r="F24" s="349"/>
      <c r="G24" s="349"/>
      <c r="H24" s="349"/>
      <c r="I24" s="349"/>
      <c r="J24" s="124" t="str">
        <f>IF(J22="","","0.0")</f>
        <v/>
      </c>
      <c r="K24" s="131" t="s">
        <v>102</v>
      </c>
      <c r="L24" s="145"/>
      <c r="M24" s="145"/>
      <c r="N24" s="145" t="str">
        <f t="shared" si="1"/>
        <v/>
      </c>
      <c r="O24" s="145" t="str">
        <f t="shared" si="0"/>
        <v/>
      </c>
      <c r="P24" s="16"/>
      <c r="Q24" s="148"/>
      <c r="R24" s="124"/>
      <c r="S24" s="123" t="str">
        <f>IF(R24&lt;&gt;"", 0, "")</f>
        <v/>
      </c>
      <c r="T24" s="124"/>
      <c r="U24" s="123"/>
      <c r="V24" s="293"/>
      <c r="W24" s="62"/>
    </row>
    <row r="25" spans="1:23" ht="69.95" customHeight="1" x14ac:dyDescent="0.25">
      <c r="A25" s="1"/>
      <c r="B25" s="333"/>
      <c r="C25" s="333"/>
      <c r="D25" s="342"/>
      <c r="E25" s="333"/>
      <c r="F25" s="349"/>
      <c r="G25" s="349"/>
      <c r="H25" s="349"/>
      <c r="I25" s="349"/>
      <c r="J25" s="43"/>
      <c r="K25" s="131" t="s">
        <v>111</v>
      </c>
      <c r="L25" s="145"/>
      <c r="M25" s="145"/>
      <c r="N25" s="145" t="str">
        <f t="shared" si="1"/>
        <v/>
      </c>
      <c r="O25" s="145" t="str">
        <f t="shared" si="0"/>
        <v/>
      </c>
      <c r="P25" s="16"/>
      <c r="Q25" s="148"/>
      <c r="R25" s="31"/>
      <c r="S25" s="129"/>
      <c r="T25" s="124"/>
      <c r="U25" s="123"/>
      <c r="V25" s="293"/>
      <c r="W25" s="62"/>
    </row>
    <row r="26" spans="1:23" ht="69.95" customHeight="1" x14ac:dyDescent="0.25">
      <c r="A26" s="1"/>
      <c r="B26" s="334"/>
      <c r="C26" s="334"/>
      <c r="D26" s="345"/>
      <c r="E26" s="334"/>
      <c r="F26" s="350"/>
      <c r="G26" s="350"/>
      <c r="H26" s="350"/>
      <c r="I26" s="350"/>
      <c r="J26" s="43"/>
      <c r="K26" s="131" t="s">
        <v>112</v>
      </c>
      <c r="L26" s="145"/>
      <c r="M26" s="145"/>
      <c r="N26" s="145" t="str">
        <f t="shared" si="1"/>
        <v/>
      </c>
      <c r="O26" s="145" t="str">
        <f t="shared" si="0"/>
        <v/>
      </c>
      <c r="P26" s="16"/>
      <c r="Q26" s="149"/>
      <c r="R26" s="31"/>
      <c r="S26" s="129"/>
      <c r="T26" s="124"/>
      <c r="U26" s="123"/>
      <c r="V26" s="294"/>
      <c r="W26" s="295"/>
    </row>
    <row r="27" spans="1:23" ht="69.95" customHeight="1" x14ac:dyDescent="0.25">
      <c r="A27" s="1"/>
      <c r="B27" s="332">
        <v>3</v>
      </c>
      <c r="C27" s="332"/>
      <c r="D27" s="339"/>
      <c r="E27" s="332"/>
      <c r="F27" s="348"/>
      <c r="G27" s="348"/>
      <c r="H27" s="348"/>
      <c r="I27" s="348"/>
      <c r="J27" s="132" t="s">
        <v>97</v>
      </c>
      <c r="K27" s="131" t="s">
        <v>98</v>
      </c>
      <c r="L27" s="145"/>
      <c r="M27" s="145"/>
      <c r="N27" s="145" t="str">
        <f t="shared" si="1"/>
        <v/>
      </c>
      <c r="O27" s="145" t="str">
        <f t="shared" si="0"/>
        <v/>
      </c>
      <c r="P27" s="16"/>
      <c r="Q27" s="130"/>
      <c r="R27" s="124"/>
      <c r="S27" s="123" t="str">
        <f t="shared" ref="S27:S28" si="3">IF(R27&lt;&gt;"", 0, "")</f>
        <v/>
      </c>
      <c r="T27" s="124"/>
      <c r="U27" s="123"/>
      <c r="V27" s="291"/>
      <c r="W27" s="292"/>
    </row>
    <row r="28" spans="1:23" ht="69.95" customHeight="1" x14ac:dyDescent="0.25">
      <c r="A28" s="1"/>
      <c r="B28" s="333"/>
      <c r="C28" s="333"/>
      <c r="D28" s="342"/>
      <c r="E28" s="333"/>
      <c r="F28" s="349"/>
      <c r="G28" s="349"/>
      <c r="H28" s="349"/>
      <c r="I28" s="349"/>
      <c r="J28" s="124"/>
      <c r="K28" s="131" t="s">
        <v>99</v>
      </c>
      <c r="L28" s="145"/>
      <c r="M28" s="145"/>
      <c r="N28" s="145" t="str">
        <f t="shared" si="1"/>
        <v/>
      </c>
      <c r="O28" s="145" t="str">
        <f t="shared" si="0"/>
        <v/>
      </c>
      <c r="P28" s="16"/>
      <c r="Q28" s="148"/>
      <c r="R28" s="124"/>
      <c r="S28" s="123" t="str">
        <f t="shared" si="3"/>
        <v/>
      </c>
      <c r="T28" s="124"/>
      <c r="U28" s="123"/>
      <c r="V28" s="293"/>
      <c r="W28" s="62"/>
    </row>
    <row r="29" spans="1:23" ht="69.95" customHeight="1" x14ac:dyDescent="0.25">
      <c r="A29" s="1"/>
      <c r="B29" s="333"/>
      <c r="C29" s="333"/>
      <c r="D29" s="342"/>
      <c r="E29" s="333"/>
      <c r="F29" s="349"/>
      <c r="G29" s="349"/>
      <c r="H29" s="349"/>
      <c r="I29" s="349"/>
      <c r="J29" s="132" t="s">
        <v>100</v>
      </c>
      <c r="K29" s="131" t="s">
        <v>101</v>
      </c>
      <c r="L29" s="145"/>
      <c r="M29" s="145"/>
      <c r="N29" s="145" t="str">
        <f t="shared" si="1"/>
        <v/>
      </c>
      <c r="O29" s="145" t="str">
        <f t="shared" si="0"/>
        <v/>
      </c>
      <c r="P29" s="16"/>
      <c r="Q29" s="148"/>
      <c r="R29" s="31"/>
      <c r="S29" s="129"/>
      <c r="T29" s="124"/>
      <c r="U29" s="123"/>
      <c r="V29" s="293"/>
      <c r="W29" s="62"/>
    </row>
    <row r="30" spans="1:23" ht="69.95" customHeight="1" x14ac:dyDescent="0.25">
      <c r="A30" s="1"/>
      <c r="B30" s="333"/>
      <c r="C30" s="333"/>
      <c r="D30" s="342"/>
      <c r="E30" s="333"/>
      <c r="F30" s="349"/>
      <c r="G30" s="349"/>
      <c r="H30" s="349"/>
      <c r="I30" s="349"/>
      <c r="J30" s="124" t="str">
        <f>IF(J28="","","0.0")</f>
        <v/>
      </c>
      <c r="K30" s="131" t="s">
        <v>102</v>
      </c>
      <c r="L30" s="145"/>
      <c r="M30" s="145"/>
      <c r="N30" s="145" t="str">
        <f t="shared" si="1"/>
        <v/>
      </c>
      <c r="O30" s="145" t="str">
        <f t="shared" si="0"/>
        <v/>
      </c>
      <c r="P30" s="16"/>
      <c r="Q30" s="148"/>
      <c r="R30" s="124"/>
      <c r="S30" s="123" t="str">
        <f>IF(R30&lt;&gt;"", 0, "")</f>
        <v/>
      </c>
      <c r="T30" s="124"/>
      <c r="U30" s="123"/>
      <c r="V30" s="293"/>
      <c r="W30" s="62"/>
    </row>
    <row r="31" spans="1:23" ht="69.95" customHeight="1" x14ac:dyDescent="0.25">
      <c r="A31" s="1"/>
      <c r="B31" s="333"/>
      <c r="C31" s="333"/>
      <c r="D31" s="342"/>
      <c r="E31" s="333"/>
      <c r="F31" s="349"/>
      <c r="G31" s="349"/>
      <c r="H31" s="349"/>
      <c r="I31" s="349"/>
      <c r="J31" s="43"/>
      <c r="K31" s="131" t="s">
        <v>111</v>
      </c>
      <c r="L31" s="145"/>
      <c r="M31" s="145"/>
      <c r="N31" s="145" t="str">
        <f t="shared" si="1"/>
        <v/>
      </c>
      <c r="O31" s="145" t="str">
        <f t="shared" si="0"/>
        <v/>
      </c>
      <c r="P31" s="16"/>
      <c r="Q31" s="148"/>
      <c r="R31" s="31"/>
      <c r="S31" s="129"/>
      <c r="T31" s="124"/>
      <c r="U31" s="123"/>
      <c r="V31" s="293"/>
      <c r="W31" s="62"/>
    </row>
    <row r="32" spans="1:23" ht="69.95" customHeight="1" x14ac:dyDescent="0.25">
      <c r="A32" s="1"/>
      <c r="B32" s="334"/>
      <c r="C32" s="334"/>
      <c r="D32" s="345"/>
      <c r="E32" s="334"/>
      <c r="F32" s="350"/>
      <c r="G32" s="350"/>
      <c r="H32" s="350"/>
      <c r="I32" s="350"/>
      <c r="J32" s="43"/>
      <c r="K32" s="131" t="s">
        <v>112</v>
      </c>
      <c r="L32" s="145"/>
      <c r="M32" s="145"/>
      <c r="N32" s="145" t="str">
        <f t="shared" si="1"/>
        <v/>
      </c>
      <c r="O32" s="145" t="str">
        <f t="shared" si="0"/>
        <v/>
      </c>
      <c r="P32" s="16"/>
      <c r="Q32" s="149"/>
      <c r="R32" s="31"/>
      <c r="S32" s="129"/>
      <c r="T32" s="124"/>
      <c r="U32" s="123"/>
      <c r="V32" s="294"/>
      <c r="W32" s="295"/>
    </row>
    <row r="33" spans="1:23" ht="69.95" customHeight="1" x14ac:dyDescent="0.25">
      <c r="A33" s="1"/>
      <c r="B33" s="332">
        <v>4</v>
      </c>
      <c r="C33" s="332"/>
      <c r="D33" s="339"/>
      <c r="E33" s="332"/>
      <c r="F33" s="348"/>
      <c r="G33" s="348"/>
      <c r="H33" s="348"/>
      <c r="I33" s="348"/>
      <c r="J33" s="132" t="s">
        <v>97</v>
      </c>
      <c r="K33" s="131" t="s">
        <v>98</v>
      </c>
      <c r="L33" s="145"/>
      <c r="M33" s="145"/>
      <c r="N33" s="145" t="str">
        <f t="shared" si="1"/>
        <v/>
      </c>
      <c r="O33" s="145" t="str">
        <f t="shared" si="0"/>
        <v/>
      </c>
      <c r="P33" s="16"/>
      <c r="Q33" s="130"/>
      <c r="R33" s="124"/>
      <c r="S33" s="123" t="str">
        <f t="shared" ref="S33:S34" si="4">IF(R33&lt;&gt;"", 0, "")</f>
        <v/>
      </c>
      <c r="T33" s="124"/>
      <c r="U33" s="123"/>
      <c r="V33" s="291"/>
      <c r="W33" s="292"/>
    </row>
    <row r="34" spans="1:23" ht="69.95" customHeight="1" x14ac:dyDescent="0.25">
      <c r="A34" s="1"/>
      <c r="B34" s="333"/>
      <c r="C34" s="333"/>
      <c r="D34" s="342"/>
      <c r="E34" s="333"/>
      <c r="F34" s="349"/>
      <c r="G34" s="349"/>
      <c r="H34" s="349"/>
      <c r="I34" s="349"/>
      <c r="J34" s="124"/>
      <c r="K34" s="131" t="s">
        <v>99</v>
      </c>
      <c r="L34" s="145"/>
      <c r="M34" s="145"/>
      <c r="N34" s="145" t="str">
        <f t="shared" si="1"/>
        <v/>
      </c>
      <c r="O34" s="145" t="str">
        <f t="shared" si="0"/>
        <v/>
      </c>
      <c r="P34" s="16"/>
      <c r="Q34" s="148"/>
      <c r="R34" s="124"/>
      <c r="S34" s="123" t="str">
        <f t="shared" si="4"/>
        <v/>
      </c>
      <c r="T34" s="124"/>
      <c r="U34" s="123"/>
      <c r="V34" s="293"/>
      <c r="W34" s="62"/>
    </row>
    <row r="35" spans="1:23" ht="69.95" customHeight="1" x14ac:dyDescent="0.25">
      <c r="A35" s="1"/>
      <c r="B35" s="333"/>
      <c r="C35" s="333"/>
      <c r="D35" s="342"/>
      <c r="E35" s="333"/>
      <c r="F35" s="349"/>
      <c r="G35" s="349"/>
      <c r="H35" s="349"/>
      <c r="I35" s="349"/>
      <c r="J35" s="132" t="s">
        <v>100</v>
      </c>
      <c r="K35" s="131" t="s">
        <v>101</v>
      </c>
      <c r="L35" s="145"/>
      <c r="M35" s="145"/>
      <c r="N35" s="145" t="str">
        <f t="shared" si="1"/>
        <v/>
      </c>
      <c r="O35" s="145" t="str">
        <f t="shared" si="0"/>
        <v/>
      </c>
      <c r="P35" s="16"/>
      <c r="Q35" s="148"/>
      <c r="R35" s="31"/>
      <c r="S35" s="129"/>
      <c r="T35" s="124"/>
      <c r="U35" s="123"/>
      <c r="V35" s="293"/>
      <c r="W35" s="62"/>
    </row>
    <row r="36" spans="1:23" ht="69.95" customHeight="1" x14ac:dyDescent="0.25">
      <c r="A36" s="1"/>
      <c r="B36" s="333"/>
      <c r="C36" s="333"/>
      <c r="D36" s="342"/>
      <c r="E36" s="333"/>
      <c r="F36" s="349"/>
      <c r="G36" s="349"/>
      <c r="H36" s="349"/>
      <c r="I36" s="349"/>
      <c r="J36" s="124" t="str">
        <f>IF(J34="","","0.0")</f>
        <v/>
      </c>
      <c r="K36" s="131" t="s">
        <v>102</v>
      </c>
      <c r="L36" s="145"/>
      <c r="M36" s="145"/>
      <c r="N36" s="145" t="str">
        <f t="shared" si="1"/>
        <v/>
      </c>
      <c r="O36" s="145" t="str">
        <f t="shared" si="0"/>
        <v/>
      </c>
      <c r="P36" s="16"/>
      <c r="Q36" s="148"/>
      <c r="R36" s="124"/>
      <c r="S36" s="123" t="str">
        <f>IF(R36&lt;&gt;"", 0, "")</f>
        <v/>
      </c>
      <c r="T36" s="124"/>
      <c r="U36" s="123"/>
      <c r="V36" s="293"/>
      <c r="W36" s="62"/>
    </row>
    <row r="37" spans="1:23" ht="69.95" customHeight="1" x14ac:dyDescent="0.25">
      <c r="A37" s="1"/>
      <c r="B37" s="333"/>
      <c r="C37" s="333"/>
      <c r="D37" s="342"/>
      <c r="E37" s="333"/>
      <c r="F37" s="349"/>
      <c r="G37" s="349"/>
      <c r="H37" s="349"/>
      <c r="I37" s="349"/>
      <c r="J37" s="43"/>
      <c r="K37" s="131" t="s">
        <v>111</v>
      </c>
      <c r="L37" s="145"/>
      <c r="M37" s="145"/>
      <c r="N37" s="145" t="str">
        <f t="shared" si="1"/>
        <v/>
      </c>
      <c r="O37" s="145" t="str">
        <f t="shared" si="0"/>
        <v/>
      </c>
      <c r="P37" s="16"/>
      <c r="Q37" s="148"/>
      <c r="R37" s="31"/>
      <c r="S37" s="129"/>
      <c r="T37" s="124"/>
      <c r="U37" s="123"/>
      <c r="V37" s="293"/>
      <c r="W37" s="62"/>
    </row>
    <row r="38" spans="1:23" ht="69.95" customHeight="1" x14ac:dyDescent="0.25">
      <c r="A38" s="1"/>
      <c r="B38" s="334"/>
      <c r="C38" s="334"/>
      <c r="D38" s="345"/>
      <c r="E38" s="334"/>
      <c r="F38" s="350"/>
      <c r="G38" s="350"/>
      <c r="H38" s="350"/>
      <c r="I38" s="350"/>
      <c r="J38" s="43"/>
      <c r="K38" s="131" t="s">
        <v>112</v>
      </c>
      <c r="L38" s="145"/>
      <c r="M38" s="145"/>
      <c r="N38" s="145" t="str">
        <f t="shared" si="1"/>
        <v/>
      </c>
      <c r="O38" s="145" t="str">
        <f t="shared" si="0"/>
        <v/>
      </c>
      <c r="P38" s="16"/>
      <c r="Q38" s="149"/>
      <c r="R38" s="31"/>
      <c r="S38" s="129"/>
      <c r="T38" s="124"/>
      <c r="U38" s="123"/>
      <c r="V38" s="294"/>
      <c r="W38" s="295"/>
    </row>
    <row r="39" spans="1:23" ht="69.95" customHeight="1" x14ac:dyDescent="0.25">
      <c r="A39" s="1"/>
      <c r="B39" s="332">
        <v>5</v>
      </c>
      <c r="C39" s="332"/>
      <c r="D39" s="339"/>
      <c r="E39" s="332"/>
      <c r="F39" s="348"/>
      <c r="G39" s="348"/>
      <c r="H39" s="348"/>
      <c r="I39" s="348"/>
      <c r="J39" s="132" t="s">
        <v>97</v>
      </c>
      <c r="K39" s="131" t="s">
        <v>98</v>
      </c>
      <c r="L39" s="145"/>
      <c r="M39" s="145"/>
      <c r="N39" s="145" t="str">
        <f t="shared" si="1"/>
        <v/>
      </c>
      <c r="O39" s="145" t="str">
        <f t="shared" si="0"/>
        <v/>
      </c>
      <c r="P39" s="16"/>
      <c r="Q39" s="130"/>
      <c r="R39" s="124"/>
      <c r="S39" s="123" t="str">
        <f t="shared" ref="S39:S40" si="5">IF(R39&lt;&gt;"", 0, "")</f>
        <v/>
      </c>
      <c r="T39" s="124"/>
      <c r="U39" s="123"/>
      <c r="V39" s="291"/>
      <c r="W39" s="292"/>
    </row>
    <row r="40" spans="1:23" ht="69.95" customHeight="1" x14ac:dyDescent="0.25">
      <c r="A40" s="1"/>
      <c r="B40" s="333"/>
      <c r="C40" s="333"/>
      <c r="D40" s="342"/>
      <c r="E40" s="333"/>
      <c r="F40" s="349"/>
      <c r="G40" s="349"/>
      <c r="H40" s="349"/>
      <c r="I40" s="349"/>
      <c r="J40" s="124"/>
      <c r="K40" s="131" t="s">
        <v>99</v>
      </c>
      <c r="L40" s="145"/>
      <c r="M40" s="145"/>
      <c r="N40" s="145" t="str">
        <f t="shared" si="1"/>
        <v/>
      </c>
      <c r="O40" s="145" t="str">
        <f t="shared" si="0"/>
        <v/>
      </c>
      <c r="P40" s="16"/>
      <c r="Q40" s="148"/>
      <c r="R40" s="124"/>
      <c r="S40" s="123" t="str">
        <f t="shared" si="5"/>
        <v/>
      </c>
      <c r="T40" s="124"/>
      <c r="U40" s="123"/>
      <c r="V40" s="293"/>
      <c r="W40" s="62"/>
    </row>
    <row r="41" spans="1:23" ht="69.95" customHeight="1" x14ac:dyDescent="0.25">
      <c r="A41" s="1"/>
      <c r="B41" s="333"/>
      <c r="C41" s="333"/>
      <c r="D41" s="342"/>
      <c r="E41" s="333"/>
      <c r="F41" s="349"/>
      <c r="G41" s="349"/>
      <c r="H41" s="349"/>
      <c r="I41" s="349"/>
      <c r="J41" s="132" t="s">
        <v>100</v>
      </c>
      <c r="K41" s="131" t="s">
        <v>101</v>
      </c>
      <c r="L41" s="145"/>
      <c r="M41" s="145"/>
      <c r="N41" s="145" t="str">
        <f t="shared" si="1"/>
        <v/>
      </c>
      <c r="O41" s="145" t="str">
        <f t="shared" si="0"/>
        <v/>
      </c>
      <c r="P41" s="16"/>
      <c r="Q41" s="148"/>
      <c r="R41" s="31"/>
      <c r="S41" s="129"/>
      <c r="T41" s="124"/>
      <c r="U41" s="123"/>
      <c r="V41" s="293"/>
      <c r="W41" s="62"/>
    </row>
    <row r="42" spans="1:23" ht="69.95" customHeight="1" x14ac:dyDescent="0.25">
      <c r="A42" s="1"/>
      <c r="B42" s="333"/>
      <c r="C42" s="333"/>
      <c r="D42" s="342"/>
      <c r="E42" s="333"/>
      <c r="F42" s="349"/>
      <c r="G42" s="349"/>
      <c r="H42" s="349"/>
      <c r="I42" s="349"/>
      <c r="J42" s="124" t="str">
        <f>IF(J40="","","0.0")</f>
        <v/>
      </c>
      <c r="K42" s="131" t="s">
        <v>102</v>
      </c>
      <c r="L42" s="145"/>
      <c r="M42" s="145"/>
      <c r="N42" s="145" t="str">
        <f t="shared" si="1"/>
        <v/>
      </c>
      <c r="O42" s="145" t="str">
        <f t="shared" si="0"/>
        <v/>
      </c>
      <c r="P42" s="16"/>
      <c r="Q42" s="148"/>
      <c r="R42" s="124"/>
      <c r="S42" s="123" t="str">
        <f>IF(R42&lt;&gt;"", 0, "")</f>
        <v/>
      </c>
      <c r="T42" s="124"/>
      <c r="U42" s="123"/>
      <c r="V42" s="293"/>
      <c r="W42" s="62"/>
    </row>
    <row r="43" spans="1:23" ht="69.95" customHeight="1" x14ac:dyDescent="0.25">
      <c r="A43" s="1"/>
      <c r="B43" s="333"/>
      <c r="C43" s="333"/>
      <c r="D43" s="342"/>
      <c r="E43" s="333"/>
      <c r="F43" s="349"/>
      <c r="G43" s="349"/>
      <c r="H43" s="349"/>
      <c r="I43" s="349"/>
      <c r="J43" s="43"/>
      <c r="K43" s="131" t="s">
        <v>111</v>
      </c>
      <c r="L43" s="145"/>
      <c r="M43" s="145"/>
      <c r="N43" s="145" t="str">
        <f t="shared" si="1"/>
        <v/>
      </c>
      <c r="O43" s="145" t="str">
        <f t="shared" si="0"/>
        <v/>
      </c>
      <c r="P43" s="16"/>
      <c r="Q43" s="148"/>
      <c r="R43" s="31"/>
      <c r="S43" s="129"/>
      <c r="T43" s="124"/>
      <c r="U43" s="123"/>
      <c r="V43" s="293"/>
      <c r="W43" s="62"/>
    </row>
    <row r="44" spans="1:23" ht="69.95" customHeight="1" x14ac:dyDescent="0.25">
      <c r="A44" s="1"/>
      <c r="B44" s="334"/>
      <c r="C44" s="334"/>
      <c r="D44" s="345"/>
      <c r="E44" s="334"/>
      <c r="F44" s="350"/>
      <c r="G44" s="350"/>
      <c r="H44" s="350"/>
      <c r="I44" s="350"/>
      <c r="J44" s="43"/>
      <c r="K44" s="131" t="s">
        <v>112</v>
      </c>
      <c r="L44" s="145"/>
      <c r="M44" s="145"/>
      <c r="N44" s="145" t="str">
        <f t="shared" si="1"/>
        <v/>
      </c>
      <c r="O44" s="145" t="str">
        <f t="shared" si="0"/>
        <v/>
      </c>
      <c r="P44" s="16"/>
      <c r="Q44" s="149"/>
      <c r="R44" s="31"/>
      <c r="S44" s="129"/>
      <c r="T44" s="124"/>
      <c r="U44" s="123"/>
      <c r="V44" s="294"/>
      <c r="W44" s="295"/>
    </row>
    <row r="45" spans="1:23" ht="69.95" customHeight="1" x14ac:dyDescent="0.25">
      <c r="A45" s="1"/>
      <c r="B45" s="332">
        <v>6</v>
      </c>
      <c r="C45" s="332"/>
      <c r="D45" s="339"/>
      <c r="E45" s="332"/>
      <c r="F45" s="348"/>
      <c r="G45" s="348"/>
      <c r="H45" s="348"/>
      <c r="I45" s="348"/>
      <c r="J45" s="132" t="s">
        <v>97</v>
      </c>
      <c r="K45" s="131" t="s">
        <v>98</v>
      </c>
      <c r="L45" s="145"/>
      <c r="M45" s="145"/>
      <c r="N45" s="145" t="str">
        <f t="shared" si="1"/>
        <v/>
      </c>
      <c r="O45" s="145" t="str">
        <f t="shared" si="0"/>
        <v/>
      </c>
      <c r="P45" s="16"/>
      <c r="Q45" s="130"/>
      <c r="R45" s="124"/>
      <c r="S45" s="123" t="str">
        <f t="shared" ref="S45:S46" si="6">IF(R45&lt;&gt;"", 0, "")</f>
        <v/>
      </c>
      <c r="T45" s="124"/>
      <c r="U45" s="123"/>
      <c r="V45" s="291"/>
      <c r="W45" s="292"/>
    </row>
    <row r="46" spans="1:23" ht="69.95" customHeight="1" x14ac:dyDescent="0.25">
      <c r="A46" s="1"/>
      <c r="B46" s="333"/>
      <c r="C46" s="333"/>
      <c r="D46" s="342"/>
      <c r="E46" s="333"/>
      <c r="F46" s="349"/>
      <c r="G46" s="349"/>
      <c r="H46" s="349"/>
      <c r="I46" s="349"/>
      <c r="J46" s="124"/>
      <c r="K46" s="131" t="s">
        <v>99</v>
      </c>
      <c r="L46" s="145"/>
      <c r="M46" s="145"/>
      <c r="N46" s="145" t="str">
        <f t="shared" si="1"/>
        <v/>
      </c>
      <c r="O46" s="145" t="str">
        <f t="shared" si="0"/>
        <v/>
      </c>
      <c r="P46" s="16"/>
      <c r="Q46" s="148"/>
      <c r="R46" s="124"/>
      <c r="S46" s="123" t="str">
        <f t="shared" si="6"/>
        <v/>
      </c>
      <c r="T46" s="124"/>
      <c r="U46" s="123"/>
      <c r="V46" s="293"/>
      <c r="W46" s="62"/>
    </row>
    <row r="47" spans="1:23" ht="69.95" customHeight="1" x14ac:dyDescent="0.25">
      <c r="A47" s="1"/>
      <c r="B47" s="333"/>
      <c r="C47" s="333"/>
      <c r="D47" s="342"/>
      <c r="E47" s="333"/>
      <c r="F47" s="349"/>
      <c r="G47" s="349"/>
      <c r="H47" s="349"/>
      <c r="I47" s="349"/>
      <c r="J47" s="132" t="s">
        <v>100</v>
      </c>
      <c r="K47" s="131" t="s">
        <v>101</v>
      </c>
      <c r="L47" s="145"/>
      <c r="M47" s="145"/>
      <c r="N47" s="145" t="str">
        <f t="shared" si="1"/>
        <v/>
      </c>
      <c r="O47" s="145" t="str">
        <f t="shared" si="0"/>
        <v/>
      </c>
      <c r="P47" s="16"/>
      <c r="Q47" s="148"/>
      <c r="R47" s="31"/>
      <c r="S47" s="129"/>
      <c r="T47" s="124"/>
      <c r="U47" s="123"/>
      <c r="V47" s="293"/>
      <c r="W47" s="62"/>
    </row>
    <row r="48" spans="1:23" ht="69.95" customHeight="1" x14ac:dyDescent="0.25">
      <c r="A48" s="1"/>
      <c r="B48" s="333"/>
      <c r="C48" s="333"/>
      <c r="D48" s="342"/>
      <c r="E48" s="333"/>
      <c r="F48" s="349"/>
      <c r="G48" s="349"/>
      <c r="H48" s="349"/>
      <c r="I48" s="349"/>
      <c r="J48" s="124" t="str">
        <f>IF(J46="","","0.0")</f>
        <v/>
      </c>
      <c r="K48" s="131" t="s">
        <v>102</v>
      </c>
      <c r="L48" s="145"/>
      <c r="M48" s="145"/>
      <c r="N48" s="145" t="str">
        <f t="shared" si="1"/>
        <v/>
      </c>
      <c r="O48" s="145" t="str">
        <f t="shared" si="0"/>
        <v/>
      </c>
      <c r="P48" s="16"/>
      <c r="Q48" s="148"/>
      <c r="R48" s="124"/>
      <c r="S48" s="123" t="str">
        <f>IF(R48&lt;&gt;"", 0, "")</f>
        <v/>
      </c>
      <c r="T48" s="124"/>
      <c r="U48" s="123"/>
      <c r="V48" s="293"/>
      <c r="W48" s="62"/>
    </row>
    <row r="49" spans="1:23" ht="69.95" customHeight="1" x14ac:dyDescent="0.25">
      <c r="A49" s="1"/>
      <c r="B49" s="333"/>
      <c r="C49" s="333"/>
      <c r="D49" s="342"/>
      <c r="E49" s="333"/>
      <c r="F49" s="349"/>
      <c r="G49" s="349"/>
      <c r="H49" s="349"/>
      <c r="I49" s="349"/>
      <c r="J49" s="43"/>
      <c r="K49" s="131" t="s">
        <v>111</v>
      </c>
      <c r="L49" s="145"/>
      <c r="M49" s="145"/>
      <c r="N49" s="145" t="str">
        <f t="shared" si="1"/>
        <v/>
      </c>
      <c r="O49" s="145" t="str">
        <f t="shared" si="0"/>
        <v/>
      </c>
      <c r="P49" s="16"/>
      <c r="Q49" s="148"/>
      <c r="R49" s="31"/>
      <c r="S49" s="129"/>
      <c r="T49" s="124"/>
      <c r="U49" s="123"/>
      <c r="V49" s="293"/>
      <c r="W49" s="62"/>
    </row>
    <row r="50" spans="1:23" ht="69.95" customHeight="1" x14ac:dyDescent="0.25">
      <c r="A50" s="1"/>
      <c r="B50" s="334"/>
      <c r="C50" s="334"/>
      <c r="D50" s="345"/>
      <c r="E50" s="334"/>
      <c r="F50" s="350"/>
      <c r="G50" s="350"/>
      <c r="H50" s="350"/>
      <c r="I50" s="350"/>
      <c r="J50" s="43"/>
      <c r="K50" s="131" t="s">
        <v>112</v>
      </c>
      <c r="L50" s="145"/>
      <c r="M50" s="145"/>
      <c r="N50" s="145" t="str">
        <f t="shared" si="1"/>
        <v/>
      </c>
      <c r="O50" s="145" t="str">
        <f t="shared" si="0"/>
        <v/>
      </c>
      <c r="P50" s="16"/>
      <c r="Q50" s="149"/>
      <c r="R50" s="31"/>
      <c r="S50" s="129"/>
      <c r="T50" s="124"/>
      <c r="U50" s="123"/>
      <c r="V50" s="294"/>
      <c r="W50" s="295"/>
    </row>
    <row r="51" spans="1:23" ht="69.95" customHeight="1" x14ac:dyDescent="0.25">
      <c r="A51" s="1"/>
      <c r="B51" s="332">
        <v>7</v>
      </c>
      <c r="C51" s="332"/>
      <c r="D51" s="339"/>
      <c r="E51" s="332"/>
      <c r="F51" s="348"/>
      <c r="G51" s="348"/>
      <c r="H51" s="348"/>
      <c r="I51" s="348"/>
      <c r="J51" s="132" t="s">
        <v>97</v>
      </c>
      <c r="K51" s="131" t="s">
        <v>98</v>
      </c>
      <c r="L51" s="145"/>
      <c r="M51" s="145"/>
      <c r="N51" s="145" t="str">
        <f t="shared" si="1"/>
        <v/>
      </c>
      <c r="O51" s="145" t="str">
        <f t="shared" si="0"/>
        <v/>
      </c>
      <c r="P51" s="16"/>
      <c r="Q51" s="130"/>
      <c r="R51" s="124"/>
      <c r="S51" s="123" t="str">
        <f t="shared" ref="S51:S52" si="7">IF(R51&lt;&gt;"", 0, "")</f>
        <v/>
      </c>
      <c r="T51" s="124"/>
      <c r="U51" s="123"/>
      <c r="V51" s="291"/>
      <c r="W51" s="292"/>
    </row>
    <row r="52" spans="1:23" ht="69.95" customHeight="1" x14ac:dyDescent="0.25">
      <c r="A52" s="1"/>
      <c r="B52" s="333"/>
      <c r="C52" s="333"/>
      <c r="D52" s="342"/>
      <c r="E52" s="333"/>
      <c r="F52" s="349"/>
      <c r="G52" s="349"/>
      <c r="H52" s="349"/>
      <c r="I52" s="349"/>
      <c r="J52" s="124"/>
      <c r="K52" s="131" t="s">
        <v>99</v>
      </c>
      <c r="L52" s="145"/>
      <c r="M52" s="145"/>
      <c r="N52" s="145" t="str">
        <f t="shared" si="1"/>
        <v/>
      </c>
      <c r="O52" s="145" t="str">
        <f t="shared" si="0"/>
        <v/>
      </c>
      <c r="P52" s="16"/>
      <c r="Q52" s="148"/>
      <c r="R52" s="124"/>
      <c r="S52" s="123" t="str">
        <f t="shared" si="7"/>
        <v/>
      </c>
      <c r="T52" s="124"/>
      <c r="U52" s="123"/>
      <c r="V52" s="293"/>
      <c r="W52" s="62"/>
    </row>
    <row r="53" spans="1:23" ht="69.95" customHeight="1" x14ac:dyDescent="0.25">
      <c r="A53" s="1"/>
      <c r="B53" s="333"/>
      <c r="C53" s="333"/>
      <c r="D53" s="342"/>
      <c r="E53" s="333"/>
      <c r="F53" s="349"/>
      <c r="G53" s="349"/>
      <c r="H53" s="349"/>
      <c r="I53" s="349"/>
      <c r="J53" s="132" t="s">
        <v>100</v>
      </c>
      <c r="K53" s="131" t="s">
        <v>101</v>
      </c>
      <c r="L53" s="145"/>
      <c r="M53" s="145"/>
      <c r="N53" s="145" t="str">
        <f t="shared" si="1"/>
        <v/>
      </c>
      <c r="O53" s="145" t="str">
        <f t="shared" si="0"/>
        <v/>
      </c>
      <c r="P53" s="16"/>
      <c r="Q53" s="148"/>
      <c r="R53" s="31"/>
      <c r="S53" s="129"/>
      <c r="T53" s="124"/>
      <c r="U53" s="123"/>
      <c r="V53" s="293"/>
      <c r="W53" s="62"/>
    </row>
    <row r="54" spans="1:23" ht="69.95" customHeight="1" x14ac:dyDescent="0.25">
      <c r="A54" s="1"/>
      <c r="B54" s="333"/>
      <c r="C54" s="333"/>
      <c r="D54" s="342"/>
      <c r="E54" s="333"/>
      <c r="F54" s="349"/>
      <c r="G54" s="349"/>
      <c r="H54" s="349"/>
      <c r="I54" s="349"/>
      <c r="J54" s="124" t="str">
        <f>IF(J52="","","0.0")</f>
        <v/>
      </c>
      <c r="K54" s="131" t="s">
        <v>102</v>
      </c>
      <c r="L54" s="145"/>
      <c r="M54" s="145"/>
      <c r="N54" s="145" t="str">
        <f t="shared" si="1"/>
        <v/>
      </c>
      <c r="O54" s="145" t="str">
        <f t="shared" si="0"/>
        <v/>
      </c>
      <c r="P54" s="16"/>
      <c r="Q54" s="148"/>
      <c r="R54" s="124"/>
      <c r="S54" s="123" t="str">
        <f>IF(R54&lt;&gt;"", 0, "")</f>
        <v/>
      </c>
      <c r="T54" s="124"/>
      <c r="U54" s="123"/>
      <c r="V54" s="293"/>
      <c r="W54" s="62"/>
    </row>
    <row r="55" spans="1:23" ht="69.95" customHeight="1" x14ac:dyDescent="0.25">
      <c r="A55" s="1"/>
      <c r="B55" s="333"/>
      <c r="C55" s="333"/>
      <c r="D55" s="342"/>
      <c r="E55" s="333"/>
      <c r="F55" s="349"/>
      <c r="G55" s="349"/>
      <c r="H55" s="349"/>
      <c r="I55" s="349"/>
      <c r="J55" s="43"/>
      <c r="K55" s="131" t="s">
        <v>111</v>
      </c>
      <c r="L55" s="145"/>
      <c r="M55" s="145"/>
      <c r="N55" s="145" t="str">
        <f t="shared" si="1"/>
        <v/>
      </c>
      <c r="O55" s="145" t="str">
        <f t="shared" si="0"/>
        <v/>
      </c>
      <c r="P55" s="16"/>
      <c r="Q55" s="148"/>
      <c r="R55" s="31"/>
      <c r="S55" s="129"/>
      <c r="T55" s="124"/>
      <c r="U55" s="123"/>
      <c r="V55" s="293"/>
      <c r="W55" s="62"/>
    </row>
    <row r="56" spans="1:23" ht="69.95" customHeight="1" x14ac:dyDescent="0.25">
      <c r="A56" s="1"/>
      <c r="B56" s="334"/>
      <c r="C56" s="334"/>
      <c r="D56" s="345"/>
      <c r="E56" s="334"/>
      <c r="F56" s="350"/>
      <c r="G56" s="350"/>
      <c r="H56" s="350"/>
      <c r="I56" s="350"/>
      <c r="J56" s="43"/>
      <c r="K56" s="131" t="s">
        <v>112</v>
      </c>
      <c r="L56" s="145"/>
      <c r="M56" s="145"/>
      <c r="N56" s="145" t="str">
        <f t="shared" si="1"/>
        <v/>
      </c>
      <c r="O56" s="145" t="str">
        <f t="shared" si="0"/>
        <v/>
      </c>
      <c r="P56" s="16"/>
      <c r="Q56" s="149"/>
      <c r="R56" s="31"/>
      <c r="S56" s="129"/>
      <c r="T56" s="124"/>
      <c r="U56" s="123"/>
      <c r="V56" s="294"/>
      <c r="W56" s="295"/>
    </row>
    <row r="57" spans="1:23" ht="69.95" customHeight="1" x14ac:dyDescent="0.25">
      <c r="A57" s="1"/>
      <c r="B57" s="332">
        <v>8</v>
      </c>
      <c r="C57" s="332"/>
      <c r="D57" s="339"/>
      <c r="E57" s="332"/>
      <c r="F57" s="348"/>
      <c r="G57" s="348"/>
      <c r="H57" s="348"/>
      <c r="I57" s="348"/>
      <c r="J57" s="132" t="s">
        <v>97</v>
      </c>
      <c r="K57" s="131" t="s">
        <v>98</v>
      </c>
      <c r="L57" s="145"/>
      <c r="M57" s="145"/>
      <c r="N57" s="145" t="str">
        <f t="shared" si="1"/>
        <v/>
      </c>
      <c r="O57" s="145" t="str">
        <f t="shared" si="0"/>
        <v/>
      </c>
      <c r="P57" s="16"/>
      <c r="Q57" s="130"/>
      <c r="R57" s="124"/>
      <c r="S57" s="123" t="str">
        <f t="shared" ref="S57:S58" si="8">IF(R57&lt;&gt;"", 0, "")</f>
        <v/>
      </c>
      <c r="T57" s="124"/>
      <c r="U57" s="123"/>
      <c r="V57" s="291"/>
      <c r="W57" s="292"/>
    </row>
    <row r="58" spans="1:23" ht="69.95" customHeight="1" x14ac:dyDescent="0.25">
      <c r="A58" s="1"/>
      <c r="B58" s="333"/>
      <c r="C58" s="333"/>
      <c r="D58" s="342"/>
      <c r="E58" s="333"/>
      <c r="F58" s="349"/>
      <c r="G58" s="349"/>
      <c r="H58" s="349"/>
      <c r="I58" s="349"/>
      <c r="J58" s="124"/>
      <c r="K58" s="131" t="s">
        <v>99</v>
      </c>
      <c r="L58" s="145"/>
      <c r="M58" s="145"/>
      <c r="N58" s="145" t="str">
        <f t="shared" si="1"/>
        <v/>
      </c>
      <c r="O58" s="145" t="str">
        <f t="shared" si="0"/>
        <v/>
      </c>
      <c r="P58" s="16"/>
      <c r="Q58" s="148"/>
      <c r="R58" s="124"/>
      <c r="S58" s="123" t="str">
        <f t="shared" si="8"/>
        <v/>
      </c>
      <c r="T58" s="124"/>
      <c r="U58" s="123"/>
      <c r="V58" s="293"/>
      <c r="W58" s="62"/>
    </row>
    <row r="59" spans="1:23" ht="69.95" customHeight="1" x14ac:dyDescent="0.25">
      <c r="A59" s="1"/>
      <c r="B59" s="333"/>
      <c r="C59" s="333"/>
      <c r="D59" s="342"/>
      <c r="E59" s="333"/>
      <c r="F59" s="349"/>
      <c r="G59" s="349"/>
      <c r="H59" s="349"/>
      <c r="I59" s="349"/>
      <c r="J59" s="132" t="s">
        <v>100</v>
      </c>
      <c r="K59" s="131" t="s">
        <v>101</v>
      </c>
      <c r="L59" s="145"/>
      <c r="M59" s="145"/>
      <c r="N59" s="145" t="str">
        <f t="shared" si="1"/>
        <v/>
      </c>
      <c r="O59" s="145" t="str">
        <f t="shared" si="0"/>
        <v/>
      </c>
      <c r="P59" s="16"/>
      <c r="Q59" s="148"/>
      <c r="R59" s="31"/>
      <c r="S59" s="129"/>
      <c r="T59" s="124"/>
      <c r="U59" s="123"/>
      <c r="V59" s="293"/>
      <c r="W59" s="62"/>
    </row>
    <row r="60" spans="1:23" ht="69.95" customHeight="1" x14ac:dyDescent="0.25">
      <c r="A60" s="1"/>
      <c r="B60" s="333"/>
      <c r="C60" s="333"/>
      <c r="D60" s="342"/>
      <c r="E60" s="333"/>
      <c r="F60" s="349"/>
      <c r="G60" s="349"/>
      <c r="H60" s="349"/>
      <c r="I60" s="349"/>
      <c r="J60" s="124" t="str">
        <f>IF(J58="","","0.0")</f>
        <v/>
      </c>
      <c r="K60" s="131" t="s">
        <v>102</v>
      </c>
      <c r="L60" s="145"/>
      <c r="M60" s="145"/>
      <c r="N60" s="145" t="str">
        <f t="shared" si="1"/>
        <v/>
      </c>
      <c r="O60" s="145" t="str">
        <f t="shared" si="0"/>
        <v/>
      </c>
      <c r="P60" s="16"/>
      <c r="Q60" s="148"/>
      <c r="R60" s="124"/>
      <c r="S60" s="123" t="str">
        <f>IF(R60&lt;&gt;"", 0, "")</f>
        <v/>
      </c>
      <c r="T60" s="124"/>
      <c r="U60" s="123"/>
      <c r="V60" s="293"/>
      <c r="W60" s="62"/>
    </row>
    <row r="61" spans="1:23" ht="69.95" customHeight="1" x14ac:dyDescent="0.25">
      <c r="A61" s="1"/>
      <c r="B61" s="333"/>
      <c r="C61" s="333"/>
      <c r="D61" s="342"/>
      <c r="E61" s="333"/>
      <c r="F61" s="349"/>
      <c r="G61" s="349"/>
      <c r="H61" s="349"/>
      <c r="I61" s="349"/>
      <c r="J61" s="43"/>
      <c r="K61" s="131" t="s">
        <v>111</v>
      </c>
      <c r="L61" s="145"/>
      <c r="M61" s="145"/>
      <c r="N61" s="145" t="str">
        <f t="shared" si="1"/>
        <v/>
      </c>
      <c r="O61" s="145" t="str">
        <f t="shared" si="0"/>
        <v/>
      </c>
      <c r="P61" s="16"/>
      <c r="Q61" s="148"/>
      <c r="R61" s="31"/>
      <c r="S61" s="129"/>
      <c r="T61" s="124"/>
      <c r="U61" s="123"/>
      <c r="V61" s="293"/>
      <c r="W61" s="62"/>
    </row>
    <row r="62" spans="1:23" ht="69.95" customHeight="1" x14ac:dyDescent="0.25">
      <c r="A62" s="1"/>
      <c r="B62" s="334"/>
      <c r="C62" s="334"/>
      <c r="D62" s="345"/>
      <c r="E62" s="334"/>
      <c r="F62" s="350"/>
      <c r="G62" s="350"/>
      <c r="H62" s="350"/>
      <c r="I62" s="350"/>
      <c r="J62" s="43"/>
      <c r="K62" s="131" t="s">
        <v>112</v>
      </c>
      <c r="L62" s="145"/>
      <c r="M62" s="145"/>
      <c r="N62" s="145" t="str">
        <f t="shared" si="1"/>
        <v/>
      </c>
      <c r="O62" s="145" t="str">
        <f t="shared" si="0"/>
        <v/>
      </c>
      <c r="P62" s="16"/>
      <c r="Q62" s="149"/>
      <c r="R62" s="18"/>
      <c r="S62" s="33"/>
      <c r="T62" s="121"/>
      <c r="U62" s="130"/>
      <c r="V62" s="294"/>
      <c r="W62" s="295"/>
    </row>
    <row r="63" spans="1:23" ht="69.95" customHeight="1" x14ac:dyDescent="0.25">
      <c r="A63" s="1"/>
      <c r="B63" s="332" t="s">
        <v>20</v>
      </c>
      <c r="C63" s="339" t="s">
        <v>103</v>
      </c>
      <c r="D63" s="340"/>
      <c r="E63" s="340"/>
      <c r="F63" s="340"/>
      <c r="G63" s="340"/>
      <c r="H63" s="340"/>
      <c r="I63" s="340"/>
      <c r="J63" s="341"/>
      <c r="K63" s="131" t="s">
        <v>104</v>
      </c>
      <c r="L63" s="129"/>
      <c r="M63" s="31"/>
      <c r="N63" s="31"/>
      <c r="O63" s="145" t="str">
        <f t="shared" si="0"/>
        <v/>
      </c>
      <c r="P63" s="16"/>
      <c r="Q63" s="150"/>
      <c r="R63" s="17"/>
      <c r="S63" s="17"/>
      <c r="T63" s="17"/>
      <c r="U63" s="17"/>
      <c r="V63" s="160"/>
      <c r="W63" s="161"/>
    </row>
    <row r="64" spans="1:23" ht="69.95" customHeight="1" x14ac:dyDescent="0.25">
      <c r="A64" s="1"/>
      <c r="B64" s="333"/>
      <c r="C64" s="342"/>
      <c r="D64" s="343"/>
      <c r="E64" s="343"/>
      <c r="F64" s="343"/>
      <c r="G64" s="343"/>
      <c r="H64" s="343"/>
      <c r="I64" s="343"/>
      <c r="J64" s="344"/>
      <c r="K64" s="131" t="s">
        <v>105</v>
      </c>
      <c r="L64" s="129"/>
      <c r="M64" s="31"/>
      <c r="N64" s="31"/>
      <c r="O64" s="145" t="str">
        <f t="shared" si="0"/>
        <v/>
      </c>
      <c r="P64" s="16"/>
      <c r="Q64" s="151"/>
      <c r="R64" s="17"/>
      <c r="S64" s="17"/>
      <c r="T64" s="17"/>
      <c r="U64" s="17"/>
      <c r="V64" s="156"/>
      <c r="W64" s="157"/>
    </row>
    <row r="65" spans="1:23" ht="69.95" customHeight="1" x14ac:dyDescent="0.25">
      <c r="A65" s="1"/>
      <c r="B65" s="333"/>
      <c r="C65" s="342"/>
      <c r="D65" s="343"/>
      <c r="E65" s="343"/>
      <c r="F65" s="343"/>
      <c r="G65" s="343"/>
      <c r="H65" s="343"/>
      <c r="I65" s="343"/>
      <c r="J65" s="344"/>
      <c r="K65" s="131" t="s">
        <v>106</v>
      </c>
      <c r="L65" s="129"/>
      <c r="M65" s="31"/>
      <c r="N65" s="31"/>
      <c r="O65" s="145" t="str">
        <f t="shared" si="0"/>
        <v/>
      </c>
      <c r="P65" s="16"/>
      <c r="Q65" s="151"/>
      <c r="R65" s="17"/>
      <c r="S65" s="17"/>
      <c r="T65" s="17"/>
      <c r="U65" s="17"/>
      <c r="V65" s="156"/>
      <c r="W65" s="157"/>
    </row>
    <row r="66" spans="1:23" ht="69.95" customHeight="1" x14ac:dyDescent="0.25">
      <c r="A66" s="1"/>
      <c r="B66" s="333"/>
      <c r="C66" s="342"/>
      <c r="D66" s="343"/>
      <c r="E66" s="343"/>
      <c r="F66" s="343"/>
      <c r="G66" s="343"/>
      <c r="H66" s="343"/>
      <c r="I66" s="343"/>
      <c r="J66" s="344"/>
      <c r="K66" s="131" t="s">
        <v>107</v>
      </c>
      <c r="L66" s="129"/>
      <c r="M66" s="31"/>
      <c r="N66" s="31"/>
      <c r="O66" s="145" t="str">
        <f t="shared" si="0"/>
        <v/>
      </c>
      <c r="P66" s="16"/>
      <c r="Q66" s="151"/>
      <c r="R66" s="17"/>
      <c r="S66" s="17"/>
      <c r="T66" s="17"/>
      <c r="U66" s="17"/>
      <c r="V66" s="156"/>
      <c r="W66" s="157"/>
    </row>
    <row r="67" spans="1:23" ht="69.95" customHeight="1" x14ac:dyDescent="0.25">
      <c r="A67" s="1"/>
      <c r="B67" s="333"/>
      <c r="C67" s="342"/>
      <c r="D67" s="343"/>
      <c r="E67" s="343"/>
      <c r="F67" s="343"/>
      <c r="G67" s="343"/>
      <c r="H67" s="343"/>
      <c r="I67" s="343"/>
      <c r="J67" s="344"/>
      <c r="K67" s="131" t="s">
        <v>80</v>
      </c>
      <c r="L67" s="145"/>
      <c r="M67" s="145"/>
      <c r="N67" s="145" t="str">
        <f t="shared" ref="N67:N68" si="9">IF(M67="","",M67-L67)</f>
        <v/>
      </c>
      <c r="O67" s="145" t="str">
        <f t="shared" si="0"/>
        <v/>
      </c>
      <c r="P67" s="16"/>
      <c r="Q67" s="151"/>
      <c r="R67" s="17"/>
      <c r="S67" s="17"/>
      <c r="T67" s="17"/>
      <c r="U67" s="17"/>
      <c r="V67" s="156"/>
      <c r="W67" s="157"/>
    </row>
    <row r="68" spans="1:23" ht="69.95" customHeight="1" x14ac:dyDescent="0.25">
      <c r="A68" s="1"/>
      <c r="B68" s="334"/>
      <c r="C68" s="345"/>
      <c r="D68" s="346"/>
      <c r="E68" s="346"/>
      <c r="F68" s="346"/>
      <c r="G68" s="346"/>
      <c r="H68" s="346"/>
      <c r="I68" s="346"/>
      <c r="J68" s="347"/>
      <c r="K68" s="131" t="s">
        <v>81</v>
      </c>
      <c r="L68" s="145"/>
      <c r="M68" s="145"/>
      <c r="N68" s="145" t="str">
        <f t="shared" si="9"/>
        <v/>
      </c>
      <c r="O68" s="145" t="str">
        <f t="shared" si="0"/>
        <v/>
      </c>
      <c r="P68" s="16"/>
      <c r="Q68" s="152"/>
      <c r="R68" s="17"/>
      <c r="S68" s="17"/>
      <c r="T68" s="17"/>
      <c r="U68" s="17"/>
      <c r="V68" s="158"/>
      <c r="W68" s="159"/>
    </row>
    <row r="69" spans="1:23" ht="69.95" customHeight="1" x14ac:dyDescent="0.25">
      <c r="A69" s="1"/>
      <c r="B69" s="332" t="s">
        <v>21</v>
      </c>
      <c r="C69" s="335" t="s">
        <v>108</v>
      </c>
      <c r="D69" s="335"/>
      <c r="E69" s="335"/>
      <c r="F69" s="335"/>
      <c r="G69" s="335"/>
      <c r="H69" s="335"/>
      <c r="I69" s="335"/>
      <c r="J69" s="335"/>
      <c r="K69" s="131" t="s">
        <v>104</v>
      </c>
      <c r="L69" s="129"/>
      <c r="M69" s="31"/>
      <c r="N69" s="31"/>
      <c r="O69" s="145" t="str">
        <f t="shared" si="0"/>
        <v/>
      </c>
      <c r="P69" s="16"/>
      <c r="Q69" s="150"/>
      <c r="R69" s="17"/>
      <c r="S69" s="17"/>
      <c r="T69" s="17"/>
      <c r="U69" s="17"/>
      <c r="V69" s="160"/>
      <c r="W69" s="161"/>
    </row>
    <row r="70" spans="1:23" ht="69.95" customHeight="1" x14ac:dyDescent="0.25">
      <c r="A70" s="1"/>
      <c r="B70" s="333"/>
      <c r="C70" s="335"/>
      <c r="D70" s="335"/>
      <c r="E70" s="335"/>
      <c r="F70" s="335"/>
      <c r="G70" s="335"/>
      <c r="H70" s="335"/>
      <c r="I70" s="335"/>
      <c r="J70" s="335"/>
      <c r="K70" s="131" t="s">
        <v>105</v>
      </c>
      <c r="L70" s="129"/>
      <c r="M70" s="31"/>
      <c r="N70" s="31"/>
      <c r="O70" s="145" t="str">
        <f t="shared" si="0"/>
        <v/>
      </c>
      <c r="P70" s="16"/>
      <c r="Q70" s="151"/>
      <c r="R70" s="17"/>
      <c r="S70" s="17"/>
      <c r="T70" s="17"/>
      <c r="U70" s="17"/>
      <c r="V70" s="156"/>
      <c r="W70" s="157"/>
    </row>
    <row r="71" spans="1:23" ht="69.95" customHeight="1" x14ac:dyDescent="0.25">
      <c r="A71" s="1"/>
      <c r="B71" s="333"/>
      <c r="C71" s="335"/>
      <c r="D71" s="335"/>
      <c r="E71" s="335"/>
      <c r="F71" s="335"/>
      <c r="G71" s="335"/>
      <c r="H71" s="335"/>
      <c r="I71" s="335"/>
      <c r="J71" s="335"/>
      <c r="K71" s="131" t="s">
        <v>106</v>
      </c>
      <c r="L71" s="129"/>
      <c r="M71" s="31"/>
      <c r="N71" s="31"/>
      <c r="O71" s="145" t="str">
        <f t="shared" si="0"/>
        <v/>
      </c>
      <c r="P71" s="16"/>
      <c r="Q71" s="151"/>
      <c r="R71" s="17"/>
      <c r="S71" s="17"/>
      <c r="T71" s="17"/>
      <c r="U71" s="17"/>
      <c r="V71" s="156"/>
      <c r="W71" s="157"/>
    </row>
    <row r="72" spans="1:23" ht="69.95" customHeight="1" x14ac:dyDescent="0.25">
      <c r="A72" s="1"/>
      <c r="B72" s="333"/>
      <c r="C72" s="335"/>
      <c r="D72" s="335"/>
      <c r="E72" s="335"/>
      <c r="F72" s="335"/>
      <c r="G72" s="335"/>
      <c r="H72" s="335"/>
      <c r="I72" s="335"/>
      <c r="J72" s="335"/>
      <c r="K72" s="131" t="s">
        <v>107</v>
      </c>
      <c r="L72" s="129"/>
      <c r="M72" s="31"/>
      <c r="N72" s="31"/>
      <c r="O72" s="145" t="str">
        <f t="shared" si="0"/>
        <v/>
      </c>
      <c r="P72" s="16"/>
      <c r="Q72" s="151"/>
      <c r="R72" s="17"/>
      <c r="S72" s="17"/>
      <c r="T72" s="17"/>
      <c r="U72" s="17"/>
      <c r="V72" s="156"/>
      <c r="W72" s="157"/>
    </row>
    <row r="73" spans="1:23" ht="69.95" customHeight="1" x14ac:dyDescent="0.25">
      <c r="A73" s="1"/>
      <c r="B73" s="333"/>
      <c r="C73" s="335"/>
      <c r="D73" s="335"/>
      <c r="E73" s="335"/>
      <c r="F73" s="335"/>
      <c r="G73" s="335"/>
      <c r="H73" s="335"/>
      <c r="I73" s="335"/>
      <c r="J73" s="335"/>
      <c r="K73" s="131" t="s">
        <v>80</v>
      </c>
      <c r="L73" s="145"/>
      <c r="M73" s="145"/>
      <c r="N73" s="145" t="str">
        <f t="shared" ref="N73:N74" si="10">IF(M73="","",M73-L73)</f>
        <v/>
      </c>
      <c r="O73" s="145" t="str">
        <f t="shared" si="0"/>
        <v/>
      </c>
      <c r="P73" s="16"/>
      <c r="Q73" s="151"/>
      <c r="R73" s="17"/>
      <c r="S73" s="17"/>
      <c r="T73" s="17"/>
      <c r="U73" s="17"/>
      <c r="V73" s="156"/>
      <c r="W73" s="157"/>
    </row>
    <row r="74" spans="1:23" ht="69.95" customHeight="1" x14ac:dyDescent="0.25">
      <c r="A74" s="1"/>
      <c r="B74" s="334"/>
      <c r="C74" s="335"/>
      <c r="D74" s="335"/>
      <c r="E74" s="335"/>
      <c r="F74" s="335"/>
      <c r="G74" s="335"/>
      <c r="H74" s="335"/>
      <c r="I74" s="335"/>
      <c r="J74" s="335"/>
      <c r="K74" s="131" t="s">
        <v>81</v>
      </c>
      <c r="L74" s="145"/>
      <c r="M74" s="145"/>
      <c r="N74" s="145" t="str">
        <f t="shared" si="10"/>
        <v/>
      </c>
      <c r="O74" s="145" t="str">
        <f t="shared" si="0"/>
        <v/>
      </c>
      <c r="P74" s="16"/>
      <c r="Q74" s="152"/>
      <c r="R74" s="17"/>
      <c r="S74" s="17"/>
      <c r="T74" s="17"/>
      <c r="U74" s="17"/>
      <c r="V74" s="158"/>
      <c r="W74" s="159"/>
    </row>
    <row r="75" spans="1:23" ht="69.95" customHeight="1" x14ac:dyDescent="0.25">
      <c r="A75" s="1"/>
      <c r="B75" s="122"/>
      <c r="C75" s="126"/>
      <c r="D75" s="126"/>
      <c r="E75" s="126"/>
      <c r="F75" s="126"/>
      <c r="G75" s="126"/>
      <c r="H75" s="126"/>
      <c r="I75" s="126"/>
      <c r="J75" s="126"/>
      <c r="K75" s="126"/>
      <c r="L75" s="133"/>
      <c r="M75" s="134"/>
      <c r="N75" s="134"/>
      <c r="O75" s="125"/>
      <c r="P75" s="19"/>
      <c r="Q75" s="44"/>
      <c r="R75" s="20"/>
      <c r="S75" s="20"/>
      <c r="T75" s="20"/>
      <c r="U75" s="20"/>
      <c r="V75" s="125"/>
      <c r="W75" s="127"/>
    </row>
    <row r="76" spans="1:23" ht="39" customHeight="1" x14ac:dyDescent="0.25">
      <c r="A76" s="1"/>
      <c r="B76" s="336"/>
      <c r="C76" s="337"/>
      <c r="D76" s="337"/>
      <c r="E76" s="337"/>
      <c r="F76" s="337"/>
      <c r="G76" s="337"/>
      <c r="H76" s="337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127"/>
    </row>
    <row r="77" spans="1:23" ht="60" customHeight="1" x14ac:dyDescent="0.25">
      <c r="A77" s="1"/>
      <c r="B77" s="21"/>
      <c r="C77" s="323" t="s">
        <v>17</v>
      </c>
      <c r="D77" s="323"/>
      <c r="E77" s="338" t="s">
        <v>194</v>
      </c>
      <c r="F77" s="338"/>
      <c r="G77" s="22"/>
      <c r="H77" s="49"/>
      <c r="I77" s="323" t="s">
        <v>110</v>
      </c>
      <c r="J77" s="323"/>
      <c r="K77" s="323"/>
      <c r="L77" s="331" t="s">
        <v>195</v>
      </c>
      <c r="M77" s="331"/>
      <c r="N77" s="49"/>
      <c r="O77" s="49"/>
      <c r="P77" s="49"/>
      <c r="Q77" s="49"/>
      <c r="R77" s="1"/>
      <c r="S77" s="55"/>
      <c r="T77" s="56"/>
      <c r="U77" s="1"/>
      <c r="V77" s="1"/>
      <c r="W77" s="8"/>
    </row>
    <row r="78" spans="1:23" s="46" customFormat="1" ht="60" customHeight="1" x14ac:dyDescent="0.55000000000000004">
      <c r="A78" s="27"/>
      <c r="B78" s="24"/>
      <c r="C78" s="25"/>
      <c r="D78" s="25"/>
      <c r="E78" s="25"/>
      <c r="F78" s="25"/>
      <c r="G78" s="25"/>
      <c r="H78" s="25"/>
      <c r="I78" s="323"/>
      <c r="J78" s="323"/>
      <c r="K78" s="323"/>
      <c r="L78" s="57"/>
      <c r="M78" s="25"/>
      <c r="N78" s="25"/>
      <c r="O78" s="25"/>
      <c r="P78" s="25"/>
      <c r="Q78" s="26"/>
      <c r="R78" s="58"/>
      <c r="S78" s="27"/>
      <c r="T78" s="27"/>
      <c r="U78" s="30" t="s">
        <v>109</v>
      </c>
      <c r="V78" s="27"/>
      <c r="W78" s="59"/>
    </row>
    <row r="79" spans="1:23" ht="60" customHeight="1" x14ac:dyDescent="0.25">
      <c r="A79" s="1"/>
      <c r="B79" s="21"/>
      <c r="C79" s="323" t="s">
        <v>18</v>
      </c>
      <c r="D79" s="323"/>
      <c r="E79" s="330">
        <f>D8</f>
        <v>0</v>
      </c>
      <c r="F79" s="331"/>
      <c r="G79" s="61"/>
      <c r="H79" s="50"/>
      <c r="I79" s="324" t="s">
        <v>18</v>
      </c>
      <c r="J79" s="324"/>
      <c r="K79" s="1"/>
      <c r="L79" s="325">
        <f>D8</f>
        <v>0</v>
      </c>
      <c r="M79" s="326"/>
      <c r="N79" s="50"/>
      <c r="O79" s="50"/>
      <c r="P79" s="50"/>
      <c r="Q79" s="50"/>
      <c r="R79" s="1"/>
      <c r="S79" s="1"/>
      <c r="T79" s="1"/>
      <c r="U79" s="1"/>
      <c r="V79" s="3"/>
      <c r="W79" s="62"/>
    </row>
    <row r="80" spans="1:23" s="46" customFormat="1" ht="39" customHeight="1" x14ac:dyDescent="0.55000000000000004">
      <c r="A80" s="27"/>
      <c r="B80" s="28"/>
      <c r="C80" s="25"/>
      <c r="D80" s="25"/>
      <c r="E80" s="25"/>
      <c r="F80" s="25"/>
      <c r="G80" s="25"/>
      <c r="H80" s="25"/>
      <c r="I80" s="25"/>
      <c r="J80" s="29"/>
      <c r="K80" s="25"/>
      <c r="L80" s="26"/>
      <c r="M80" s="26"/>
      <c r="N80" s="26"/>
      <c r="O80" s="26"/>
      <c r="P80" s="26"/>
      <c r="Q80" s="26"/>
      <c r="R80" s="27"/>
      <c r="S80" s="27"/>
      <c r="T80" s="27"/>
      <c r="U80" s="27"/>
      <c r="V80" s="327" t="s">
        <v>122</v>
      </c>
      <c r="W80" s="328"/>
    </row>
    <row r="81" spans="1:23" s="46" customFormat="1" ht="54" customHeight="1" x14ac:dyDescent="0.55000000000000004">
      <c r="A81" s="27"/>
      <c r="B81" s="63"/>
      <c r="C81" s="64"/>
      <c r="D81" s="65"/>
      <c r="E81" s="66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8"/>
      <c r="Q81" s="68"/>
      <c r="R81" s="69"/>
      <c r="S81" s="69"/>
      <c r="T81" s="69"/>
      <c r="U81" s="69"/>
      <c r="V81" s="326"/>
      <c r="W81" s="329"/>
    </row>
  </sheetData>
  <protectedRanges>
    <protectedRange sqref="M16:M19 M22:M25 M28:M31 M34:M37 M40:M43 M46:M49 Q17:Q19 B63:C73 B76:W76 E63:N66 M52:M55 M58:M61 Q75:W75 B15:G62 E69:N72 E67:M68 E75:O75 E73:M74 W63:W64 V65:W67 Q63:U74 W68:W70 V71:W73 W74 Q23:Q25 Q29:Q31 Q35:Q37 Q41:Q43 Q47:Q49 Q53:Q55 Q59:Q61 I15:K62" name="p40ae67166de39ef3f3ec01bbdae900a3"/>
    <protectedRange sqref="U6:U8 S6:S8 W6:W8" name="pc594b6ecd9b303ee1785ffe3b4f4380d_1"/>
    <protectedRange sqref="L11 M7 E11:E12 L6:L7 M9 L8:M8 L12:M12" name="p547f5a980904daf0dfa79ab76f7eb7f1_1"/>
    <protectedRange sqref="E6:E8 D6:D9 G5:G6" name="p915cfce853e1a0fa81a642efe2ca8f86_1"/>
    <protectedRange sqref="C81 S77:T77 U78" name="p62f34c08bc43a732167a4cb2a22494e9"/>
    <protectedRange sqref="H77 J81:K81 H79 E79 E81 E77 M79:Q79 J77 L77:Q77" name="pd76f2506e825e80154285506ac3cb46a_1"/>
    <protectedRange sqref="L9" name="p547f5a980904daf0dfa79ab76f7eb7f1_1_1"/>
    <protectedRange sqref="H15:H62" name="p40ae67166de39ef3f3ec01bbdae900a3_1"/>
    <protectedRange sqref="W15:W16 W26:W28 W32:W34 W38:W40 W44:W46 W20:W22 W50:W52 W56:W58 R62:U62 W62 R15:U16 R17:W19 R20:U22 R23:W25 R26:U28 R29:W31 R32:U34 R35:W37 R38:U40 R41:W43 R44:U46 R47:W49 R50:U52 R53:W55 R56:U58 R59:W61" name="p40ae67166de39ef3f3ec01bbdae900a3_2"/>
  </protectedRanges>
  <mergeCells count="96">
    <mergeCell ref="B2:E3"/>
    <mergeCell ref="F2:U3"/>
    <mergeCell ref="V2:W2"/>
    <mergeCell ref="B13:B14"/>
    <mergeCell ref="C13:C14"/>
    <mergeCell ref="D13:D14"/>
    <mergeCell ref="E13:E14"/>
    <mergeCell ref="F13:F14"/>
    <mergeCell ref="G13:G14"/>
    <mergeCell ref="T13:W13"/>
    <mergeCell ref="V14:W14"/>
    <mergeCell ref="J13:J14"/>
    <mergeCell ref="K13:K14"/>
    <mergeCell ref="L13:Q13"/>
    <mergeCell ref="R13:S13"/>
    <mergeCell ref="G15:G20"/>
    <mergeCell ref="H15:H20"/>
    <mergeCell ref="I15:I20"/>
    <mergeCell ref="H13:H14"/>
    <mergeCell ref="I13:I14"/>
    <mergeCell ref="B15:B20"/>
    <mergeCell ref="C15:C20"/>
    <mergeCell ref="D15:D20"/>
    <mergeCell ref="E15:E20"/>
    <mergeCell ref="F15:F20"/>
    <mergeCell ref="G27:G32"/>
    <mergeCell ref="H27:H32"/>
    <mergeCell ref="I27:I32"/>
    <mergeCell ref="B21:B26"/>
    <mergeCell ref="C21:C26"/>
    <mergeCell ref="D21:D26"/>
    <mergeCell ref="E21:E26"/>
    <mergeCell ref="F21:F26"/>
    <mergeCell ref="G21:G26"/>
    <mergeCell ref="H21:H26"/>
    <mergeCell ref="I21:I26"/>
    <mergeCell ref="B27:B32"/>
    <mergeCell ref="C27:C32"/>
    <mergeCell ref="D27:D32"/>
    <mergeCell ref="E27:E32"/>
    <mergeCell ref="F27:F32"/>
    <mergeCell ref="G39:G44"/>
    <mergeCell ref="H39:H44"/>
    <mergeCell ref="I39:I44"/>
    <mergeCell ref="B33:B38"/>
    <mergeCell ref="C33:C38"/>
    <mergeCell ref="D33:D38"/>
    <mergeCell ref="E33:E38"/>
    <mergeCell ref="F33:F38"/>
    <mergeCell ref="G33:G38"/>
    <mergeCell ref="H33:H38"/>
    <mergeCell ref="I33:I38"/>
    <mergeCell ref="B39:B44"/>
    <mergeCell ref="C39:C44"/>
    <mergeCell ref="D39:D44"/>
    <mergeCell ref="E39:E44"/>
    <mergeCell ref="F39:F44"/>
    <mergeCell ref="G51:G56"/>
    <mergeCell ref="H51:H56"/>
    <mergeCell ref="I51:I56"/>
    <mergeCell ref="B45:B50"/>
    <mergeCell ref="C45:C50"/>
    <mergeCell ref="D45:D50"/>
    <mergeCell ref="E45:E50"/>
    <mergeCell ref="F45:F50"/>
    <mergeCell ref="G45:G50"/>
    <mergeCell ref="H45:H50"/>
    <mergeCell ref="I45:I50"/>
    <mergeCell ref="B51:B56"/>
    <mergeCell ref="C51:C56"/>
    <mergeCell ref="D51:D56"/>
    <mergeCell ref="E51:E56"/>
    <mergeCell ref="F51:F56"/>
    <mergeCell ref="B63:B68"/>
    <mergeCell ref="C63:J68"/>
    <mergeCell ref="B57:B62"/>
    <mergeCell ref="C57:C62"/>
    <mergeCell ref="D57:D62"/>
    <mergeCell ref="E57:E62"/>
    <mergeCell ref="F57:F62"/>
    <mergeCell ref="G57:G62"/>
    <mergeCell ref="H57:H62"/>
    <mergeCell ref="I57:I62"/>
    <mergeCell ref="B69:B74"/>
    <mergeCell ref="C69:J74"/>
    <mergeCell ref="B76:V76"/>
    <mergeCell ref="C77:D77"/>
    <mergeCell ref="I77:K78"/>
    <mergeCell ref="L77:M77"/>
    <mergeCell ref="E77:F77"/>
    <mergeCell ref="C79:D79"/>
    <mergeCell ref="I79:J79"/>
    <mergeCell ref="L79:M79"/>
    <mergeCell ref="V80:W80"/>
    <mergeCell ref="V81:W81"/>
    <mergeCell ref="E79:F79"/>
  </mergeCells>
  <dataValidations count="8">
    <dataValidation type="list" allowBlank="1" showInputMessage="1" sqref="E15:E62" xr:uid="{0AC9E4F7-94FF-4888-900D-B74DD575BB1B}">
      <formula1>"XLPE,PILC,N/A,NOT ACCESSIBLE"</formula1>
    </dataValidation>
    <dataValidation type="list" allowBlank="1" showInputMessage="1" sqref="F15:F62" xr:uid="{ED8E4B4C-B761-4384-BC94-45BF58BCFF98}">
      <formula1>"SERVICE,TEST,RACK OUT,N/A"</formula1>
    </dataValidation>
    <dataValidation type="list" allowBlank="1" showInputMessage="1" sqref="G15:G62" xr:uid="{8403E76D-3029-4039-B2BB-B3476E9D1D6E}">
      <formula1>"CLOSE,TRIP,N/A"</formula1>
    </dataValidation>
    <dataValidation type="list" allowBlank="1" showInputMessage="1" sqref="H15:H62" xr:uid="{BB591A5E-B6A8-4052-957B-4CC79DF81F0E}">
      <formula1>"MAIN,RESERVE,N/A"</formula1>
    </dataValidation>
    <dataValidation type="list" allowBlank="1" showInputMessage="1" showErrorMessage="1" sqref="W4" xr:uid="{8016473F-7CB7-48BC-9982-9832C03613A6}">
      <formula1>"NORMAL,DEFECT,MONITOR"</formula1>
    </dataValidation>
    <dataValidation type="list" allowBlank="1" showInputMessage="1" sqref="L10" xr:uid="{F38D8F95-0172-4DE8-BFA9-48217764EFD5}">
      <formula1>"SBB,DBB"</formula1>
    </dataValidation>
    <dataValidation type="list" allowBlank="1" showInputMessage="1" sqref="L11" xr:uid="{F5722862-9C1A-4BBC-8E2F-8042C45EB380}">
      <formula1>"36kV,12kV"</formula1>
    </dataValidation>
    <dataValidation type="list" allowBlank="1" showInputMessage="1" sqref="M6" xr:uid="{54A99328-CAAD-45C6-B957-E64BA5B3D1D6}">
      <formula1>"GIS,VCB,AIS,GCB,RMU"</formula1>
    </dataValidation>
  </dataValidations>
  <pageMargins left="3.937007874015748E-2" right="3.937007874015748E-2" top="0" bottom="0" header="0.31496062992125984" footer="0.31496062992125984"/>
  <pageSetup scale="1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W81"/>
  <sheetViews>
    <sheetView tabSelected="1" zoomScale="25" zoomScaleNormal="25" workbookViewId="0">
      <selection activeCell="D6" sqref="D6"/>
    </sheetView>
  </sheetViews>
  <sheetFormatPr defaultRowHeight="12.75" customHeight="1" x14ac:dyDescent="0.25"/>
  <cols>
    <col min="1" max="1" width="9.140625" style="45"/>
    <col min="2" max="2" width="22.7109375" style="45" customWidth="1"/>
    <col min="3" max="3" width="63.7109375" style="45" customWidth="1"/>
    <col min="4" max="4" width="110.7109375" style="45" customWidth="1"/>
    <col min="5" max="8" width="50.140625" style="45" customWidth="1"/>
    <col min="9" max="10" width="43" style="45" customWidth="1"/>
    <col min="11" max="11" width="88.42578125" style="45" customWidth="1"/>
    <col min="12" max="16" width="64.7109375" style="45" customWidth="1"/>
    <col min="17" max="17" width="85.85546875" style="45" customWidth="1"/>
    <col min="18" max="20" width="42.85546875" style="45" customWidth="1"/>
    <col min="21" max="21" width="85.5703125" style="45" customWidth="1"/>
    <col min="22" max="22" width="57" style="45" customWidth="1"/>
    <col min="23" max="23" width="42.7109375" style="45" customWidth="1"/>
    <col min="24" max="247" width="9.140625" style="45"/>
    <col min="248" max="248" width="16" style="45" customWidth="1"/>
    <col min="249" max="249" width="27.7109375" style="45" customWidth="1"/>
    <col min="250" max="250" width="65.7109375" style="45" customWidth="1"/>
    <col min="251" max="251" width="21.85546875" style="45" bestFit="1" customWidth="1"/>
    <col min="252" max="252" width="30.140625" style="45" customWidth="1"/>
    <col min="253" max="253" width="62" style="45" customWidth="1"/>
    <col min="254" max="254" width="44" style="45" customWidth="1"/>
    <col min="255" max="255" width="43.140625" style="45" customWidth="1"/>
    <col min="256" max="256" width="45" style="45" customWidth="1"/>
    <col min="257" max="257" width="35.5703125" style="45" customWidth="1"/>
    <col min="258" max="258" width="37.140625" style="45" customWidth="1"/>
    <col min="259" max="259" width="76.7109375" style="45" customWidth="1"/>
    <col min="260" max="260" width="37.7109375" style="45" customWidth="1"/>
    <col min="261" max="261" width="37.85546875" style="45" customWidth="1"/>
    <col min="262" max="262" width="39.85546875" style="45" customWidth="1"/>
    <col min="263" max="263" width="53.140625" style="45" customWidth="1"/>
    <col min="264" max="264" width="35.28515625" style="45" customWidth="1"/>
    <col min="265" max="265" width="31" style="45" customWidth="1"/>
    <col min="266" max="266" width="29.140625" style="45" customWidth="1"/>
    <col min="267" max="267" width="30.140625" style="45" customWidth="1"/>
    <col min="268" max="268" width="49.140625" style="45" customWidth="1"/>
    <col min="269" max="269" width="31.85546875" style="45" customWidth="1"/>
    <col min="270" max="270" width="39.140625" style="45" customWidth="1"/>
    <col min="271" max="271" width="53" style="45" bestFit="1" customWidth="1"/>
    <col min="272" max="272" width="33.42578125" style="45" bestFit="1" customWidth="1"/>
    <col min="273" max="273" width="28.140625" style="45" customWidth="1"/>
    <col min="274" max="278" width="6.7109375" style="45" customWidth="1"/>
    <col min="279" max="279" width="1.7109375" style="45" customWidth="1"/>
    <col min="280" max="503" width="9.140625" style="45"/>
    <col min="504" max="504" width="16" style="45" customWidth="1"/>
    <col min="505" max="505" width="27.7109375" style="45" customWidth="1"/>
    <col min="506" max="506" width="65.7109375" style="45" customWidth="1"/>
    <col min="507" max="507" width="21.85546875" style="45" bestFit="1" customWidth="1"/>
    <col min="508" max="508" width="30.140625" style="45" customWidth="1"/>
    <col min="509" max="509" width="62" style="45" customWidth="1"/>
    <col min="510" max="510" width="44" style="45" customWidth="1"/>
    <col min="511" max="511" width="43.140625" style="45" customWidth="1"/>
    <col min="512" max="512" width="45" style="45" customWidth="1"/>
    <col min="513" max="513" width="35.5703125" style="45" customWidth="1"/>
    <col min="514" max="514" width="37.140625" style="45" customWidth="1"/>
    <col min="515" max="515" width="76.7109375" style="45" customWidth="1"/>
    <col min="516" max="516" width="37.7109375" style="45" customWidth="1"/>
    <col min="517" max="517" width="37.85546875" style="45" customWidth="1"/>
    <col min="518" max="518" width="39.85546875" style="45" customWidth="1"/>
    <col min="519" max="519" width="53.140625" style="45" customWidth="1"/>
    <col min="520" max="520" width="35.28515625" style="45" customWidth="1"/>
    <col min="521" max="521" width="31" style="45" customWidth="1"/>
    <col min="522" max="522" width="29.140625" style="45" customWidth="1"/>
    <col min="523" max="523" width="30.140625" style="45" customWidth="1"/>
    <col min="524" max="524" width="49.140625" style="45" customWidth="1"/>
    <col min="525" max="525" width="31.85546875" style="45" customWidth="1"/>
    <col min="526" max="526" width="39.140625" style="45" customWidth="1"/>
    <col min="527" max="527" width="53" style="45" bestFit="1" customWidth="1"/>
    <col min="528" max="528" width="33.42578125" style="45" bestFit="1" customWidth="1"/>
    <col min="529" max="529" width="28.140625" style="45" customWidth="1"/>
    <col min="530" max="534" width="6.7109375" style="45" customWidth="1"/>
    <col min="535" max="535" width="1.7109375" style="45" customWidth="1"/>
    <col min="536" max="759" width="9.140625" style="45"/>
    <col min="760" max="760" width="16" style="45" customWidth="1"/>
    <col min="761" max="761" width="27.7109375" style="45" customWidth="1"/>
    <col min="762" max="762" width="65.7109375" style="45" customWidth="1"/>
    <col min="763" max="763" width="21.85546875" style="45" bestFit="1" customWidth="1"/>
    <col min="764" max="764" width="30.140625" style="45" customWidth="1"/>
    <col min="765" max="765" width="62" style="45" customWidth="1"/>
    <col min="766" max="766" width="44" style="45" customWidth="1"/>
    <col min="767" max="767" width="43.140625" style="45" customWidth="1"/>
    <col min="768" max="768" width="45" style="45" customWidth="1"/>
    <col min="769" max="769" width="35.5703125" style="45" customWidth="1"/>
    <col min="770" max="770" width="37.140625" style="45" customWidth="1"/>
    <col min="771" max="771" width="76.7109375" style="45" customWidth="1"/>
    <col min="772" max="772" width="37.7109375" style="45" customWidth="1"/>
    <col min="773" max="773" width="37.85546875" style="45" customWidth="1"/>
    <col min="774" max="774" width="39.85546875" style="45" customWidth="1"/>
    <col min="775" max="775" width="53.140625" style="45" customWidth="1"/>
    <col min="776" max="776" width="35.28515625" style="45" customWidth="1"/>
    <col min="777" max="777" width="31" style="45" customWidth="1"/>
    <col min="778" max="778" width="29.140625" style="45" customWidth="1"/>
    <col min="779" max="779" width="30.140625" style="45" customWidth="1"/>
    <col min="780" max="780" width="49.140625" style="45" customWidth="1"/>
    <col min="781" max="781" width="31.85546875" style="45" customWidth="1"/>
    <col min="782" max="782" width="39.140625" style="45" customWidth="1"/>
    <col min="783" max="783" width="53" style="45" bestFit="1" customWidth="1"/>
    <col min="784" max="784" width="33.42578125" style="45" bestFit="1" customWidth="1"/>
    <col min="785" max="785" width="28.140625" style="45" customWidth="1"/>
    <col min="786" max="790" width="6.7109375" style="45" customWidth="1"/>
    <col min="791" max="791" width="1.7109375" style="45" customWidth="1"/>
    <col min="792" max="1015" width="9.140625" style="45"/>
    <col min="1016" max="1016" width="16" style="45" customWidth="1"/>
    <col min="1017" max="1017" width="27.7109375" style="45" customWidth="1"/>
    <col min="1018" max="1018" width="65.7109375" style="45" customWidth="1"/>
    <col min="1019" max="1019" width="21.85546875" style="45" bestFit="1" customWidth="1"/>
    <col min="1020" max="1020" width="30.140625" style="45" customWidth="1"/>
    <col min="1021" max="1021" width="62" style="45" customWidth="1"/>
    <col min="1022" max="1022" width="44" style="45" customWidth="1"/>
    <col min="1023" max="1023" width="43.140625" style="45" customWidth="1"/>
    <col min="1024" max="1024" width="45" style="45" customWidth="1"/>
    <col min="1025" max="1025" width="35.5703125" style="45" customWidth="1"/>
    <col min="1026" max="1026" width="37.140625" style="45" customWidth="1"/>
    <col min="1027" max="1027" width="76.7109375" style="45" customWidth="1"/>
    <col min="1028" max="1028" width="37.7109375" style="45" customWidth="1"/>
    <col min="1029" max="1029" width="37.85546875" style="45" customWidth="1"/>
    <col min="1030" max="1030" width="39.85546875" style="45" customWidth="1"/>
    <col min="1031" max="1031" width="53.140625" style="45" customWidth="1"/>
    <col min="1032" max="1032" width="35.28515625" style="45" customWidth="1"/>
    <col min="1033" max="1033" width="31" style="45" customWidth="1"/>
    <col min="1034" max="1034" width="29.140625" style="45" customWidth="1"/>
    <col min="1035" max="1035" width="30.140625" style="45" customWidth="1"/>
    <col min="1036" max="1036" width="49.140625" style="45" customWidth="1"/>
    <col min="1037" max="1037" width="31.85546875" style="45" customWidth="1"/>
    <col min="1038" max="1038" width="39.140625" style="45" customWidth="1"/>
    <col min="1039" max="1039" width="53" style="45" bestFit="1" customWidth="1"/>
    <col min="1040" max="1040" width="33.42578125" style="45" bestFit="1" customWidth="1"/>
    <col min="1041" max="1041" width="28.140625" style="45" customWidth="1"/>
    <col min="1042" max="1046" width="6.7109375" style="45" customWidth="1"/>
    <col min="1047" max="1047" width="1.7109375" style="45" customWidth="1"/>
    <col min="1048" max="1271" width="9.140625" style="45"/>
    <col min="1272" max="1272" width="16" style="45" customWidth="1"/>
    <col min="1273" max="1273" width="27.7109375" style="45" customWidth="1"/>
    <col min="1274" max="1274" width="65.7109375" style="45" customWidth="1"/>
    <col min="1275" max="1275" width="21.85546875" style="45" bestFit="1" customWidth="1"/>
    <col min="1276" max="1276" width="30.140625" style="45" customWidth="1"/>
    <col min="1277" max="1277" width="62" style="45" customWidth="1"/>
    <col min="1278" max="1278" width="44" style="45" customWidth="1"/>
    <col min="1279" max="1279" width="43.140625" style="45" customWidth="1"/>
    <col min="1280" max="1280" width="45" style="45" customWidth="1"/>
    <col min="1281" max="1281" width="35.5703125" style="45" customWidth="1"/>
    <col min="1282" max="1282" width="37.140625" style="45" customWidth="1"/>
    <col min="1283" max="1283" width="76.7109375" style="45" customWidth="1"/>
    <col min="1284" max="1284" width="37.7109375" style="45" customWidth="1"/>
    <col min="1285" max="1285" width="37.85546875" style="45" customWidth="1"/>
    <col min="1286" max="1286" width="39.85546875" style="45" customWidth="1"/>
    <col min="1287" max="1287" width="53.140625" style="45" customWidth="1"/>
    <col min="1288" max="1288" width="35.28515625" style="45" customWidth="1"/>
    <col min="1289" max="1289" width="31" style="45" customWidth="1"/>
    <col min="1290" max="1290" width="29.140625" style="45" customWidth="1"/>
    <col min="1291" max="1291" width="30.140625" style="45" customWidth="1"/>
    <col min="1292" max="1292" width="49.140625" style="45" customWidth="1"/>
    <col min="1293" max="1293" width="31.85546875" style="45" customWidth="1"/>
    <col min="1294" max="1294" width="39.140625" style="45" customWidth="1"/>
    <col min="1295" max="1295" width="53" style="45" bestFit="1" customWidth="1"/>
    <col min="1296" max="1296" width="33.42578125" style="45" bestFit="1" customWidth="1"/>
    <col min="1297" max="1297" width="28.140625" style="45" customWidth="1"/>
    <col min="1298" max="1302" width="6.7109375" style="45" customWidth="1"/>
    <col min="1303" max="1303" width="1.7109375" style="45" customWidth="1"/>
    <col min="1304" max="1527" width="9.140625" style="45"/>
    <col min="1528" max="1528" width="16" style="45" customWidth="1"/>
    <col min="1529" max="1529" width="27.7109375" style="45" customWidth="1"/>
    <col min="1530" max="1530" width="65.7109375" style="45" customWidth="1"/>
    <col min="1531" max="1531" width="21.85546875" style="45" bestFit="1" customWidth="1"/>
    <col min="1532" max="1532" width="30.140625" style="45" customWidth="1"/>
    <col min="1533" max="1533" width="62" style="45" customWidth="1"/>
    <col min="1534" max="1534" width="44" style="45" customWidth="1"/>
    <col min="1535" max="1535" width="43.140625" style="45" customWidth="1"/>
    <col min="1536" max="1536" width="45" style="45" customWidth="1"/>
    <col min="1537" max="1537" width="35.5703125" style="45" customWidth="1"/>
    <col min="1538" max="1538" width="37.140625" style="45" customWidth="1"/>
    <col min="1539" max="1539" width="76.7109375" style="45" customWidth="1"/>
    <col min="1540" max="1540" width="37.7109375" style="45" customWidth="1"/>
    <col min="1541" max="1541" width="37.85546875" style="45" customWidth="1"/>
    <col min="1542" max="1542" width="39.85546875" style="45" customWidth="1"/>
    <col min="1543" max="1543" width="53.140625" style="45" customWidth="1"/>
    <col min="1544" max="1544" width="35.28515625" style="45" customWidth="1"/>
    <col min="1545" max="1545" width="31" style="45" customWidth="1"/>
    <col min="1546" max="1546" width="29.140625" style="45" customWidth="1"/>
    <col min="1547" max="1547" width="30.140625" style="45" customWidth="1"/>
    <col min="1548" max="1548" width="49.140625" style="45" customWidth="1"/>
    <col min="1549" max="1549" width="31.85546875" style="45" customWidth="1"/>
    <col min="1550" max="1550" width="39.140625" style="45" customWidth="1"/>
    <col min="1551" max="1551" width="53" style="45" bestFit="1" customWidth="1"/>
    <col min="1552" max="1552" width="33.42578125" style="45" bestFit="1" customWidth="1"/>
    <col min="1553" max="1553" width="28.140625" style="45" customWidth="1"/>
    <col min="1554" max="1558" width="6.7109375" style="45" customWidth="1"/>
    <col min="1559" max="1559" width="1.7109375" style="45" customWidth="1"/>
    <col min="1560" max="1783" width="9.140625" style="45"/>
    <col min="1784" max="1784" width="16" style="45" customWidth="1"/>
    <col min="1785" max="1785" width="27.7109375" style="45" customWidth="1"/>
    <col min="1786" max="1786" width="65.7109375" style="45" customWidth="1"/>
    <col min="1787" max="1787" width="21.85546875" style="45" bestFit="1" customWidth="1"/>
    <col min="1788" max="1788" width="30.140625" style="45" customWidth="1"/>
    <col min="1789" max="1789" width="62" style="45" customWidth="1"/>
    <col min="1790" max="1790" width="44" style="45" customWidth="1"/>
    <col min="1791" max="1791" width="43.140625" style="45" customWidth="1"/>
    <col min="1792" max="1792" width="45" style="45" customWidth="1"/>
    <col min="1793" max="1793" width="35.5703125" style="45" customWidth="1"/>
    <col min="1794" max="1794" width="37.140625" style="45" customWidth="1"/>
    <col min="1795" max="1795" width="76.7109375" style="45" customWidth="1"/>
    <col min="1796" max="1796" width="37.7109375" style="45" customWidth="1"/>
    <col min="1797" max="1797" width="37.85546875" style="45" customWidth="1"/>
    <col min="1798" max="1798" width="39.85546875" style="45" customWidth="1"/>
    <col min="1799" max="1799" width="53.140625" style="45" customWidth="1"/>
    <col min="1800" max="1800" width="35.28515625" style="45" customWidth="1"/>
    <col min="1801" max="1801" width="31" style="45" customWidth="1"/>
    <col min="1802" max="1802" width="29.140625" style="45" customWidth="1"/>
    <col min="1803" max="1803" width="30.140625" style="45" customWidth="1"/>
    <col min="1804" max="1804" width="49.140625" style="45" customWidth="1"/>
    <col min="1805" max="1805" width="31.85546875" style="45" customWidth="1"/>
    <col min="1806" max="1806" width="39.140625" style="45" customWidth="1"/>
    <col min="1807" max="1807" width="53" style="45" bestFit="1" customWidth="1"/>
    <col min="1808" max="1808" width="33.42578125" style="45" bestFit="1" customWidth="1"/>
    <col min="1809" max="1809" width="28.140625" style="45" customWidth="1"/>
    <col min="1810" max="1814" width="6.7109375" style="45" customWidth="1"/>
    <col min="1815" max="1815" width="1.7109375" style="45" customWidth="1"/>
    <col min="1816" max="2039" width="9.140625" style="45"/>
    <col min="2040" max="2040" width="16" style="45" customWidth="1"/>
    <col min="2041" max="2041" width="27.7109375" style="45" customWidth="1"/>
    <col min="2042" max="2042" width="65.7109375" style="45" customWidth="1"/>
    <col min="2043" max="2043" width="21.85546875" style="45" bestFit="1" customWidth="1"/>
    <col min="2044" max="2044" width="30.140625" style="45" customWidth="1"/>
    <col min="2045" max="2045" width="62" style="45" customWidth="1"/>
    <col min="2046" max="2046" width="44" style="45" customWidth="1"/>
    <col min="2047" max="2047" width="43.140625" style="45" customWidth="1"/>
    <col min="2048" max="2048" width="45" style="45" customWidth="1"/>
    <col min="2049" max="2049" width="35.5703125" style="45" customWidth="1"/>
    <col min="2050" max="2050" width="37.140625" style="45" customWidth="1"/>
    <col min="2051" max="2051" width="76.7109375" style="45" customWidth="1"/>
    <col min="2052" max="2052" width="37.7109375" style="45" customWidth="1"/>
    <col min="2053" max="2053" width="37.85546875" style="45" customWidth="1"/>
    <col min="2054" max="2054" width="39.85546875" style="45" customWidth="1"/>
    <col min="2055" max="2055" width="53.140625" style="45" customWidth="1"/>
    <col min="2056" max="2056" width="35.28515625" style="45" customWidth="1"/>
    <col min="2057" max="2057" width="31" style="45" customWidth="1"/>
    <col min="2058" max="2058" width="29.140625" style="45" customWidth="1"/>
    <col min="2059" max="2059" width="30.140625" style="45" customWidth="1"/>
    <col min="2060" max="2060" width="49.140625" style="45" customWidth="1"/>
    <col min="2061" max="2061" width="31.85546875" style="45" customWidth="1"/>
    <col min="2062" max="2062" width="39.140625" style="45" customWidth="1"/>
    <col min="2063" max="2063" width="53" style="45" bestFit="1" customWidth="1"/>
    <col min="2064" max="2064" width="33.42578125" style="45" bestFit="1" customWidth="1"/>
    <col min="2065" max="2065" width="28.140625" style="45" customWidth="1"/>
    <col min="2066" max="2070" width="6.7109375" style="45" customWidth="1"/>
    <col min="2071" max="2071" width="1.7109375" style="45" customWidth="1"/>
    <col min="2072" max="2295" width="9.140625" style="45"/>
    <col min="2296" max="2296" width="16" style="45" customWidth="1"/>
    <col min="2297" max="2297" width="27.7109375" style="45" customWidth="1"/>
    <col min="2298" max="2298" width="65.7109375" style="45" customWidth="1"/>
    <col min="2299" max="2299" width="21.85546875" style="45" bestFit="1" customWidth="1"/>
    <col min="2300" max="2300" width="30.140625" style="45" customWidth="1"/>
    <col min="2301" max="2301" width="62" style="45" customWidth="1"/>
    <col min="2302" max="2302" width="44" style="45" customWidth="1"/>
    <col min="2303" max="2303" width="43.140625" style="45" customWidth="1"/>
    <col min="2304" max="2304" width="45" style="45" customWidth="1"/>
    <col min="2305" max="2305" width="35.5703125" style="45" customWidth="1"/>
    <col min="2306" max="2306" width="37.140625" style="45" customWidth="1"/>
    <col min="2307" max="2307" width="76.7109375" style="45" customWidth="1"/>
    <col min="2308" max="2308" width="37.7109375" style="45" customWidth="1"/>
    <col min="2309" max="2309" width="37.85546875" style="45" customWidth="1"/>
    <col min="2310" max="2310" width="39.85546875" style="45" customWidth="1"/>
    <col min="2311" max="2311" width="53.140625" style="45" customWidth="1"/>
    <col min="2312" max="2312" width="35.28515625" style="45" customWidth="1"/>
    <col min="2313" max="2313" width="31" style="45" customWidth="1"/>
    <col min="2314" max="2314" width="29.140625" style="45" customWidth="1"/>
    <col min="2315" max="2315" width="30.140625" style="45" customWidth="1"/>
    <col min="2316" max="2316" width="49.140625" style="45" customWidth="1"/>
    <col min="2317" max="2317" width="31.85546875" style="45" customWidth="1"/>
    <col min="2318" max="2318" width="39.140625" style="45" customWidth="1"/>
    <col min="2319" max="2319" width="53" style="45" bestFit="1" customWidth="1"/>
    <col min="2320" max="2320" width="33.42578125" style="45" bestFit="1" customWidth="1"/>
    <col min="2321" max="2321" width="28.140625" style="45" customWidth="1"/>
    <col min="2322" max="2326" width="6.7109375" style="45" customWidth="1"/>
    <col min="2327" max="2327" width="1.7109375" style="45" customWidth="1"/>
    <col min="2328" max="2551" width="9.140625" style="45"/>
    <col min="2552" max="2552" width="16" style="45" customWidth="1"/>
    <col min="2553" max="2553" width="27.7109375" style="45" customWidth="1"/>
    <col min="2554" max="2554" width="65.7109375" style="45" customWidth="1"/>
    <col min="2555" max="2555" width="21.85546875" style="45" bestFit="1" customWidth="1"/>
    <col min="2556" max="2556" width="30.140625" style="45" customWidth="1"/>
    <col min="2557" max="2557" width="62" style="45" customWidth="1"/>
    <col min="2558" max="2558" width="44" style="45" customWidth="1"/>
    <col min="2559" max="2559" width="43.140625" style="45" customWidth="1"/>
    <col min="2560" max="2560" width="45" style="45" customWidth="1"/>
    <col min="2561" max="2561" width="35.5703125" style="45" customWidth="1"/>
    <col min="2562" max="2562" width="37.140625" style="45" customWidth="1"/>
    <col min="2563" max="2563" width="76.7109375" style="45" customWidth="1"/>
    <col min="2564" max="2564" width="37.7109375" style="45" customWidth="1"/>
    <col min="2565" max="2565" width="37.85546875" style="45" customWidth="1"/>
    <col min="2566" max="2566" width="39.85546875" style="45" customWidth="1"/>
    <col min="2567" max="2567" width="53.140625" style="45" customWidth="1"/>
    <col min="2568" max="2568" width="35.28515625" style="45" customWidth="1"/>
    <col min="2569" max="2569" width="31" style="45" customWidth="1"/>
    <col min="2570" max="2570" width="29.140625" style="45" customWidth="1"/>
    <col min="2571" max="2571" width="30.140625" style="45" customWidth="1"/>
    <col min="2572" max="2572" width="49.140625" style="45" customWidth="1"/>
    <col min="2573" max="2573" width="31.85546875" style="45" customWidth="1"/>
    <col min="2574" max="2574" width="39.140625" style="45" customWidth="1"/>
    <col min="2575" max="2575" width="53" style="45" bestFit="1" customWidth="1"/>
    <col min="2576" max="2576" width="33.42578125" style="45" bestFit="1" customWidth="1"/>
    <col min="2577" max="2577" width="28.140625" style="45" customWidth="1"/>
    <col min="2578" max="2582" width="6.7109375" style="45" customWidth="1"/>
    <col min="2583" max="2583" width="1.7109375" style="45" customWidth="1"/>
    <col min="2584" max="2807" width="9.140625" style="45"/>
    <col min="2808" max="2808" width="16" style="45" customWidth="1"/>
    <col min="2809" max="2809" width="27.7109375" style="45" customWidth="1"/>
    <col min="2810" max="2810" width="65.7109375" style="45" customWidth="1"/>
    <col min="2811" max="2811" width="21.85546875" style="45" bestFit="1" customWidth="1"/>
    <col min="2812" max="2812" width="30.140625" style="45" customWidth="1"/>
    <col min="2813" max="2813" width="62" style="45" customWidth="1"/>
    <col min="2814" max="2814" width="44" style="45" customWidth="1"/>
    <col min="2815" max="2815" width="43.140625" style="45" customWidth="1"/>
    <col min="2816" max="2816" width="45" style="45" customWidth="1"/>
    <col min="2817" max="2817" width="35.5703125" style="45" customWidth="1"/>
    <col min="2818" max="2818" width="37.140625" style="45" customWidth="1"/>
    <col min="2819" max="2819" width="76.7109375" style="45" customWidth="1"/>
    <col min="2820" max="2820" width="37.7109375" style="45" customWidth="1"/>
    <col min="2821" max="2821" width="37.85546875" style="45" customWidth="1"/>
    <col min="2822" max="2822" width="39.85546875" style="45" customWidth="1"/>
    <col min="2823" max="2823" width="53.140625" style="45" customWidth="1"/>
    <col min="2824" max="2824" width="35.28515625" style="45" customWidth="1"/>
    <col min="2825" max="2825" width="31" style="45" customWidth="1"/>
    <col min="2826" max="2826" width="29.140625" style="45" customWidth="1"/>
    <col min="2827" max="2827" width="30.140625" style="45" customWidth="1"/>
    <col min="2828" max="2828" width="49.140625" style="45" customWidth="1"/>
    <col min="2829" max="2829" width="31.85546875" style="45" customWidth="1"/>
    <col min="2830" max="2830" width="39.140625" style="45" customWidth="1"/>
    <col min="2831" max="2831" width="53" style="45" bestFit="1" customWidth="1"/>
    <col min="2832" max="2832" width="33.42578125" style="45" bestFit="1" customWidth="1"/>
    <col min="2833" max="2833" width="28.140625" style="45" customWidth="1"/>
    <col min="2834" max="2838" width="6.7109375" style="45" customWidth="1"/>
    <col min="2839" max="2839" width="1.7109375" style="45" customWidth="1"/>
    <col min="2840" max="3063" width="9.140625" style="45"/>
    <col min="3064" max="3064" width="16" style="45" customWidth="1"/>
    <col min="3065" max="3065" width="27.7109375" style="45" customWidth="1"/>
    <col min="3066" max="3066" width="65.7109375" style="45" customWidth="1"/>
    <col min="3067" max="3067" width="21.85546875" style="45" bestFit="1" customWidth="1"/>
    <col min="3068" max="3068" width="30.140625" style="45" customWidth="1"/>
    <col min="3069" max="3069" width="62" style="45" customWidth="1"/>
    <col min="3070" max="3070" width="44" style="45" customWidth="1"/>
    <col min="3071" max="3071" width="43.140625" style="45" customWidth="1"/>
    <col min="3072" max="3072" width="45" style="45" customWidth="1"/>
    <col min="3073" max="3073" width="35.5703125" style="45" customWidth="1"/>
    <col min="3074" max="3074" width="37.140625" style="45" customWidth="1"/>
    <col min="3075" max="3075" width="76.7109375" style="45" customWidth="1"/>
    <col min="3076" max="3076" width="37.7109375" style="45" customWidth="1"/>
    <col min="3077" max="3077" width="37.85546875" style="45" customWidth="1"/>
    <col min="3078" max="3078" width="39.85546875" style="45" customWidth="1"/>
    <col min="3079" max="3079" width="53.140625" style="45" customWidth="1"/>
    <col min="3080" max="3080" width="35.28515625" style="45" customWidth="1"/>
    <col min="3081" max="3081" width="31" style="45" customWidth="1"/>
    <col min="3082" max="3082" width="29.140625" style="45" customWidth="1"/>
    <col min="3083" max="3083" width="30.140625" style="45" customWidth="1"/>
    <col min="3084" max="3084" width="49.140625" style="45" customWidth="1"/>
    <col min="3085" max="3085" width="31.85546875" style="45" customWidth="1"/>
    <col min="3086" max="3086" width="39.140625" style="45" customWidth="1"/>
    <col min="3087" max="3087" width="53" style="45" bestFit="1" customWidth="1"/>
    <col min="3088" max="3088" width="33.42578125" style="45" bestFit="1" customWidth="1"/>
    <col min="3089" max="3089" width="28.140625" style="45" customWidth="1"/>
    <col min="3090" max="3094" width="6.7109375" style="45" customWidth="1"/>
    <col min="3095" max="3095" width="1.7109375" style="45" customWidth="1"/>
    <col min="3096" max="3319" width="9.140625" style="45"/>
    <col min="3320" max="3320" width="16" style="45" customWidth="1"/>
    <col min="3321" max="3321" width="27.7109375" style="45" customWidth="1"/>
    <col min="3322" max="3322" width="65.7109375" style="45" customWidth="1"/>
    <col min="3323" max="3323" width="21.85546875" style="45" bestFit="1" customWidth="1"/>
    <col min="3324" max="3324" width="30.140625" style="45" customWidth="1"/>
    <col min="3325" max="3325" width="62" style="45" customWidth="1"/>
    <col min="3326" max="3326" width="44" style="45" customWidth="1"/>
    <col min="3327" max="3327" width="43.140625" style="45" customWidth="1"/>
    <col min="3328" max="3328" width="45" style="45" customWidth="1"/>
    <col min="3329" max="3329" width="35.5703125" style="45" customWidth="1"/>
    <col min="3330" max="3330" width="37.140625" style="45" customWidth="1"/>
    <col min="3331" max="3331" width="76.7109375" style="45" customWidth="1"/>
    <col min="3332" max="3332" width="37.7109375" style="45" customWidth="1"/>
    <col min="3333" max="3333" width="37.85546875" style="45" customWidth="1"/>
    <col min="3334" max="3334" width="39.85546875" style="45" customWidth="1"/>
    <col min="3335" max="3335" width="53.140625" style="45" customWidth="1"/>
    <col min="3336" max="3336" width="35.28515625" style="45" customWidth="1"/>
    <col min="3337" max="3337" width="31" style="45" customWidth="1"/>
    <col min="3338" max="3338" width="29.140625" style="45" customWidth="1"/>
    <col min="3339" max="3339" width="30.140625" style="45" customWidth="1"/>
    <col min="3340" max="3340" width="49.140625" style="45" customWidth="1"/>
    <col min="3341" max="3341" width="31.85546875" style="45" customWidth="1"/>
    <col min="3342" max="3342" width="39.140625" style="45" customWidth="1"/>
    <col min="3343" max="3343" width="53" style="45" bestFit="1" customWidth="1"/>
    <col min="3344" max="3344" width="33.42578125" style="45" bestFit="1" customWidth="1"/>
    <col min="3345" max="3345" width="28.140625" style="45" customWidth="1"/>
    <col min="3346" max="3350" width="6.7109375" style="45" customWidth="1"/>
    <col min="3351" max="3351" width="1.7109375" style="45" customWidth="1"/>
    <col min="3352" max="3575" width="9.140625" style="45"/>
    <col min="3576" max="3576" width="16" style="45" customWidth="1"/>
    <col min="3577" max="3577" width="27.7109375" style="45" customWidth="1"/>
    <col min="3578" max="3578" width="65.7109375" style="45" customWidth="1"/>
    <col min="3579" max="3579" width="21.85546875" style="45" bestFit="1" customWidth="1"/>
    <col min="3580" max="3580" width="30.140625" style="45" customWidth="1"/>
    <col min="3581" max="3581" width="62" style="45" customWidth="1"/>
    <col min="3582" max="3582" width="44" style="45" customWidth="1"/>
    <col min="3583" max="3583" width="43.140625" style="45" customWidth="1"/>
    <col min="3584" max="3584" width="45" style="45" customWidth="1"/>
    <col min="3585" max="3585" width="35.5703125" style="45" customWidth="1"/>
    <col min="3586" max="3586" width="37.140625" style="45" customWidth="1"/>
    <col min="3587" max="3587" width="76.7109375" style="45" customWidth="1"/>
    <col min="3588" max="3588" width="37.7109375" style="45" customWidth="1"/>
    <col min="3589" max="3589" width="37.85546875" style="45" customWidth="1"/>
    <col min="3590" max="3590" width="39.85546875" style="45" customWidth="1"/>
    <col min="3591" max="3591" width="53.140625" style="45" customWidth="1"/>
    <col min="3592" max="3592" width="35.28515625" style="45" customWidth="1"/>
    <col min="3593" max="3593" width="31" style="45" customWidth="1"/>
    <col min="3594" max="3594" width="29.140625" style="45" customWidth="1"/>
    <col min="3595" max="3595" width="30.140625" style="45" customWidth="1"/>
    <col min="3596" max="3596" width="49.140625" style="45" customWidth="1"/>
    <col min="3597" max="3597" width="31.85546875" style="45" customWidth="1"/>
    <col min="3598" max="3598" width="39.140625" style="45" customWidth="1"/>
    <col min="3599" max="3599" width="53" style="45" bestFit="1" customWidth="1"/>
    <col min="3600" max="3600" width="33.42578125" style="45" bestFit="1" customWidth="1"/>
    <col min="3601" max="3601" width="28.140625" style="45" customWidth="1"/>
    <col min="3602" max="3606" width="6.7109375" style="45" customWidth="1"/>
    <col min="3607" max="3607" width="1.7109375" style="45" customWidth="1"/>
    <col min="3608" max="3831" width="9.140625" style="45"/>
    <col min="3832" max="3832" width="16" style="45" customWidth="1"/>
    <col min="3833" max="3833" width="27.7109375" style="45" customWidth="1"/>
    <col min="3834" max="3834" width="65.7109375" style="45" customWidth="1"/>
    <col min="3835" max="3835" width="21.85546875" style="45" bestFit="1" customWidth="1"/>
    <col min="3836" max="3836" width="30.140625" style="45" customWidth="1"/>
    <col min="3837" max="3837" width="62" style="45" customWidth="1"/>
    <col min="3838" max="3838" width="44" style="45" customWidth="1"/>
    <col min="3839" max="3839" width="43.140625" style="45" customWidth="1"/>
    <col min="3840" max="3840" width="45" style="45" customWidth="1"/>
    <col min="3841" max="3841" width="35.5703125" style="45" customWidth="1"/>
    <col min="3842" max="3842" width="37.140625" style="45" customWidth="1"/>
    <col min="3843" max="3843" width="76.7109375" style="45" customWidth="1"/>
    <col min="3844" max="3844" width="37.7109375" style="45" customWidth="1"/>
    <col min="3845" max="3845" width="37.85546875" style="45" customWidth="1"/>
    <col min="3846" max="3846" width="39.85546875" style="45" customWidth="1"/>
    <col min="3847" max="3847" width="53.140625" style="45" customWidth="1"/>
    <col min="3848" max="3848" width="35.28515625" style="45" customWidth="1"/>
    <col min="3849" max="3849" width="31" style="45" customWidth="1"/>
    <col min="3850" max="3850" width="29.140625" style="45" customWidth="1"/>
    <col min="3851" max="3851" width="30.140625" style="45" customWidth="1"/>
    <col min="3852" max="3852" width="49.140625" style="45" customWidth="1"/>
    <col min="3853" max="3853" width="31.85546875" style="45" customWidth="1"/>
    <col min="3854" max="3854" width="39.140625" style="45" customWidth="1"/>
    <col min="3855" max="3855" width="53" style="45" bestFit="1" customWidth="1"/>
    <col min="3856" max="3856" width="33.42578125" style="45" bestFit="1" customWidth="1"/>
    <col min="3857" max="3857" width="28.140625" style="45" customWidth="1"/>
    <col min="3858" max="3862" width="6.7109375" style="45" customWidth="1"/>
    <col min="3863" max="3863" width="1.7109375" style="45" customWidth="1"/>
    <col min="3864" max="4087" width="9.140625" style="45"/>
    <col min="4088" max="4088" width="16" style="45" customWidth="1"/>
    <col min="4089" max="4089" width="27.7109375" style="45" customWidth="1"/>
    <col min="4090" max="4090" width="65.7109375" style="45" customWidth="1"/>
    <col min="4091" max="4091" width="21.85546875" style="45" bestFit="1" customWidth="1"/>
    <col min="4092" max="4092" width="30.140625" style="45" customWidth="1"/>
    <col min="4093" max="4093" width="62" style="45" customWidth="1"/>
    <col min="4094" max="4094" width="44" style="45" customWidth="1"/>
    <col min="4095" max="4095" width="43.140625" style="45" customWidth="1"/>
    <col min="4096" max="4096" width="45" style="45" customWidth="1"/>
    <col min="4097" max="4097" width="35.5703125" style="45" customWidth="1"/>
    <col min="4098" max="4098" width="37.140625" style="45" customWidth="1"/>
    <col min="4099" max="4099" width="76.7109375" style="45" customWidth="1"/>
    <col min="4100" max="4100" width="37.7109375" style="45" customWidth="1"/>
    <col min="4101" max="4101" width="37.85546875" style="45" customWidth="1"/>
    <col min="4102" max="4102" width="39.85546875" style="45" customWidth="1"/>
    <col min="4103" max="4103" width="53.140625" style="45" customWidth="1"/>
    <col min="4104" max="4104" width="35.28515625" style="45" customWidth="1"/>
    <col min="4105" max="4105" width="31" style="45" customWidth="1"/>
    <col min="4106" max="4106" width="29.140625" style="45" customWidth="1"/>
    <col min="4107" max="4107" width="30.140625" style="45" customWidth="1"/>
    <col min="4108" max="4108" width="49.140625" style="45" customWidth="1"/>
    <col min="4109" max="4109" width="31.85546875" style="45" customWidth="1"/>
    <col min="4110" max="4110" width="39.140625" style="45" customWidth="1"/>
    <col min="4111" max="4111" width="53" style="45" bestFit="1" customWidth="1"/>
    <col min="4112" max="4112" width="33.42578125" style="45" bestFit="1" customWidth="1"/>
    <col min="4113" max="4113" width="28.140625" style="45" customWidth="1"/>
    <col min="4114" max="4118" width="6.7109375" style="45" customWidth="1"/>
    <col min="4119" max="4119" width="1.7109375" style="45" customWidth="1"/>
    <col min="4120" max="4343" width="9.140625" style="45"/>
    <col min="4344" max="4344" width="16" style="45" customWidth="1"/>
    <col min="4345" max="4345" width="27.7109375" style="45" customWidth="1"/>
    <col min="4346" max="4346" width="65.7109375" style="45" customWidth="1"/>
    <col min="4347" max="4347" width="21.85546875" style="45" bestFit="1" customWidth="1"/>
    <col min="4348" max="4348" width="30.140625" style="45" customWidth="1"/>
    <col min="4349" max="4349" width="62" style="45" customWidth="1"/>
    <col min="4350" max="4350" width="44" style="45" customWidth="1"/>
    <col min="4351" max="4351" width="43.140625" style="45" customWidth="1"/>
    <col min="4352" max="4352" width="45" style="45" customWidth="1"/>
    <col min="4353" max="4353" width="35.5703125" style="45" customWidth="1"/>
    <col min="4354" max="4354" width="37.140625" style="45" customWidth="1"/>
    <col min="4355" max="4355" width="76.7109375" style="45" customWidth="1"/>
    <col min="4356" max="4356" width="37.7109375" style="45" customWidth="1"/>
    <col min="4357" max="4357" width="37.85546875" style="45" customWidth="1"/>
    <col min="4358" max="4358" width="39.85546875" style="45" customWidth="1"/>
    <col min="4359" max="4359" width="53.140625" style="45" customWidth="1"/>
    <col min="4360" max="4360" width="35.28515625" style="45" customWidth="1"/>
    <col min="4361" max="4361" width="31" style="45" customWidth="1"/>
    <col min="4362" max="4362" width="29.140625" style="45" customWidth="1"/>
    <col min="4363" max="4363" width="30.140625" style="45" customWidth="1"/>
    <col min="4364" max="4364" width="49.140625" style="45" customWidth="1"/>
    <col min="4365" max="4365" width="31.85546875" style="45" customWidth="1"/>
    <col min="4366" max="4366" width="39.140625" style="45" customWidth="1"/>
    <col min="4367" max="4367" width="53" style="45" bestFit="1" customWidth="1"/>
    <col min="4368" max="4368" width="33.42578125" style="45" bestFit="1" customWidth="1"/>
    <col min="4369" max="4369" width="28.140625" style="45" customWidth="1"/>
    <col min="4370" max="4374" width="6.7109375" style="45" customWidth="1"/>
    <col min="4375" max="4375" width="1.7109375" style="45" customWidth="1"/>
    <col min="4376" max="4599" width="9.140625" style="45"/>
    <col min="4600" max="4600" width="16" style="45" customWidth="1"/>
    <col min="4601" max="4601" width="27.7109375" style="45" customWidth="1"/>
    <col min="4602" max="4602" width="65.7109375" style="45" customWidth="1"/>
    <col min="4603" max="4603" width="21.85546875" style="45" bestFit="1" customWidth="1"/>
    <col min="4604" max="4604" width="30.140625" style="45" customWidth="1"/>
    <col min="4605" max="4605" width="62" style="45" customWidth="1"/>
    <col min="4606" max="4606" width="44" style="45" customWidth="1"/>
    <col min="4607" max="4607" width="43.140625" style="45" customWidth="1"/>
    <col min="4608" max="4608" width="45" style="45" customWidth="1"/>
    <col min="4609" max="4609" width="35.5703125" style="45" customWidth="1"/>
    <col min="4610" max="4610" width="37.140625" style="45" customWidth="1"/>
    <col min="4611" max="4611" width="76.7109375" style="45" customWidth="1"/>
    <col min="4612" max="4612" width="37.7109375" style="45" customWidth="1"/>
    <col min="4613" max="4613" width="37.85546875" style="45" customWidth="1"/>
    <col min="4614" max="4614" width="39.85546875" style="45" customWidth="1"/>
    <col min="4615" max="4615" width="53.140625" style="45" customWidth="1"/>
    <col min="4616" max="4616" width="35.28515625" style="45" customWidth="1"/>
    <col min="4617" max="4617" width="31" style="45" customWidth="1"/>
    <col min="4618" max="4618" width="29.140625" style="45" customWidth="1"/>
    <col min="4619" max="4619" width="30.140625" style="45" customWidth="1"/>
    <col min="4620" max="4620" width="49.140625" style="45" customWidth="1"/>
    <col min="4621" max="4621" width="31.85546875" style="45" customWidth="1"/>
    <col min="4622" max="4622" width="39.140625" style="45" customWidth="1"/>
    <col min="4623" max="4623" width="53" style="45" bestFit="1" customWidth="1"/>
    <col min="4624" max="4624" width="33.42578125" style="45" bestFit="1" customWidth="1"/>
    <col min="4625" max="4625" width="28.140625" style="45" customWidth="1"/>
    <col min="4626" max="4630" width="6.7109375" style="45" customWidth="1"/>
    <col min="4631" max="4631" width="1.7109375" style="45" customWidth="1"/>
    <col min="4632" max="4855" width="9.140625" style="45"/>
    <col min="4856" max="4856" width="16" style="45" customWidth="1"/>
    <col min="4857" max="4857" width="27.7109375" style="45" customWidth="1"/>
    <col min="4858" max="4858" width="65.7109375" style="45" customWidth="1"/>
    <col min="4859" max="4859" width="21.85546875" style="45" bestFit="1" customWidth="1"/>
    <col min="4860" max="4860" width="30.140625" style="45" customWidth="1"/>
    <col min="4861" max="4861" width="62" style="45" customWidth="1"/>
    <col min="4862" max="4862" width="44" style="45" customWidth="1"/>
    <col min="4863" max="4863" width="43.140625" style="45" customWidth="1"/>
    <col min="4864" max="4864" width="45" style="45" customWidth="1"/>
    <col min="4865" max="4865" width="35.5703125" style="45" customWidth="1"/>
    <col min="4866" max="4866" width="37.140625" style="45" customWidth="1"/>
    <col min="4867" max="4867" width="76.7109375" style="45" customWidth="1"/>
    <col min="4868" max="4868" width="37.7109375" style="45" customWidth="1"/>
    <col min="4869" max="4869" width="37.85546875" style="45" customWidth="1"/>
    <col min="4870" max="4870" width="39.85546875" style="45" customWidth="1"/>
    <col min="4871" max="4871" width="53.140625" style="45" customWidth="1"/>
    <col min="4872" max="4872" width="35.28515625" style="45" customWidth="1"/>
    <col min="4873" max="4873" width="31" style="45" customWidth="1"/>
    <col min="4874" max="4874" width="29.140625" style="45" customWidth="1"/>
    <col min="4875" max="4875" width="30.140625" style="45" customWidth="1"/>
    <col min="4876" max="4876" width="49.140625" style="45" customWidth="1"/>
    <col min="4877" max="4877" width="31.85546875" style="45" customWidth="1"/>
    <col min="4878" max="4878" width="39.140625" style="45" customWidth="1"/>
    <col min="4879" max="4879" width="53" style="45" bestFit="1" customWidth="1"/>
    <col min="4880" max="4880" width="33.42578125" style="45" bestFit="1" customWidth="1"/>
    <col min="4881" max="4881" width="28.140625" style="45" customWidth="1"/>
    <col min="4882" max="4886" width="6.7109375" style="45" customWidth="1"/>
    <col min="4887" max="4887" width="1.7109375" style="45" customWidth="1"/>
    <col min="4888" max="5111" width="9.140625" style="45"/>
    <col min="5112" max="5112" width="16" style="45" customWidth="1"/>
    <col min="5113" max="5113" width="27.7109375" style="45" customWidth="1"/>
    <col min="5114" max="5114" width="65.7109375" style="45" customWidth="1"/>
    <col min="5115" max="5115" width="21.85546875" style="45" bestFit="1" customWidth="1"/>
    <col min="5116" max="5116" width="30.140625" style="45" customWidth="1"/>
    <col min="5117" max="5117" width="62" style="45" customWidth="1"/>
    <col min="5118" max="5118" width="44" style="45" customWidth="1"/>
    <col min="5119" max="5119" width="43.140625" style="45" customWidth="1"/>
    <col min="5120" max="5120" width="45" style="45" customWidth="1"/>
    <col min="5121" max="5121" width="35.5703125" style="45" customWidth="1"/>
    <col min="5122" max="5122" width="37.140625" style="45" customWidth="1"/>
    <col min="5123" max="5123" width="76.7109375" style="45" customWidth="1"/>
    <col min="5124" max="5124" width="37.7109375" style="45" customWidth="1"/>
    <col min="5125" max="5125" width="37.85546875" style="45" customWidth="1"/>
    <col min="5126" max="5126" width="39.85546875" style="45" customWidth="1"/>
    <col min="5127" max="5127" width="53.140625" style="45" customWidth="1"/>
    <col min="5128" max="5128" width="35.28515625" style="45" customWidth="1"/>
    <col min="5129" max="5129" width="31" style="45" customWidth="1"/>
    <col min="5130" max="5130" width="29.140625" style="45" customWidth="1"/>
    <col min="5131" max="5131" width="30.140625" style="45" customWidth="1"/>
    <col min="5132" max="5132" width="49.140625" style="45" customWidth="1"/>
    <col min="5133" max="5133" width="31.85546875" style="45" customWidth="1"/>
    <col min="5134" max="5134" width="39.140625" style="45" customWidth="1"/>
    <col min="5135" max="5135" width="53" style="45" bestFit="1" customWidth="1"/>
    <col min="5136" max="5136" width="33.42578125" style="45" bestFit="1" customWidth="1"/>
    <col min="5137" max="5137" width="28.140625" style="45" customWidth="1"/>
    <col min="5138" max="5142" width="6.7109375" style="45" customWidth="1"/>
    <col min="5143" max="5143" width="1.7109375" style="45" customWidth="1"/>
    <col min="5144" max="5367" width="9.140625" style="45"/>
    <col min="5368" max="5368" width="16" style="45" customWidth="1"/>
    <col min="5369" max="5369" width="27.7109375" style="45" customWidth="1"/>
    <col min="5370" max="5370" width="65.7109375" style="45" customWidth="1"/>
    <col min="5371" max="5371" width="21.85546875" style="45" bestFit="1" customWidth="1"/>
    <col min="5372" max="5372" width="30.140625" style="45" customWidth="1"/>
    <col min="5373" max="5373" width="62" style="45" customWidth="1"/>
    <col min="5374" max="5374" width="44" style="45" customWidth="1"/>
    <col min="5375" max="5375" width="43.140625" style="45" customWidth="1"/>
    <col min="5376" max="5376" width="45" style="45" customWidth="1"/>
    <col min="5377" max="5377" width="35.5703125" style="45" customWidth="1"/>
    <col min="5378" max="5378" width="37.140625" style="45" customWidth="1"/>
    <col min="5379" max="5379" width="76.7109375" style="45" customWidth="1"/>
    <col min="5380" max="5380" width="37.7109375" style="45" customWidth="1"/>
    <col min="5381" max="5381" width="37.85546875" style="45" customWidth="1"/>
    <col min="5382" max="5382" width="39.85546875" style="45" customWidth="1"/>
    <col min="5383" max="5383" width="53.140625" style="45" customWidth="1"/>
    <col min="5384" max="5384" width="35.28515625" style="45" customWidth="1"/>
    <col min="5385" max="5385" width="31" style="45" customWidth="1"/>
    <col min="5386" max="5386" width="29.140625" style="45" customWidth="1"/>
    <col min="5387" max="5387" width="30.140625" style="45" customWidth="1"/>
    <col min="5388" max="5388" width="49.140625" style="45" customWidth="1"/>
    <col min="5389" max="5389" width="31.85546875" style="45" customWidth="1"/>
    <col min="5390" max="5390" width="39.140625" style="45" customWidth="1"/>
    <col min="5391" max="5391" width="53" style="45" bestFit="1" customWidth="1"/>
    <col min="5392" max="5392" width="33.42578125" style="45" bestFit="1" customWidth="1"/>
    <col min="5393" max="5393" width="28.140625" style="45" customWidth="1"/>
    <col min="5394" max="5398" width="6.7109375" style="45" customWidth="1"/>
    <col min="5399" max="5399" width="1.7109375" style="45" customWidth="1"/>
    <col min="5400" max="5623" width="9.140625" style="45"/>
    <col min="5624" max="5624" width="16" style="45" customWidth="1"/>
    <col min="5625" max="5625" width="27.7109375" style="45" customWidth="1"/>
    <col min="5626" max="5626" width="65.7109375" style="45" customWidth="1"/>
    <col min="5627" max="5627" width="21.85546875" style="45" bestFit="1" customWidth="1"/>
    <col min="5628" max="5628" width="30.140625" style="45" customWidth="1"/>
    <col min="5629" max="5629" width="62" style="45" customWidth="1"/>
    <col min="5630" max="5630" width="44" style="45" customWidth="1"/>
    <col min="5631" max="5631" width="43.140625" style="45" customWidth="1"/>
    <col min="5632" max="5632" width="45" style="45" customWidth="1"/>
    <col min="5633" max="5633" width="35.5703125" style="45" customWidth="1"/>
    <col min="5634" max="5634" width="37.140625" style="45" customWidth="1"/>
    <col min="5635" max="5635" width="76.7109375" style="45" customWidth="1"/>
    <col min="5636" max="5636" width="37.7109375" style="45" customWidth="1"/>
    <col min="5637" max="5637" width="37.85546875" style="45" customWidth="1"/>
    <col min="5638" max="5638" width="39.85546875" style="45" customWidth="1"/>
    <col min="5639" max="5639" width="53.140625" style="45" customWidth="1"/>
    <col min="5640" max="5640" width="35.28515625" style="45" customWidth="1"/>
    <col min="5641" max="5641" width="31" style="45" customWidth="1"/>
    <col min="5642" max="5642" width="29.140625" style="45" customWidth="1"/>
    <col min="5643" max="5643" width="30.140625" style="45" customWidth="1"/>
    <col min="5644" max="5644" width="49.140625" style="45" customWidth="1"/>
    <col min="5645" max="5645" width="31.85546875" style="45" customWidth="1"/>
    <col min="5646" max="5646" width="39.140625" style="45" customWidth="1"/>
    <col min="5647" max="5647" width="53" style="45" bestFit="1" customWidth="1"/>
    <col min="5648" max="5648" width="33.42578125" style="45" bestFit="1" customWidth="1"/>
    <col min="5649" max="5649" width="28.140625" style="45" customWidth="1"/>
    <col min="5650" max="5654" width="6.7109375" style="45" customWidth="1"/>
    <col min="5655" max="5655" width="1.7109375" style="45" customWidth="1"/>
    <col min="5656" max="5879" width="9.140625" style="45"/>
    <col min="5880" max="5880" width="16" style="45" customWidth="1"/>
    <col min="5881" max="5881" width="27.7109375" style="45" customWidth="1"/>
    <col min="5882" max="5882" width="65.7109375" style="45" customWidth="1"/>
    <col min="5883" max="5883" width="21.85546875" style="45" bestFit="1" customWidth="1"/>
    <col min="5884" max="5884" width="30.140625" style="45" customWidth="1"/>
    <col min="5885" max="5885" width="62" style="45" customWidth="1"/>
    <col min="5886" max="5886" width="44" style="45" customWidth="1"/>
    <col min="5887" max="5887" width="43.140625" style="45" customWidth="1"/>
    <col min="5888" max="5888" width="45" style="45" customWidth="1"/>
    <col min="5889" max="5889" width="35.5703125" style="45" customWidth="1"/>
    <col min="5890" max="5890" width="37.140625" style="45" customWidth="1"/>
    <col min="5891" max="5891" width="76.7109375" style="45" customWidth="1"/>
    <col min="5892" max="5892" width="37.7109375" style="45" customWidth="1"/>
    <col min="5893" max="5893" width="37.85546875" style="45" customWidth="1"/>
    <col min="5894" max="5894" width="39.85546875" style="45" customWidth="1"/>
    <col min="5895" max="5895" width="53.140625" style="45" customWidth="1"/>
    <col min="5896" max="5896" width="35.28515625" style="45" customWidth="1"/>
    <col min="5897" max="5897" width="31" style="45" customWidth="1"/>
    <col min="5898" max="5898" width="29.140625" style="45" customWidth="1"/>
    <col min="5899" max="5899" width="30.140625" style="45" customWidth="1"/>
    <col min="5900" max="5900" width="49.140625" style="45" customWidth="1"/>
    <col min="5901" max="5901" width="31.85546875" style="45" customWidth="1"/>
    <col min="5902" max="5902" width="39.140625" style="45" customWidth="1"/>
    <col min="5903" max="5903" width="53" style="45" bestFit="1" customWidth="1"/>
    <col min="5904" max="5904" width="33.42578125" style="45" bestFit="1" customWidth="1"/>
    <col min="5905" max="5905" width="28.140625" style="45" customWidth="1"/>
    <col min="5906" max="5910" width="6.7109375" style="45" customWidth="1"/>
    <col min="5911" max="5911" width="1.7109375" style="45" customWidth="1"/>
    <col min="5912" max="6135" width="9.140625" style="45"/>
    <col min="6136" max="6136" width="16" style="45" customWidth="1"/>
    <col min="6137" max="6137" width="27.7109375" style="45" customWidth="1"/>
    <col min="6138" max="6138" width="65.7109375" style="45" customWidth="1"/>
    <col min="6139" max="6139" width="21.85546875" style="45" bestFit="1" customWidth="1"/>
    <col min="6140" max="6140" width="30.140625" style="45" customWidth="1"/>
    <col min="6141" max="6141" width="62" style="45" customWidth="1"/>
    <col min="6142" max="6142" width="44" style="45" customWidth="1"/>
    <col min="6143" max="6143" width="43.140625" style="45" customWidth="1"/>
    <col min="6144" max="6144" width="45" style="45" customWidth="1"/>
    <col min="6145" max="6145" width="35.5703125" style="45" customWidth="1"/>
    <col min="6146" max="6146" width="37.140625" style="45" customWidth="1"/>
    <col min="6147" max="6147" width="76.7109375" style="45" customWidth="1"/>
    <col min="6148" max="6148" width="37.7109375" style="45" customWidth="1"/>
    <col min="6149" max="6149" width="37.85546875" style="45" customWidth="1"/>
    <col min="6150" max="6150" width="39.85546875" style="45" customWidth="1"/>
    <col min="6151" max="6151" width="53.140625" style="45" customWidth="1"/>
    <col min="6152" max="6152" width="35.28515625" style="45" customWidth="1"/>
    <col min="6153" max="6153" width="31" style="45" customWidth="1"/>
    <col min="6154" max="6154" width="29.140625" style="45" customWidth="1"/>
    <col min="6155" max="6155" width="30.140625" style="45" customWidth="1"/>
    <col min="6156" max="6156" width="49.140625" style="45" customWidth="1"/>
    <col min="6157" max="6157" width="31.85546875" style="45" customWidth="1"/>
    <col min="6158" max="6158" width="39.140625" style="45" customWidth="1"/>
    <col min="6159" max="6159" width="53" style="45" bestFit="1" customWidth="1"/>
    <col min="6160" max="6160" width="33.42578125" style="45" bestFit="1" customWidth="1"/>
    <col min="6161" max="6161" width="28.140625" style="45" customWidth="1"/>
    <col min="6162" max="6166" width="6.7109375" style="45" customWidth="1"/>
    <col min="6167" max="6167" width="1.7109375" style="45" customWidth="1"/>
    <col min="6168" max="6391" width="9.140625" style="45"/>
    <col min="6392" max="6392" width="16" style="45" customWidth="1"/>
    <col min="6393" max="6393" width="27.7109375" style="45" customWidth="1"/>
    <col min="6394" max="6394" width="65.7109375" style="45" customWidth="1"/>
    <col min="6395" max="6395" width="21.85546875" style="45" bestFit="1" customWidth="1"/>
    <col min="6396" max="6396" width="30.140625" style="45" customWidth="1"/>
    <col min="6397" max="6397" width="62" style="45" customWidth="1"/>
    <col min="6398" max="6398" width="44" style="45" customWidth="1"/>
    <col min="6399" max="6399" width="43.140625" style="45" customWidth="1"/>
    <col min="6400" max="6400" width="45" style="45" customWidth="1"/>
    <col min="6401" max="6401" width="35.5703125" style="45" customWidth="1"/>
    <col min="6402" max="6402" width="37.140625" style="45" customWidth="1"/>
    <col min="6403" max="6403" width="76.7109375" style="45" customWidth="1"/>
    <col min="6404" max="6404" width="37.7109375" style="45" customWidth="1"/>
    <col min="6405" max="6405" width="37.85546875" style="45" customWidth="1"/>
    <col min="6406" max="6406" width="39.85546875" style="45" customWidth="1"/>
    <col min="6407" max="6407" width="53.140625" style="45" customWidth="1"/>
    <col min="6408" max="6408" width="35.28515625" style="45" customWidth="1"/>
    <col min="6409" max="6409" width="31" style="45" customWidth="1"/>
    <col min="6410" max="6410" width="29.140625" style="45" customWidth="1"/>
    <col min="6411" max="6411" width="30.140625" style="45" customWidth="1"/>
    <col min="6412" max="6412" width="49.140625" style="45" customWidth="1"/>
    <col min="6413" max="6413" width="31.85546875" style="45" customWidth="1"/>
    <col min="6414" max="6414" width="39.140625" style="45" customWidth="1"/>
    <col min="6415" max="6415" width="53" style="45" bestFit="1" customWidth="1"/>
    <col min="6416" max="6416" width="33.42578125" style="45" bestFit="1" customWidth="1"/>
    <col min="6417" max="6417" width="28.140625" style="45" customWidth="1"/>
    <col min="6418" max="6422" width="6.7109375" style="45" customWidth="1"/>
    <col min="6423" max="6423" width="1.7109375" style="45" customWidth="1"/>
    <col min="6424" max="6647" width="9.140625" style="45"/>
    <col min="6648" max="6648" width="16" style="45" customWidth="1"/>
    <col min="6649" max="6649" width="27.7109375" style="45" customWidth="1"/>
    <col min="6650" max="6650" width="65.7109375" style="45" customWidth="1"/>
    <col min="6651" max="6651" width="21.85546875" style="45" bestFit="1" customWidth="1"/>
    <col min="6652" max="6652" width="30.140625" style="45" customWidth="1"/>
    <col min="6653" max="6653" width="62" style="45" customWidth="1"/>
    <col min="6654" max="6654" width="44" style="45" customWidth="1"/>
    <col min="6655" max="6655" width="43.140625" style="45" customWidth="1"/>
    <col min="6656" max="6656" width="45" style="45" customWidth="1"/>
    <col min="6657" max="6657" width="35.5703125" style="45" customWidth="1"/>
    <col min="6658" max="6658" width="37.140625" style="45" customWidth="1"/>
    <col min="6659" max="6659" width="76.7109375" style="45" customWidth="1"/>
    <col min="6660" max="6660" width="37.7109375" style="45" customWidth="1"/>
    <col min="6661" max="6661" width="37.85546875" style="45" customWidth="1"/>
    <col min="6662" max="6662" width="39.85546875" style="45" customWidth="1"/>
    <col min="6663" max="6663" width="53.140625" style="45" customWidth="1"/>
    <col min="6664" max="6664" width="35.28515625" style="45" customWidth="1"/>
    <col min="6665" max="6665" width="31" style="45" customWidth="1"/>
    <col min="6666" max="6666" width="29.140625" style="45" customWidth="1"/>
    <col min="6667" max="6667" width="30.140625" style="45" customWidth="1"/>
    <col min="6668" max="6668" width="49.140625" style="45" customWidth="1"/>
    <col min="6669" max="6669" width="31.85546875" style="45" customWidth="1"/>
    <col min="6670" max="6670" width="39.140625" style="45" customWidth="1"/>
    <col min="6671" max="6671" width="53" style="45" bestFit="1" customWidth="1"/>
    <col min="6672" max="6672" width="33.42578125" style="45" bestFit="1" customWidth="1"/>
    <col min="6673" max="6673" width="28.140625" style="45" customWidth="1"/>
    <col min="6674" max="6678" width="6.7109375" style="45" customWidth="1"/>
    <col min="6679" max="6679" width="1.7109375" style="45" customWidth="1"/>
    <col min="6680" max="6903" width="9.140625" style="45"/>
    <col min="6904" max="6904" width="16" style="45" customWidth="1"/>
    <col min="6905" max="6905" width="27.7109375" style="45" customWidth="1"/>
    <col min="6906" max="6906" width="65.7109375" style="45" customWidth="1"/>
    <col min="6907" max="6907" width="21.85546875" style="45" bestFit="1" customWidth="1"/>
    <col min="6908" max="6908" width="30.140625" style="45" customWidth="1"/>
    <col min="6909" max="6909" width="62" style="45" customWidth="1"/>
    <col min="6910" max="6910" width="44" style="45" customWidth="1"/>
    <col min="6911" max="6911" width="43.140625" style="45" customWidth="1"/>
    <col min="6912" max="6912" width="45" style="45" customWidth="1"/>
    <col min="6913" max="6913" width="35.5703125" style="45" customWidth="1"/>
    <col min="6914" max="6914" width="37.140625" style="45" customWidth="1"/>
    <col min="6915" max="6915" width="76.7109375" style="45" customWidth="1"/>
    <col min="6916" max="6916" width="37.7109375" style="45" customWidth="1"/>
    <col min="6917" max="6917" width="37.85546875" style="45" customWidth="1"/>
    <col min="6918" max="6918" width="39.85546875" style="45" customWidth="1"/>
    <col min="6919" max="6919" width="53.140625" style="45" customWidth="1"/>
    <col min="6920" max="6920" width="35.28515625" style="45" customWidth="1"/>
    <col min="6921" max="6921" width="31" style="45" customWidth="1"/>
    <col min="6922" max="6922" width="29.140625" style="45" customWidth="1"/>
    <col min="6923" max="6923" width="30.140625" style="45" customWidth="1"/>
    <col min="6924" max="6924" width="49.140625" style="45" customWidth="1"/>
    <col min="6925" max="6925" width="31.85546875" style="45" customWidth="1"/>
    <col min="6926" max="6926" width="39.140625" style="45" customWidth="1"/>
    <col min="6927" max="6927" width="53" style="45" bestFit="1" customWidth="1"/>
    <col min="6928" max="6928" width="33.42578125" style="45" bestFit="1" customWidth="1"/>
    <col min="6929" max="6929" width="28.140625" style="45" customWidth="1"/>
    <col min="6930" max="6934" width="6.7109375" style="45" customWidth="1"/>
    <col min="6935" max="6935" width="1.7109375" style="45" customWidth="1"/>
    <col min="6936" max="7159" width="9.140625" style="45"/>
    <col min="7160" max="7160" width="16" style="45" customWidth="1"/>
    <col min="7161" max="7161" width="27.7109375" style="45" customWidth="1"/>
    <col min="7162" max="7162" width="65.7109375" style="45" customWidth="1"/>
    <col min="7163" max="7163" width="21.85546875" style="45" bestFit="1" customWidth="1"/>
    <col min="7164" max="7164" width="30.140625" style="45" customWidth="1"/>
    <col min="7165" max="7165" width="62" style="45" customWidth="1"/>
    <col min="7166" max="7166" width="44" style="45" customWidth="1"/>
    <col min="7167" max="7167" width="43.140625" style="45" customWidth="1"/>
    <col min="7168" max="7168" width="45" style="45" customWidth="1"/>
    <col min="7169" max="7169" width="35.5703125" style="45" customWidth="1"/>
    <col min="7170" max="7170" width="37.140625" style="45" customWidth="1"/>
    <col min="7171" max="7171" width="76.7109375" style="45" customWidth="1"/>
    <col min="7172" max="7172" width="37.7109375" style="45" customWidth="1"/>
    <col min="7173" max="7173" width="37.85546875" style="45" customWidth="1"/>
    <col min="7174" max="7174" width="39.85546875" style="45" customWidth="1"/>
    <col min="7175" max="7175" width="53.140625" style="45" customWidth="1"/>
    <col min="7176" max="7176" width="35.28515625" style="45" customWidth="1"/>
    <col min="7177" max="7177" width="31" style="45" customWidth="1"/>
    <col min="7178" max="7178" width="29.140625" style="45" customWidth="1"/>
    <col min="7179" max="7179" width="30.140625" style="45" customWidth="1"/>
    <col min="7180" max="7180" width="49.140625" style="45" customWidth="1"/>
    <col min="7181" max="7181" width="31.85546875" style="45" customWidth="1"/>
    <col min="7182" max="7182" width="39.140625" style="45" customWidth="1"/>
    <col min="7183" max="7183" width="53" style="45" bestFit="1" customWidth="1"/>
    <col min="7184" max="7184" width="33.42578125" style="45" bestFit="1" customWidth="1"/>
    <col min="7185" max="7185" width="28.140625" style="45" customWidth="1"/>
    <col min="7186" max="7190" width="6.7109375" style="45" customWidth="1"/>
    <col min="7191" max="7191" width="1.7109375" style="45" customWidth="1"/>
    <col min="7192" max="7415" width="9.140625" style="45"/>
    <col min="7416" max="7416" width="16" style="45" customWidth="1"/>
    <col min="7417" max="7417" width="27.7109375" style="45" customWidth="1"/>
    <col min="7418" max="7418" width="65.7109375" style="45" customWidth="1"/>
    <col min="7419" max="7419" width="21.85546875" style="45" bestFit="1" customWidth="1"/>
    <col min="7420" max="7420" width="30.140625" style="45" customWidth="1"/>
    <col min="7421" max="7421" width="62" style="45" customWidth="1"/>
    <col min="7422" max="7422" width="44" style="45" customWidth="1"/>
    <col min="7423" max="7423" width="43.140625" style="45" customWidth="1"/>
    <col min="7424" max="7424" width="45" style="45" customWidth="1"/>
    <col min="7425" max="7425" width="35.5703125" style="45" customWidth="1"/>
    <col min="7426" max="7426" width="37.140625" style="45" customWidth="1"/>
    <col min="7427" max="7427" width="76.7109375" style="45" customWidth="1"/>
    <col min="7428" max="7428" width="37.7109375" style="45" customWidth="1"/>
    <col min="7429" max="7429" width="37.85546875" style="45" customWidth="1"/>
    <col min="7430" max="7430" width="39.85546875" style="45" customWidth="1"/>
    <col min="7431" max="7431" width="53.140625" style="45" customWidth="1"/>
    <col min="7432" max="7432" width="35.28515625" style="45" customWidth="1"/>
    <col min="7433" max="7433" width="31" style="45" customWidth="1"/>
    <col min="7434" max="7434" width="29.140625" style="45" customWidth="1"/>
    <col min="7435" max="7435" width="30.140625" style="45" customWidth="1"/>
    <col min="7436" max="7436" width="49.140625" style="45" customWidth="1"/>
    <col min="7437" max="7437" width="31.85546875" style="45" customWidth="1"/>
    <col min="7438" max="7438" width="39.140625" style="45" customWidth="1"/>
    <col min="7439" max="7439" width="53" style="45" bestFit="1" customWidth="1"/>
    <col min="7440" max="7440" width="33.42578125" style="45" bestFit="1" customWidth="1"/>
    <col min="7441" max="7441" width="28.140625" style="45" customWidth="1"/>
    <col min="7442" max="7446" width="6.7109375" style="45" customWidth="1"/>
    <col min="7447" max="7447" width="1.7109375" style="45" customWidth="1"/>
    <col min="7448" max="7671" width="9.140625" style="45"/>
    <col min="7672" max="7672" width="16" style="45" customWidth="1"/>
    <col min="7673" max="7673" width="27.7109375" style="45" customWidth="1"/>
    <col min="7674" max="7674" width="65.7109375" style="45" customWidth="1"/>
    <col min="7675" max="7675" width="21.85546875" style="45" bestFit="1" customWidth="1"/>
    <col min="7676" max="7676" width="30.140625" style="45" customWidth="1"/>
    <col min="7677" max="7677" width="62" style="45" customWidth="1"/>
    <col min="7678" max="7678" width="44" style="45" customWidth="1"/>
    <col min="7679" max="7679" width="43.140625" style="45" customWidth="1"/>
    <col min="7680" max="7680" width="45" style="45" customWidth="1"/>
    <col min="7681" max="7681" width="35.5703125" style="45" customWidth="1"/>
    <col min="7682" max="7682" width="37.140625" style="45" customWidth="1"/>
    <col min="7683" max="7683" width="76.7109375" style="45" customWidth="1"/>
    <col min="7684" max="7684" width="37.7109375" style="45" customWidth="1"/>
    <col min="7685" max="7685" width="37.85546875" style="45" customWidth="1"/>
    <col min="7686" max="7686" width="39.85546875" style="45" customWidth="1"/>
    <col min="7687" max="7687" width="53.140625" style="45" customWidth="1"/>
    <col min="7688" max="7688" width="35.28515625" style="45" customWidth="1"/>
    <col min="7689" max="7689" width="31" style="45" customWidth="1"/>
    <col min="7690" max="7690" width="29.140625" style="45" customWidth="1"/>
    <col min="7691" max="7691" width="30.140625" style="45" customWidth="1"/>
    <col min="7692" max="7692" width="49.140625" style="45" customWidth="1"/>
    <col min="7693" max="7693" width="31.85546875" style="45" customWidth="1"/>
    <col min="7694" max="7694" width="39.140625" style="45" customWidth="1"/>
    <col min="7695" max="7695" width="53" style="45" bestFit="1" customWidth="1"/>
    <col min="7696" max="7696" width="33.42578125" style="45" bestFit="1" customWidth="1"/>
    <col min="7697" max="7697" width="28.140625" style="45" customWidth="1"/>
    <col min="7698" max="7702" width="6.7109375" style="45" customWidth="1"/>
    <col min="7703" max="7703" width="1.7109375" style="45" customWidth="1"/>
    <col min="7704" max="7927" width="9.140625" style="45"/>
    <col min="7928" max="7928" width="16" style="45" customWidth="1"/>
    <col min="7929" max="7929" width="27.7109375" style="45" customWidth="1"/>
    <col min="7930" max="7930" width="65.7109375" style="45" customWidth="1"/>
    <col min="7931" max="7931" width="21.85546875" style="45" bestFit="1" customWidth="1"/>
    <col min="7932" max="7932" width="30.140625" style="45" customWidth="1"/>
    <col min="7933" max="7933" width="62" style="45" customWidth="1"/>
    <col min="7934" max="7934" width="44" style="45" customWidth="1"/>
    <col min="7935" max="7935" width="43.140625" style="45" customWidth="1"/>
    <col min="7936" max="7936" width="45" style="45" customWidth="1"/>
    <col min="7937" max="7937" width="35.5703125" style="45" customWidth="1"/>
    <col min="7938" max="7938" width="37.140625" style="45" customWidth="1"/>
    <col min="7939" max="7939" width="76.7109375" style="45" customWidth="1"/>
    <col min="7940" max="7940" width="37.7109375" style="45" customWidth="1"/>
    <col min="7941" max="7941" width="37.85546875" style="45" customWidth="1"/>
    <col min="7942" max="7942" width="39.85546875" style="45" customWidth="1"/>
    <col min="7943" max="7943" width="53.140625" style="45" customWidth="1"/>
    <col min="7944" max="7944" width="35.28515625" style="45" customWidth="1"/>
    <col min="7945" max="7945" width="31" style="45" customWidth="1"/>
    <col min="7946" max="7946" width="29.140625" style="45" customWidth="1"/>
    <col min="7947" max="7947" width="30.140625" style="45" customWidth="1"/>
    <col min="7948" max="7948" width="49.140625" style="45" customWidth="1"/>
    <col min="7949" max="7949" width="31.85546875" style="45" customWidth="1"/>
    <col min="7950" max="7950" width="39.140625" style="45" customWidth="1"/>
    <col min="7951" max="7951" width="53" style="45" bestFit="1" customWidth="1"/>
    <col min="7952" max="7952" width="33.42578125" style="45" bestFit="1" customWidth="1"/>
    <col min="7953" max="7953" width="28.140625" style="45" customWidth="1"/>
    <col min="7954" max="7958" width="6.7109375" style="45" customWidth="1"/>
    <col min="7959" max="7959" width="1.7109375" style="45" customWidth="1"/>
    <col min="7960" max="8183" width="9.140625" style="45"/>
    <col min="8184" max="8184" width="16" style="45" customWidth="1"/>
    <col min="8185" max="8185" width="27.7109375" style="45" customWidth="1"/>
    <col min="8186" max="8186" width="65.7109375" style="45" customWidth="1"/>
    <col min="8187" max="8187" width="21.85546875" style="45" bestFit="1" customWidth="1"/>
    <col min="8188" max="8188" width="30.140625" style="45" customWidth="1"/>
    <col min="8189" max="8189" width="62" style="45" customWidth="1"/>
    <col min="8190" max="8190" width="44" style="45" customWidth="1"/>
    <col min="8191" max="8191" width="43.140625" style="45" customWidth="1"/>
    <col min="8192" max="8192" width="45" style="45" customWidth="1"/>
    <col min="8193" max="8193" width="35.5703125" style="45" customWidth="1"/>
    <col min="8194" max="8194" width="37.140625" style="45" customWidth="1"/>
    <col min="8195" max="8195" width="76.7109375" style="45" customWidth="1"/>
    <col min="8196" max="8196" width="37.7109375" style="45" customWidth="1"/>
    <col min="8197" max="8197" width="37.85546875" style="45" customWidth="1"/>
    <col min="8198" max="8198" width="39.85546875" style="45" customWidth="1"/>
    <col min="8199" max="8199" width="53.140625" style="45" customWidth="1"/>
    <col min="8200" max="8200" width="35.28515625" style="45" customWidth="1"/>
    <col min="8201" max="8201" width="31" style="45" customWidth="1"/>
    <col min="8202" max="8202" width="29.140625" style="45" customWidth="1"/>
    <col min="8203" max="8203" width="30.140625" style="45" customWidth="1"/>
    <col min="8204" max="8204" width="49.140625" style="45" customWidth="1"/>
    <col min="8205" max="8205" width="31.85546875" style="45" customWidth="1"/>
    <col min="8206" max="8206" width="39.140625" style="45" customWidth="1"/>
    <col min="8207" max="8207" width="53" style="45" bestFit="1" customWidth="1"/>
    <col min="8208" max="8208" width="33.42578125" style="45" bestFit="1" customWidth="1"/>
    <col min="8209" max="8209" width="28.140625" style="45" customWidth="1"/>
    <col min="8210" max="8214" width="6.7109375" style="45" customWidth="1"/>
    <col min="8215" max="8215" width="1.7109375" style="45" customWidth="1"/>
    <col min="8216" max="8439" width="9.140625" style="45"/>
    <col min="8440" max="8440" width="16" style="45" customWidth="1"/>
    <col min="8441" max="8441" width="27.7109375" style="45" customWidth="1"/>
    <col min="8442" max="8442" width="65.7109375" style="45" customWidth="1"/>
    <col min="8443" max="8443" width="21.85546875" style="45" bestFit="1" customWidth="1"/>
    <col min="8444" max="8444" width="30.140625" style="45" customWidth="1"/>
    <col min="8445" max="8445" width="62" style="45" customWidth="1"/>
    <col min="8446" max="8446" width="44" style="45" customWidth="1"/>
    <col min="8447" max="8447" width="43.140625" style="45" customWidth="1"/>
    <col min="8448" max="8448" width="45" style="45" customWidth="1"/>
    <col min="8449" max="8449" width="35.5703125" style="45" customWidth="1"/>
    <col min="8450" max="8450" width="37.140625" style="45" customWidth="1"/>
    <col min="8451" max="8451" width="76.7109375" style="45" customWidth="1"/>
    <col min="8452" max="8452" width="37.7109375" style="45" customWidth="1"/>
    <col min="8453" max="8453" width="37.85546875" style="45" customWidth="1"/>
    <col min="8454" max="8454" width="39.85546875" style="45" customWidth="1"/>
    <col min="8455" max="8455" width="53.140625" style="45" customWidth="1"/>
    <col min="8456" max="8456" width="35.28515625" style="45" customWidth="1"/>
    <col min="8457" max="8457" width="31" style="45" customWidth="1"/>
    <col min="8458" max="8458" width="29.140625" style="45" customWidth="1"/>
    <col min="8459" max="8459" width="30.140625" style="45" customWidth="1"/>
    <col min="8460" max="8460" width="49.140625" style="45" customWidth="1"/>
    <col min="8461" max="8461" width="31.85546875" style="45" customWidth="1"/>
    <col min="8462" max="8462" width="39.140625" style="45" customWidth="1"/>
    <col min="8463" max="8463" width="53" style="45" bestFit="1" customWidth="1"/>
    <col min="8464" max="8464" width="33.42578125" style="45" bestFit="1" customWidth="1"/>
    <col min="8465" max="8465" width="28.140625" style="45" customWidth="1"/>
    <col min="8466" max="8470" width="6.7109375" style="45" customWidth="1"/>
    <col min="8471" max="8471" width="1.7109375" style="45" customWidth="1"/>
    <col min="8472" max="8695" width="9.140625" style="45"/>
    <col min="8696" max="8696" width="16" style="45" customWidth="1"/>
    <col min="8697" max="8697" width="27.7109375" style="45" customWidth="1"/>
    <col min="8698" max="8698" width="65.7109375" style="45" customWidth="1"/>
    <col min="8699" max="8699" width="21.85546875" style="45" bestFit="1" customWidth="1"/>
    <col min="8700" max="8700" width="30.140625" style="45" customWidth="1"/>
    <col min="8701" max="8701" width="62" style="45" customWidth="1"/>
    <col min="8702" max="8702" width="44" style="45" customWidth="1"/>
    <col min="8703" max="8703" width="43.140625" style="45" customWidth="1"/>
    <col min="8704" max="8704" width="45" style="45" customWidth="1"/>
    <col min="8705" max="8705" width="35.5703125" style="45" customWidth="1"/>
    <col min="8706" max="8706" width="37.140625" style="45" customWidth="1"/>
    <col min="8707" max="8707" width="76.7109375" style="45" customWidth="1"/>
    <col min="8708" max="8708" width="37.7109375" style="45" customWidth="1"/>
    <col min="8709" max="8709" width="37.85546875" style="45" customWidth="1"/>
    <col min="8710" max="8710" width="39.85546875" style="45" customWidth="1"/>
    <col min="8711" max="8711" width="53.140625" style="45" customWidth="1"/>
    <col min="8712" max="8712" width="35.28515625" style="45" customWidth="1"/>
    <col min="8713" max="8713" width="31" style="45" customWidth="1"/>
    <col min="8714" max="8714" width="29.140625" style="45" customWidth="1"/>
    <col min="8715" max="8715" width="30.140625" style="45" customWidth="1"/>
    <col min="8716" max="8716" width="49.140625" style="45" customWidth="1"/>
    <col min="8717" max="8717" width="31.85546875" style="45" customWidth="1"/>
    <col min="8718" max="8718" width="39.140625" style="45" customWidth="1"/>
    <col min="8719" max="8719" width="53" style="45" bestFit="1" customWidth="1"/>
    <col min="8720" max="8720" width="33.42578125" style="45" bestFit="1" customWidth="1"/>
    <col min="8721" max="8721" width="28.140625" style="45" customWidth="1"/>
    <col min="8722" max="8726" width="6.7109375" style="45" customWidth="1"/>
    <col min="8727" max="8727" width="1.7109375" style="45" customWidth="1"/>
    <col min="8728" max="8951" width="9.140625" style="45"/>
    <col min="8952" max="8952" width="16" style="45" customWidth="1"/>
    <col min="8953" max="8953" width="27.7109375" style="45" customWidth="1"/>
    <col min="8954" max="8954" width="65.7109375" style="45" customWidth="1"/>
    <col min="8955" max="8955" width="21.85546875" style="45" bestFit="1" customWidth="1"/>
    <col min="8956" max="8956" width="30.140625" style="45" customWidth="1"/>
    <col min="8957" max="8957" width="62" style="45" customWidth="1"/>
    <col min="8958" max="8958" width="44" style="45" customWidth="1"/>
    <col min="8959" max="8959" width="43.140625" style="45" customWidth="1"/>
    <col min="8960" max="8960" width="45" style="45" customWidth="1"/>
    <col min="8961" max="8961" width="35.5703125" style="45" customWidth="1"/>
    <col min="8962" max="8962" width="37.140625" style="45" customWidth="1"/>
    <col min="8963" max="8963" width="76.7109375" style="45" customWidth="1"/>
    <col min="8964" max="8964" width="37.7109375" style="45" customWidth="1"/>
    <col min="8965" max="8965" width="37.85546875" style="45" customWidth="1"/>
    <col min="8966" max="8966" width="39.85546875" style="45" customWidth="1"/>
    <col min="8967" max="8967" width="53.140625" style="45" customWidth="1"/>
    <col min="8968" max="8968" width="35.28515625" style="45" customWidth="1"/>
    <col min="8969" max="8969" width="31" style="45" customWidth="1"/>
    <col min="8970" max="8970" width="29.140625" style="45" customWidth="1"/>
    <col min="8971" max="8971" width="30.140625" style="45" customWidth="1"/>
    <col min="8972" max="8972" width="49.140625" style="45" customWidth="1"/>
    <col min="8973" max="8973" width="31.85546875" style="45" customWidth="1"/>
    <col min="8974" max="8974" width="39.140625" style="45" customWidth="1"/>
    <col min="8975" max="8975" width="53" style="45" bestFit="1" customWidth="1"/>
    <col min="8976" max="8976" width="33.42578125" style="45" bestFit="1" customWidth="1"/>
    <col min="8977" max="8977" width="28.140625" style="45" customWidth="1"/>
    <col min="8978" max="8982" width="6.7109375" style="45" customWidth="1"/>
    <col min="8983" max="8983" width="1.7109375" style="45" customWidth="1"/>
    <col min="8984" max="9207" width="9.140625" style="45"/>
    <col min="9208" max="9208" width="16" style="45" customWidth="1"/>
    <col min="9209" max="9209" width="27.7109375" style="45" customWidth="1"/>
    <col min="9210" max="9210" width="65.7109375" style="45" customWidth="1"/>
    <col min="9211" max="9211" width="21.85546875" style="45" bestFit="1" customWidth="1"/>
    <col min="9212" max="9212" width="30.140625" style="45" customWidth="1"/>
    <col min="9213" max="9213" width="62" style="45" customWidth="1"/>
    <col min="9214" max="9214" width="44" style="45" customWidth="1"/>
    <col min="9215" max="9215" width="43.140625" style="45" customWidth="1"/>
    <col min="9216" max="9216" width="45" style="45" customWidth="1"/>
    <col min="9217" max="9217" width="35.5703125" style="45" customWidth="1"/>
    <col min="9218" max="9218" width="37.140625" style="45" customWidth="1"/>
    <col min="9219" max="9219" width="76.7109375" style="45" customWidth="1"/>
    <col min="9220" max="9220" width="37.7109375" style="45" customWidth="1"/>
    <col min="9221" max="9221" width="37.85546875" style="45" customWidth="1"/>
    <col min="9222" max="9222" width="39.85546875" style="45" customWidth="1"/>
    <col min="9223" max="9223" width="53.140625" style="45" customWidth="1"/>
    <col min="9224" max="9224" width="35.28515625" style="45" customWidth="1"/>
    <col min="9225" max="9225" width="31" style="45" customWidth="1"/>
    <col min="9226" max="9226" width="29.140625" style="45" customWidth="1"/>
    <col min="9227" max="9227" width="30.140625" style="45" customWidth="1"/>
    <col min="9228" max="9228" width="49.140625" style="45" customWidth="1"/>
    <col min="9229" max="9229" width="31.85546875" style="45" customWidth="1"/>
    <col min="9230" max="9230" width="39.140625" style="45" customWidth="1"/>
    <col min="9231" max="9231" width="53" style="45" bestFit="1" customWidth="1"/>
    <col min="9232" max="9232" width="33.42578125" style="45" bestFit="1" customWidth="1"/>
    <col min="9233" max="9233" width="28.140625" style="45" customWidth="1"/>
    <col min="9234" max="9238" width="6.7109375" style="45" customWidth="1"/>
    <col min="9239" max="9239" width="1.7109375" style="45" customWidth="1"/>
    <col min="9240" max="9463" width="9.140625" style="45"/>
    <col min="9464" max="9464" width="16" style="45" customWidth="1"/>
    <col min="9465" max="9465" width="27.7109375" style="45" customWidth="1"/>
    <col min="9466" max="9466" width="65.7109375" style="45" customWidth="1"/>
    <col min="9467" max="9467" width="21.85546875" style="45" bestFit="1" customWidth="1"/>
    <col min="9468" max="9468" width="30.140625" style="45" customWidth="1"/>
    <col min="9469" max="9469" width="62" style="45" customWidth="1"/>
    <col min="9470" max="9470" width="44" style="45" customWidth="1"/>
    <col min="9471" max="9471" width="43.140625" style="45" customWidth="1"/>
    <col min="9472" max="9472" width="45" style="45" customWidth="1"/>
    <col min="9473" max="9473" width="35.5703125" style="45" customWidth="1"/>
    <col min="9474" max="9474" width="37.140625" style="45" customWidth="1"/>
    <col min="9475" max="9475" width="76.7109375" style="45" customWidth="1"/>
    <col min="9476" max="9476" width="37.7109375" style="45" customWidth="1"/>
    <col min="9477" max="9477" width="37.85546875" style="45" customWidth="1"/>
    <col min="9478" max="9478" width="39.85546875" style="45" customWidth="1"/>
    <col min="9479" max="9479" width="53.140625" style="45" customWidth="1"/>
    <col min="9480" max="9480" width="35.28515625" style="45" customWidth="1"/>
    <col min="9481" max="9481" width="31" style="45" customWidth="1"/>
    <col min="9482" max="9482" width="29.140625" style="45" customWidth="1"/>
    <col min="9483" max="9483" width="30.140625" style="45" customWidth="1"/>
    <col min="9484" max="9484" width="49.140625" style="45" customWidth="1"/>
    <col min="9485" max="9485" width="31.85546875" style="45" customWidth="1"/>
    <col min="9486" max="9486" width="39.140625" style="45" customWidth="1"/>
    <col min="9487" max="9487" width="53" style="45" bestFit="1" customWidth="1"/>
    <col min="9488" max="9488" width="33.42578125" style="45" bestFit="1" customWidth="1"/>
    <col min="9489" max="9489" width="28.140625" style="45" customWidth="1"/>
    <col min="9490" max="9494" width="6.7109375" style="45" customWidth="1"/>
    <col min="9495" max="9495" width="1.7109375" style="45" customWidth="1"/>
    <col min="9496" max="9719" width="9.140625" style="45"/>
    <col min="9720" max="9720" width="16" style="45" customWidth="1"/>
    <col min="9721" max="9721" width="27.7109375" style="45" customWidth="1"/>
    <col min="9722" max="9722" width="65.7109375" style="45" customWidth="1"/>
    <col min="9723" max="9723" width="21.85546875" style="45" bestFit="1" customWidth="1"/>
    <col min="9724" max="9724" width="30.140625" style="45" customWidth="1"/>
    <col min="9725" max="9725" width="62" style="45" customWidth="1"/>
    <col min="9726" max="9726" width="44" style="45" customWidth="1"/>
    <col min="9727" max="9727" width="43.140625" style="45" customWidth="1"/>
    <col min="9728" max="9728" width="45" style="45" customWidth="1"/>
    <col min="9729" max="9729" width="35.5703125" style="45" customWidth="1"/>
    <col min="9730" max="9730" width="37.140625" style="45" customWidth="1"/>
    <col min="9731" max="9731" width="76.7109375" style="45" customWidth="1"/>
    <col min="9732" max="9732" width="37.7109375" style="45" customWidth="1"/>
    <col min="9733" max="9733" width="37.85546875" style="45" customWidth="1"/>
    <col min="9734" max="9734" width="39.85546875" style="45" customWidth="1"/>
    <col min="9735" max="9735" width="53.140625" style="45" customWidth="1"/>
    <col min="9736" max="9736" width="35.28515625" style="45" customWidth="1"/>
    <col min="9737" max="9737" width="31" style="45" customWidth="1"/>
    <col min="9738" max="9738" width="29.140625" style="45" customWidth="1"/>
    <col min="9739" max="9739" width="30.140625" style="45" customWidth="1"/>
    <col min="9740" max="9740" width="49.140625" style="45" customWidth="1"/>
    <col min="9741" max="9741" width="31.85546875" style="45" customWidth="1"/>
    <col min="9742" max="9742" width="39.140625" style="45" customWidth="1"/>
    <col min="9743" max="9743" width="53" style="45" bestFit="1" customWidth="1"/>
    <col min="9744" max="9744" width="33.42578125" style="45" bestFit="1" customWidth="1"/>
    <col min="9745" max="9745" width="28.140625" style="45" customWidth="1"/>
    <col min="9746" max="9750" width="6.7109375" style="45" customWidth="1"/>
    <col min="9751" max="9751" width="1.7109375" style="45" customWidth="1"/>
    <col min="9752" max="9975" width="9.140625" style="45"/>
    <col min="9976" max="9976" width="16" style="45" customWidth="1"/>
    <col min="9977" max="9977" width="27.7109375" style="45" customWidth="1"/>
    <col min="9978" max="9978" width="65.7109375" style="45" customWidth="1"/>
    <col min="9979" max="9979" width="21.85546875" style="45" bestFit="1" customWidth="1"/>
    <col min="9980" max="9980" width="30.140625" style="45" customWidth="1"/>
    <col min="9981" max="9981" width="62" style="45" customWidth="1"/>
    <col min="9982" max="9982" width="44" style="45" customWidth="1"/>
    <col min="9983" max="9983" width="43.140625" style="45" customWidth="1"/>
    <col min="9984" max="9984" width="45" style="45" customWidth="1"/>
    <col min="9985" max="9985" width="35.5703125" style="45" customWidth="1"/>
    <col min="9986" max="9986" width="37.140625" style="45" customWidth="1"/>
    <col min="9987" max="9987" width="76.7109375" style="45" customWidth="1"/>
    <col min="9988" max="9988" width="37.7109375" style="45" customWidth="1"/>
    <col min="9989" max="9989" width="37.85546875" style="45" customWidth="1"/>
    <col min="9990" max="9990" width="39.85546875" style="45" customWidth="1"/>
    <col min="9991" max="9991" width="53.140625" style="45" customWidth="1"/>
    <col min="9992" max="9992" width="35.28515625" style="45" customWidth="1"/>
    <col min="9993" max="9993" width="31" style="45" customWidth="1"/>
    <col min="9994" max="9994" width="29.140625" style="45" customWidth="1"/>
    <col min="9995" max="9995" width="30.140625" style="45" customWidth="1"/>
    <col min="9996" max="9996" width="49.140625" style="45" customWidth="1"/>
    <col min="9997" max="9997" width="31.85546875" style="45" customWidth="1"/>
    <col min="9998" max="9998" width="39.140625" style="45" customWidth="1"/>
    <col min="9999" max="9999" width="53" style="45" bestFit="1" customWidth="1"/>
    <col min="10000" max="10000" width="33.42578125" style="45" bestFit="1" customWidth="1"/>
    <col min="10001" max="10001" width="28.140625" style="45" customWidth="1"/>
    <col min="10002" max="10006" width="6.7109375" style="45" customWidth="1"/>
    <col min="10007" max="10007" width="1.7109375" style="45" customWidth="1"/>
    <col min="10008" max="10231" width="9.140625" style="45"/>
    <col min="10232" max="10232" width="16" style="45" customWidth="1"/>
    <col min="10233" max="10233" width="27.7109375" style="45" customWidth="1"/>
    <col min="10234" max="10234" width="65.7109375" style="45" customWidth="1"/>
    <col min="10235" max="10235" width="21.85546875" style="45" bestFit="1" customWidth="1"/>
    <col min="10236" max="10236" width="30.140625" style="45" customWidth="1"/>
    <col min="10237" max="10237" width="62" style="45" customWidth="1"/>
    <col min="10238" max="10238" width="44" style="45" customWidth="1"/>
    <col min="10239" max="10239" width="43.140625" style="45" customWidth="1"/>
    <col min="10240" max="10240" width="45" style="45" customWidth="1"/>
    <col min="10241" max="10241" width="35.5703125" style="45" customWidth="1"/>
    <col min="10242" max="10242" width="37.140625" style="45" customWidth="1"/>
    <col min="10243" max="10243" width="76.7109375" style="45" customWidth="1"/>
    <col min="10244" max="10244" width="37.7109375" style="45" customWidth="1"/>
    <col min="10245" max="10245" width="37.85546875" style="45" customWidth="1"/>
    <col min="10246" max="10246" width="39.85546875" style="45" customWidth="1"/>
    <col min="10247" max="10247" width="53.140625" style="45" customWidth="1"/>
    <col min="10248" max="10248" width="35.28515625" style="45" customWidth="1"/>
    <col min="10249" max="10249" width="31" style="45" customWidth="1"/>
    <col min="10250" max="10250" width="29.140625" style="45" customWidth="1"/>
    <col min="10251" max="10251" width="30.140625" style="45" customWidth="1"/>
    <col min="10252" max="10252" width="49.140625" style="45" customWidth="1"/>
    <col min="10253" max="10253" width="31.85546875" style="45" customWidth="1"/>
    <col min="10254" max="10254" width="39.140625" style="45" customWidth="1"/>
    <col min="10255" max="10255" width="53" style="45" bestFit="1" customWidth="1"/>
    <col min="10256" max="10256" width="33.42578125" style="45" bestFit="1" customWidth="1"/>
    <col min="10257" max="10257" width="28.140625" style="45" customWidth="1"/>
    <col min="10258" max="10262" width="6.7109375" style="45" customWidth="1"/>
    <col min="10263" max="10263" width="1.7109375" style="45" customWidth="1"/>
    <col min="10264" max="10487" width="9.140625" style="45"/>
    <col min="10488" max="10488" width="16" style="45" customWidth="1"/>
    <col min="10489" max="10489" width="27.7109375" style="45" customWidth="1"/>
    <col min="10490" max="10490" width="65.7109375" style="45" customWidth="1"/>
    <col min="10491" max="10491" width="21.85546875" style="45" bestFit="1" customWidth="1"/>
    <col min="10492" max="10492" width="30.140625" style="45" customWidth="1"/>
    <col min="10493" max="10493" width="62" style="45" customWidth="1"/>
    <col min="10494" max="10494" width="44" style="45" customWidth="1"/>
    <col min="10495" max="10495" width="43.140625" style="45" customWidth="1"/>
    <col min="10496" max="10496" width="45" style="45" customWidth="1"/>
    <col min="10497" max="10497" width="35.5703125" style="45" customWidth="1"/>
    <col min="10498" max="10498" width="37.140625" style="45" customWidth="1"/>
    <col min="10499" max="10499" width="76.7109375" style="45" customWidth="1"/>
    <col min="10500" max="10500" width="37.7109375" style="45" customWidth="1"/>
    <col min="10501" max="10501" width="37.85546875" style="45" customWidth="1"/>
    <col min="10502" max="10502" width="39.85546875" style="45" customWidth="1"/>
    <col min="10503" max="10503" width="53.140625" style="45" customWidth="1"/>
    <col min="10504" max="10504" width="35.28515625" style="45" customWidth="1"/>
    <col min="10505" max="10505" width="31" style="45" customWidth="1"/>
    <col min="10506" max="10506" width="29.140625" style="45" customWidth="1"/>
    <col min="10507" max="10507" width="30.140625" style="45" customWidth="1"/>
    <col min="10508" max="10508" width="49.140625" style="45" customWidth="1"/>
    <col min="10509" max="10509" width="31.85546875" style="45" customWidth="1"/>
    <col min="10510" max="10510" width="39.140625" style="45" customWidth="1"/>
    <col min="10511" max="10511" width="53" style="45" bestFit="1" customWidth="1"/>
    <col min="10512" max="10512" width="33.42578125" style="45" bestFit="1" customWidth="1"/>
    <col min="10513" max="10513" width="28.140625" style="45" customWidth="1"/>
    <col min="10514" max="10518" width="6.7109375" style="45" customWidth="1"/>
    <col min="10519" max="10519" width="1.7109375" style="45" customWidth="1"/>
    <col min="10520" max="10743" width="9.140625" style="45"/>
    <col min="10744" max="10744" width="16" style="45" customWidth="1"/>
    <col min="10745" max="10745" width="27.7109375" style="45" customWidth="1"/>
    <col min="10746" max="10746" width="65.7109375" style="45" customWidth="1"/>
    <col min="10747" max="10747" width="21.85546875" style="45" bestFit="1" customWidth="1"/>
    <col min="10748" max="10748" width="30.140625" style="45" customWidth="1"/>
    <col min="10749" max="10749" width="62" style="45" customWidth="1"/>
    <col min="10750" max="10750" width="44" style="45" customWidth="1"/>
    <col min="10751" max="10751" width="43.140625" style="45" customWidth="1"/>
    <col min="10752" max="10752" width="45" style="45" customWidth="1"/>
    <col min="10753" max="10753" width="35.5703125" style="45" customWidth="1"/>
    <col min="10754" max="10754" width="37.140625" style="45" customWidth="1"/>
    <col min="10755" max="10755" width="76.7109375" style="45" customWidth="1"/>
    <col min="10756" max="10756" width="37.7109375" style="45" customWidth="1"/>
    <col min="10757" max="10757" width="37.85546875" style="45" customWidth="1"/>
    <col min="10758" max="10758" width="39.85546875" style="45" customWidth="1"/>
    <col min="10759" max="10759" width="53.140625" style="45" customWidth="1"/>
    <col min="10760" max="10760" width="35.28515625" style="45" customWidth="1"/>
    <col min="10761" max="10761" width="31" style="45" customWidth="1"/>
    <col min="10762" max="10762" width="29.140625" style="45" customWidth="1"/>
    <col min="10763" max="10763" width="30.140625" style="45" customWidth="1"/>
    <col min="10764" max="10764" width="49.140625" style="45" customWidth="1"/>
    <col min="10765" max="10765" width="31.85546875" style="45" customWidth="1"/>
    <col min="10766" max="10766" width="39.140625" style="45" customWidth="1"/>
    <col min="10767" max="10767" width="53" style="45" bestFit="1" customWidth="1"/>
    <col min="10768" max="10768" width="33.42578125" style="45" bestFit="1" customWidth="1"/>
    <col min="10769" max="10769" width="28.140625" style="45" customWidth="1"/>
    <col min="10770" max="10774" width="6.7109375" style="45" customWidth="1"/>
    <col min="10775" max="10775" width="1.7109375" style="45" customWidth="1"/>
    <col min="10776" max="10999" width="9.140625" style="45"/>
    <col min="11000" max="11000" width="16" style="45" customWidth="1"/>
    <col min="11001" max="11001" width="27.7109375" style="45" customWidth="1"/>
    <col min="11002" max="11002" width="65.7109375" style="45" customWidth="1"/>
    <col min="11003" max="11003" width="21.85546875" style="45" bestFit="1" customWidth="1"/>
    <col min="11004" max="11004" width="30.140625" style="45" customWidth="1"/>
    <col min="11005" max="11005" width="62" style="45" customWidth="1"/>
    <col min="11006" max="11006" width="44" style="45" customWidth="1"/>
    <col min="11007" max="11007" width="43.140625" style="45" customWidth="1"/>
    <col min="11008" max="11008" width="45" style="45" customWidth="1"/>
    <col min="11009" max="11009" width="35.5703125" style="45" customWidth="1"/>
    <col min="11010" max="11010" width="37.140625" style="45" customWidth="1"/>
    <col min="11011" max="11011" width="76.7109375" style="45" customWidth="1"/>
    <col min="11012" max="11012" width="37.7109375" style="45" customWidth="1"/>
    <col min="11013" max="11013" width="37.85546875" style="45" customWidth="1"/>
    <col min="11014" max="11014" width="39.85546875" style="45" customWidth="1"/>
    <col min="11015" max="11015" width="53.140625" style="45" customWidth="1"/>
    <col min="11016" max="11016" width="35.28515625" style="45" customWidth="1"/>
    <col min="11017" max="11017" width="31" style="45" customWidth="1"/>
    <col min="11018" max="11018" width="29.140625" style="45" customWidth="1"/>
    <col min="11019" max="11019" width="30.140625" style="45" customWidth="1"/>
    <col min="11020" max="11020" width="49.140625" style="45" customWidth="1"/>
    <col min="11021" max="11021" width="31.85546875" style="45" customWidth="1"/>
    <col min="11022" max="11022" width="39.140625" style="45" customWidth="1"/>
    <col min="11023" max="11023" width="53" style="45" bestFit="1" customWidth="1"/>
    <col min="11024" max="11024" width="33.42578125" style="45" bestFit="1" customWidth="1"/>
    <col min="11025" max="11025" width="28.140625" style="45" customWidth="1"/>
    <col min="11026" max="11030" width="6.7109375" style="45" customWidth="1"/>
    <col min="11031" max="11031" width="1.7109375" style="45" customWidth="1"/>
    <col min="11032" max="11255" width="9.140625" style="45"/>
    <col min="11256" max="11256" width="16" style="45" customWidth="1"/>
    <col min="11257" max="11257" width="27.7109375" style="45" customWidth="1"/>
    <col min="11258" max="11258" width="65.7109375" style="45" customWidth="1"/>
    <col min="11259" max="11259" width="21.85546875" style="45" bestFit="1" customWidth="1"/>
    <col min="11260" max="11260" width="30.140625" style="45" customWidth="1"/>
    <col min="11261" max="11261" width="62" style="45" customWidth="1"/>
    <col min="11262" max="11262" width="44" style="45" customWidth="1"/>
    <col min="11263" max="11263" width="43.140625" style="45" customWidth="1"/>
    <col min="11264" max="11264" width="45" style="45" customWidth="1"/>
    <col min="11265" max="11265" width="35.5703125" style="45" customWidth="1"/>
    <col min="11266" max="11266" width="37.140625" style="45" customWidth="1"/>
    <col min="11267" max="11267" width="76.7109375" style="45" customWidth="1"/>
    <col min="11268" max="11268" width="37.7109375" style="45" customWidth="1"/>
    <col min="11269" max="11269" width="37.85546875" style="45" customWidth="1"/>
    <col min="11270" max="11270" width="39.85546875" style="45" customWidth="1"/>
    <col min="11271" max="11271" width="53.140625" style="45" customWidth="1"/>
    <col min="11272" max="11272" width="35.28515625" style="45" customWidth="1"/>
    <col min="11273" max="11273" width="31" style="45" customWidth="1"/>
    <col min="11274" max="11274" width="29.140625" style="45" customWidth="1"/>
    <col min="11275" max="11275" width="30.140625" style="45" customWidth="1"/>
    <col min="11276" max="11276" width="49.140625" style="45" customWidth="1"/>
    <col min="11277" max="11277" width="31.85546875" style="45" customWidth="1"/>
    <col min="11278" max="11278" width="39.140625" style="45" customWidth="1"/>
    <col min="11279" max="11279" width="53" style="45" bestFit="1" customWidth="1"/>
    <col min="11280" max="11280" width="33.42578125" style="45" bestFit="1" customWidth="1"/>
    <col min="11281" max="11281" width="28.140625" style="45" customWidth="1"/>
    <col min="11282" max="11286" width="6.7109375" style="45" customWidth="1"/>
    <col min="11287" max="11287" width="1.7109375" style="45" customWidth="1"/>
    <col min="11288" max="11511" width="9.140625" style="45"/>
    <col min="11512" max="11512" width="16" style="45" customWidth="1"/>
    <col min="11513" max="11513" width="27.7109375" style="45" customWidth="1"/>
    <col min="11514" max="11514" width="65.7109375" style="45" customWidth="1"/>
    <col min="11515" max="11515" width="21.85546875" style="45" bestFit="1" customWidth="1"/>
    <col min="11516" max="11516" width="30.140625" style="45" customWidth="1"/>
    <col min="11517" max="11517" width="62" style="45" customWidth="1"/>
    <col min="11518" max="11518" width="44" style="45" customWidth="1"/>
    <col min="11519" max="11519" width="43.140625" style="45" customWidth="1"/>
    <col min="11520" max="11520" width="45" style="45" customWidth="1"/>
    <col min="11521" max="11521" width="35.5703125" style="45" customWidth="1"/>
    <col min="11522" max="11522" width="37.140625" style="45" customWidth="1"/>
    <col min="11523" max="11523" width="76.7109375" style="45" customWidth="1"/>
    <col min="11524" max="11524" width="37.7109375" style="45" customWidth="1"/>
    <col min="11525" max="11525" width="37.85546875" style="45" customWidth="1"/>
    <col min="11526" max="11526" width="39.85546875" style="45" customWidth="1"/>
    <col min="11527" max="11527" width="53.140625" style="45" customWidth="1"/>
    <col min="11528" max="11528" width="35.28515625" style="45" customWidth="1"/>
    <col min="11529" max="11529" width="31" style="45" customWidth="1"/>
    <col min="11530" max="11530" width="29.140625" style="45" customWidth="1"/>
    <col min="11531" max="11531" width="30.140625" style="45" customWidth="1"/>
    <col min="11532" max="11532" width="49.140625" style="45" customWidth="1"/>
    <col min="11533" max="11533" width="31.85546875" style="45" customWidth="1"/>
    <col min="11534" max="11534" width="39.140625" style="45" customWidth="1"/>
    <col min="11535" max="11535" width="53" style="45" bestFit="1" customWidth="1"/>
    <col min="11536" max="11536" width="33.42578125" style="45" bestFit="1" customWidth="1"/>
    <col min="11537" max="11537" width="28.140625" style="45" customWidth="1"/>
    <col min="11538" max="11542" width="6.7109375" style="45" customWidth="1"/>
    <col min="11543" max="11543" width="1.7109375" style="45" customWidth="1"/>
    <col min="11544" max="11767" width="9.140625" style="45"/>
    <col min="11768" max="11768" width="16" style="45" customWidth="1"/>
    <col min="11769" max="11769" width="27.7109375" style="45" customWidth="1"/>
    <col min="11770" max="11770" width="65.7109375" style="45" customWidth="1"/>
    <col min="11771" max="11771" width="21.85546875" style="45" bestFit="1" customWidth="1"/>
    <col min="11772" max="11772" width="30.140625" style="45" customWidth="1"/>
    <col min="11773" max="11773" width="62" style="45" customWidth="1"/>
    <col min="11774" max="11774" width="44" style="45" customWidth="1"/>
    <col min="11775" max="11775" width="43.140625" style="45" customWidth="1"/>
    <col min="11776" max="11776" width="45" style="45" customWidth="1"/>
    <col min="11777" max="11777" width="35.5703125" style="45" customWidth="1"/>
    <col min="11778" max="11778" width="37.140625" style="45" customWidth="1"/>
    <col min="11779" max="11779" width="76.7109375" style="45" customWidth="1"/>
    <col min="11780" max="11780" width="37.7109375" style="45" customWidth="1"/>
    <col min="11781" max="11781" width="37.85546875" style="45" customWidth="1"/>
    <col min="11782" max="11782" width="39.85546875" style="45" customWidth="1"/>
    <col min="11783" max="11783" width="53.140625" style="45" customWidth="1"/>
    <col min="11784" max="11784" width="35.28515625" style="45" customWidth="1"/>
    <col min="11785" max="11785" width="31" style="45" customWidth="1"/>
    <col min="11786" max="11786" width="29.140625" style="45" customWidth="1"/>
    <col min="11787" max="11787" width="30.140625" style="45" customWidth="1"/>
    <col min="11788" max="11788" width="49.140625" style="45" customWidth="1"/>
    <col min="11789" max="11789" width="31.85546875" style="45" customWidth="1"/>
    <col min="11790" max="11790" width="39.140625" style="45" customWidth="1"/>
    <col min="11791" max="11791" width="53" style="45" bestFit="1" customWidth="1"/>
    <col min="11792" max="11792" width="33.42578125" style="45" bestFit="1" customWidth="1"/>
    <col min="11793" max="11793" width="28.140625" style="45" customWidth="1"/>
    <col min="11794" max="11798" width="6.7109375" style="45" customWidth="1"/>
    <col min="11799" max="11799" width="1.7109375" style="45" customWidth="1"/>
    <col min="11800" max="12023" width="9.140625" style="45"/>
    <col min="12024" max="12024" width="16" style="45" customWidth="1"/>
    <col min="12025" max="12025" width="27.7109375" style="45" customWidth="1"/>
    <col min="12026" max="12026" width="65.7109375" style="45" customWidth="1"/>
    <col min="12027" max="12027" width="21.85546875" style="45" bestFit="1" customWidth="1"/>
    <col min="12028" max="12028" width="30.140625" style="45" customWidth="1"/>
    <col min="12029" max="12029" width="62" style="45" customWidth="1"/>
    <col min="12030" max="12030" width="44" style="45" customWidth="1"/>
    <col min="12031" max="12031" width="43.140625" style="45" customWidth="1"/>
    <col min="12032" max="12032" width="45" style="45" customWidth="1"/>
    <col min="12033" max="12033" width="35.5703125" style="45" customWidth="1"/>
    <col min="12034" max="12034" width="37.140625" style="45" customWidth="1"/>
    <col min="12035" max="12035" width="76.7109375" style="45" customWidth="1"/>
    <col min="12036" max="12036" width="37.7109375" style="45" customWidth="1"/>
    <col min="12037" max="12037" width="37.85546875" style="45" customWidth="1"/>
    <col min="12038" max="12038" width="39.85546875" style="45" customWidth="1"/>
    <col min="12039" max="12039" width="53.140625" style="45" customWidth="1"/>
    <col min="12040" max="12040" width="35.28515625" style="45" customWidth="1"/>
    <col min="12041" max="12041" width="31" style="45" customWidth="1"/>
    <col min="12042" max="12042" width="29.140625" style="45" customWidth="1"/>
    <col min="12043" max="12043" width="30.140625" style="45" customWidth="1"/>
    <col min="12044" max="12044" width="49.140625" style="45" customWidth="1"/>
    <col min="12045" max="12045" width="31.85546875" style="45" customWidth="1"/>
    <col min="12046" max="12046" width="39.140625" style="45" customWidth="1"/>
    <col min="12047" max="12047" width="53" style="45" bestFit="1" customWidth="1"/>
    <col min="12048" max="12048" width="33.42578125" style="45" bestFit="1" customWidth="1"/>
    <col min="12049" max="12049" width="28.140625" style="45" customWidth="1"/>
    <col min="12050" max="12054" width="6.7109375" style="45" customWidth="1"/>
    <col min="12055" max="12055" width="1.7109375" style="45" customWidth="1"/>
    <col min="12056" max="12279" width="9.140625" style="45"/>
    <col min="12280" max="12280" width="16" style="45" customWidth="1"/>
    <col min="12281" max="12281" width="27.7109375" style="45" customWidth="1"/>
    <col min="12282" max="12282" width="65.7109375" style="45" customWidth="1"/>
    <col min="12283" max="12283" width="21.85546875" style="45" bestFit="1" customWidth="1"/>
    <col min="12284" max="12284" width="30.140625" style="45" customWidth="1"/>
    <col min="12285" max="12285" width="62" style="45" customWidth="1"/>
    <col min="12286" max="12286" width="44" style="45" customWidth="1"/>
    <col min="12287" max="12287" width="43.140625" style="45" customWidth="1"/>
    <col min="12288" max="12288" width="45" style="45" customWidth="1"/>
    <col min="12289" max="12289" width="35.5703125" style="45" customWidth="1"/>
    <col min="12290" max="12290" width="37.140625" style="45" customWidth="1"/>
    <col min="12291" max="12291" width="76.7109375" style="45" customWidth="1"/>
    <col min="12292" max="12292" width="37.7109375" style="45" customWidth="1"/>
    <col min="12293" max="12293" width="37.85546875" style="45" customWidth="1"/>
    <col min="12294" max="12294" width="39.85546875" style="45" customWidth="1"/>
    <col min="12295" max="12295" width="53.140625" style="45" customWidth="1"/>
    <col min="12296" max="12296" width="35.28515625" style="45" customWidth="1"/>
    <col min="12297" max="12297" width="31" style="45" customWidth="1"/>
    <col min="12298" max="12298" width="29.140625" style="45" customWidth="1"/>
    <col min="12299" max="12299" width="30.140625" style="45" customWidth="1"/>
    <col min="12300" max="12300" width="49.140625" style="45" customWidth="1"/>
    <col min="12301" max="12301" width="31.85546875" style="45" customWidth="1"/>
    <col min="12302" max="12302" width="39.140625" style="45" customWidth="1"/>
    <col min="12303" max="12303" width="53" style="45" bestFit="1" customWidth="1"/>
    <col min="12304" max="12304" width="33.42578125" style="45" bestFit="1" customWidth="1"/>
    <col min="12305" max="12305" width="28.140625" style="45" customWidth="1"/>
    <col min="12306" max="12310" width="6.7109375" style="45" customWidth="1"/>
    <col min="12311" max="12311" width="1.7109375" style="45" customWidth="1"/>
    <col min="12312" max="12535" width="9.140625" style="45"/>
    <col min="12536" max="12536" width="16" style="45" customWidth="1"/>
    <col min="12537" max="12537" width="27.7109375" style="45" customWidth="1"/>
    <col min="12538" max="12538" width="65.7109375" style="45" customWidth="1"/>
    <col min="12539" max="12539" width="21.85546875" style="45" bestFit="1" customWidth="1"/>
    <col min="12540" max="12540" width="30.140625" style="45" customWidth="1"/>
    <col min="12541" max="12541" width="62" style="45" customWidth="1"/>
    <col min="12542" max="12542" width="44" style="45" customWidth="1"/>
    <col min="12543" max="12543" width="43.140625" style="45" customWidth="1"/>
    <col min="12544" max="12544" width="45" style="45" customWidth="1"/>
    <col min="12545" max="12545" width="35.5703125" style="45" customWidth="1"/>
    <col min="12546" max="12546" width="37.140625" style="45" customWidth="1"/>
    <col min="12547" max="12547" width="76.7109375" style="45" customWidth="1"/>
    <col min="12548" max="12548" width="37.7109375" style="45" customWidth="1"/>
    <col min="12549" max="12549" width="37.85546875" style="45" customWidth="1"/>
    <col min="12550" max="12550" width="39.85546875" style="45" customWidth="1"/>
    <col min="12551" max="12551" width="53.140625" style="45" customWidth="1"/>
    <col min="12552" max="12552" width="35.28515625" style="45" customWidth="1"/>
    <col min="12553" max="12553" width="31" style="45" customWidth="1"/>
    <col min="12554" max="12554" width="29.140625" style="45" customWidth="1"/>
    <col min="12555" max="12555" width="30.140625" style="45" customWidth="1"/>
    <col min="12556" max="12556" width="49.140625" style="45" customWidth="1"/>
    <col min="12557" max="12557" width="31.85546875" style="45" customWidth="1"/>
    <col min="12558" max="12558" width="39.140625" style="45" customWidth="1"/>
    <col min="12559" max="12559" width="53" style="45" bestFit="1" customWidth="1"/>
    <col min="12560" max="12560" width="33.42578125" style="45" bestFit="1" customWidth="1"/>
    <col min="12561" max="12561" width="28.140625" style="45" customWidth="1"/>
    <col min="12562" max="12566" width="6.7109375" style="45" customWidth="1"/>
    <col min="12567" max="12567" width="1.7109375" style="45" customWidth="1"/>
    <col min="12568" max="12791" width="9.140625" style="45"/>
    <col min="12792" max="12792" width="16" style="45" customWidth="1"/>
    <col min="12793" max="12793" width="27.7109375" style="45" customWidth="1"/>
    <col min="12794" max="12794" width="65.7109375" style="45" customWidth="1"/>
    <col min="12795" max="12795" width="21.85546875" style="45" bestFit="1" customWidth="1"/>
    <col min="12796" max="12796" width="30.140625" style="45" customWidth="1"/>
    <col min="12797" max="12797" width="62" style="45" customWidth="1"/>
    <col min="12798" max="12798" width="44" style="45" customWidth="1"/>
    <col min="12799" max="12799" width="43.140625" style="45" customWidth="1"/>
    <col min="12800" max="12800" width="45" style="45" customWidth="1"/>
    <col min="12801" max="12801" width="35.5703125" style="45" customWidth="1"/>
    <col min="12802" max="12802" width="37.140625" style="45" customWidth="1"/>
    <col min="12803" max="12803" width="76.7109375" style="45" customWidth="1"/>
    <col min="12804" max="12804" width="37.7109375" style="45" customWidth="1"/>
    <col min="12805" max="12805" width="37.85546875" style="45" customWidth="1"/>
    <col min="12806" max="12806" width="39.85546875" style="45" customWidth="1"/>
    <col min="12807" max="12807" width="53.140625" style="45" customWidth="1"/>
    <col min="12808" max="12808" width="35.28515625" style="45" customWidth="1"/>
    <col min="12809" max="12809" width="31" style="45" customWidth="1"/>
    <col min="12810" max="12810" width="29.140625" style="45" customWidth="1"/>
    <col min="12811" max="12811" width="30.140625" style="45" customWidth="1"/>
    <col min="12812" max="12812" width="49.140625" style="45" customWidth="1"/>
    <col min="12813" max="12813" width="31.85546875" style="45" customWidth="1"/>
    <col min="12814" max="12814" width="39.140625" style="45" customWidth="1"/>
    <col min="12815" max="12815" width="53" style="45" bestFit="1" customWidth="1"/>
    <col min="12816" max="12816" width="33.42578125" style="45" bestFit="1" customWidth="1"/>
    <col min="12817" max="12817" width="28.140625" style="45" customWidth="1"/>
    <col min="12818" max="12822" width="6.7109375" style="45" customWidth="1"/>
    <col min="12823" max="12823" width="1.7109375" style="45" customWidth="1"/>
    <col min="12824" max="13047" width="9.140625" style="45"/>
    <col min="13048" max="13048" width="16" style="45" customWidth="1"/>
    <col min="13049" max="13049" width="27.7109375" style="45" customWidth="1"/>
    <col min="13050" max="13050" width="65.7109375" style="45" customWidth="1"/>
    <col min="13051" max="13051" width="21.85546875" style="45" bestFit="1" customWidth="1"/>
    <col min="13052" max="13052" width="30.140625" style="45" customWidth="1"/>
    <col min="13053" max="13053" width="62" style="45" customWidth="1"/>
    <col min="13054" max="13054" width="44" style="45" customWidth="1"/>
    <col min="13055" max="13055" width="43.140625" style="45" customWidth="1"/>
    <col min="13056" max="13056" width="45" style="45" customWidth="1"/>
    <col min="13057" max="13057" width="35.5703125" style="45" customWidth="1"/>
    <col min="13058" max="13058" width="37.140625" style="45" customWidth="1"/>
    <col min="13059" max="13059" width="76.7109375" style="45" customWidth="1"/>
    <col min="13060" max="13060" width="37.7109375" style="45" customWidth="1"/>
    <col min="13061" max="13061" width="37.85546875" style="45" customWidth="1"/>
    <col min="13062" max="13062" width="39.85546875" style="45" customWidth="1"/>
    <col min="13063" max="13063" width="53.140625" style="45" customWidth="1"/>
    <col min="13064" max="13064" width="35.28515625" style="45" customWidth="1"/>
    <col min="13065" max="13065" width="31" style="45" customWidth="1"/>
    <col min="13066" max="13066" width="29.140625" style="45" customWidth="1"/>
    <col min="13067" max="13067" width="30.140625" style="45" customWidth="1"/>
    <col min="13068" max="13068" width="49.140625" style="45" customWidth="1"/>
    <col min="13069" max="13069" width="31.85546875" style="45" customWidth="1"/>
    <col min="13070" max="13070" width="39.140625" style="45" customWidth="1"/>
    <col min="13071" max="13071" width="53" style="45" bestFit="1" customWidth="1"/>
    <col min="13072" max="13072" width="33.42578125" style="45" bestFit="1" customWidth="1"/>
    <col min="13073" max="13073" width="28.140625" style="45" customWidth="1"/>
    <col min="13074" max="13078" width="6.7109375" style="45" customWidth="1"/>
    <col min="13079" max="13079" width="1.7109375" style="45" customWidth="1"/>
    <col min="13080" max="13303" width="9.140625" style="45"/>
    <col min="13304" max="13304" width="16" style="45" customWidth="1"/>
    <col min="13305" max="13305" width="27.7109375" style="45" customWidth="1"/>
    <col min="13306" max="13306" width="65.7109375" style="45" customWidth="1"/>
    <col min="13307" max="13307" width="21.85546875" style="45" bestFit="1" customWidth="1"/>
    <col min="13308" max="13308" width="30.140625" style="45" customWidth="1"/>
    <col min="13309" max="13309" width="62" style="45" customWidth="1"/>
    <col min="13310" max="13310" width="44" style="45" customWidth="1"/>
    <col min="13311" max="13311" width="43.140625" style="45" customWidth="1"/>
    <col min="13312" max="13312" width="45" style="45" customWidth="1"/>
    <col min="13313" max="13313" width="35.5703125" style="45" customWidth="1"/>
    <col min="13314" max="13314" width="37.140625" style="45" customWidth="1"/>
    <col min="13315" max="13315" width="76.7109375" style="45" customWidth="1"/>
    <col min="13316" max="13316" width="37.7109375" style="45" customWidth="1"/>
    <col min="13317" max="13317" width="37.85546875" style="45" customWidth="1"/>
    <col min="13318" max="13318" width="39.85546875" style="45" customWidth="1"/>
    <col min="13319" max="13319" width="53.140625" style="45" customWidth="1"/>
    <col min="13320" max="13320" width="35.28515625" style="45" customWidth="1"/>
    <col min="13321" max="13321" width="31" style="45" customWidth="1"/>
    <col min="13322" max="13322" width="29.140625" style="45" customWidth="1"/>
    <col min="13323" max="13323" width="30.140625" style="45" customWidth="1"/>
    <col min="13324" max="13324" width="49.140625" style="45" customWidth="1"/>
    <col min="13325" max="13325" width="31.85546875" style="45" customWidth="1"/>
    <col min="13326" max="13326" width="39.140625" style="45" customWidth="1"/>
    <col min="13327" max="13327" width="53" style="45" bestFit="1" customWidth="1"/>
    <col min="13328" max="13328" width="33.42578125" style="45" bestFit="1" customWidth="1"/>
    <col min="13329" max="13329" width="28.140625" style="45" customWidth="1"/>
    <col min="13330" max="13334" width="6.7109375" style="45" customWidth="1"/>
    <col min="13335" max="13335" width="1.7109375" style="45" customWidth="1"/>
    <col min="13336" max="13559" width="9.140625" style="45"/>
    <col min="13560" max="13560" width="16" style="45" customWidth="1"/>
    <col min="13561" max="13561" width="27.7109375" style="45" customWidth="1"/>
    <col min="13562" max="13562" width="65.7109375" style="45" customWidth="1"/>
    <col min="13563" max="13563" width="21.85546875" style="45" bestFit="1" customWidth="1"/>
    <col min="13564" max="13564" width="30.140625" style="45" customWidth="1"/>
    <col min="13565" max="13565" width="62" style="45" customWidth="1"/>
    <col min="13566" max="13566" width="44" style="45" customWidth="1"/>
    <col min="13567" max="13567" width="43.140625" style="45" customWidth="1"/>
    <col min="13568" max="13568" width="45" style="45" customWidth="1"/>
    <col min="13569" max="13569" width="35.5703125" style="45" customWidth="1"/>
    <col min="13570" max="13570" width="37.140625" style="45" customWidth="1"/>
    <col min="13571" max="13571" width="76.7109375" style="45" customWidth="1"/>
    <col min="13572" max="13572" width="37.7109375" style="45" customWidth="1"/>
    <col min="13573" max="13573" width="37.85546875" style="45" customWidth="1"/>
    <col min="13574" max="13574" width="39.85546875" style="45" customWidth="1"/>
    <col min="13575" max="13575" width="53.140625" style="45" customWidth="1"/>
    <col min="13576" max="13576" width="35.28515625" style="45" customWidth="1"/>
    <col min="13577" max="13577" width="31" style="45" customWidth="1"/>
    <col min="13578" max="13578" width="29.140625" style="45" customWidth="1"/>
    <col min="13579" max="13579" width="30.140625" style="45" customWidth="1"/>
    <col min="13580" max="13580" width="49.140625" style="45" customWidth="1"/>
    <col min="13581" max="13581" width="31.85546875" style="45" customWidth="1"/>
    <col min="13582" max="13582" width="39.140625" style="45" customWidth="1"/>
    <col min="13583" max="13583" width="53" style="45" bestFit="1" customWidth="1"/>
    <col min="13584" max="13584" width="33.42578125" style="45" bestFit="1" customWidth="1"/>
    <col min="13585" max="13585" width="28.140625" style="45" customWidth="1"/>
    <col min="13586" max="13590" width="6.7109375" style="45" customWidth="1"/>
    <col min="13591" max="13591" width="1.7109375" style="45" customWidth="1"/>
    <col min="13592" max="13815" width="9.140625" style="45"/>
    <col min="13816" max="13816" width="16" style="45" customWidth="1"/>
    <col min="13817" max="13817" width="27.7109375" style="45" customWidth="1"/>
    <col min="13818" max="13818" width="65.7109375" style="45" customWidth="1"/>
    <col min="13819" max="13819" width="21.85546875" style="45" bestFit="1" customWidth="1"/>
    <col min="13820" max="13820" width="30.140625" style="45" customWidth="1"/>
    <col min="13821" max="13821" width="62" style="45" customWidth="1"/>
    <col min="13822" max="13822" width="44" style="45" customWidth="1"/>
    <col min="13823" max="13823" width="43.140625" style="45" customWidth="1"/>
    <col min="13824" max="13824" width="45" style="45" customWidth="1"/>
    <col min="13825" max="13825" width="35.5703125" style="45" customWidth="1"/>
    <col min="13826" max="13826" width="37.140625" style="45" customWidth="1"/>
    <col min="13827" max="13827" width="76.7109375" style="45" customWidth="1"/>
    <col min="13828" max="13828" width="37.7109375" style="45" customWidth="1"/>
    <col min="13829" max="13829" width="37.85546875" style="45" customWidth="1"/>
    <col min="13830" max="13830" width="39.85546875" style="45" customWidth="1"/>
    <col min="13831" max="13831" width="53.140625" style="45" customWidth="1"/>
    <col min="13832" max="13832" width="35.28515625" style="45" customWidth="1"/>
    <col min="13833" max="13833" width="31" style="45" customWidth="1"/>
    <col min="13834" max="13834" width="29.140625" style="45" customWidth="1"/>
    <col min="13835" max="13835" width="30.140625" style="45" customWidth="1"/>
    <col min="13836" max="13836" width="49.140625" style="45" customWidth="1"/>
    <col min="13837" max="13837" width="31.85546875" style="45" customWidth="1"/>
    <col min="13838" max="13838" width="39.140625" style="45" customWidth="1"/>
    <col min="13839" max="13839" width="53" style="45" bestFit="1" customWidth="1"/>
    <col min="13840" max="13840" width="33.42578125" style="45" bestFit="1" customWidth="1"/>
    <col min="13841" max="13841" width="28.140625" style="45" customWidth="1"/>
    <col min="13842" max="13846" width="6.7109375" style="45" customWidth="1"/>
    <col min="13847" max="13847" width="1.7109375" style="45" customWidth="1"/>
    <col min="13848" max="14071" width="9.140625" style="45"/>
    <col min="14072" max="14072" width="16" style="45" customWidth="1"/>
    <col min="14073" max="14073" width="27.7109375" style="45" customWidth="1"/>
    <col min="14074" max="14074" width="65.7109375" style="45" customWidth="1"/>
    <col min="14075" max="14075" width="21.85546875" style="45" bestFit="1" customWidth="1"/>
    <col min="14076" max="14076" width="30.140625" style="45" customWidth="1"/>
    <col min="14077" max="14077" width="62" style="45" customWidth="1"/>
    <col min="14078" max="14078" width="44" style="45" customWidth="1"/>
    <col min="14079" max="14079" width="43.140625" style="45" customWidth="1"/>
    <col min="14080" max="14080" width="45" style="45" customWidth="1"/>
    <col min="14081" max="14081" width="35.5703125" style="45" customWidth="1"/>
    <col min="14082" max="14082" width="37.140625" style="45" customWidth="1"/>
    <col min="14083" max="14083" width="76.7109375" style="45" customWidth="1"/>
    <col min="14084" max="14084" width="37.7109375" style="45" customWidth="1"/>
    <col min="14085" max="14085" width="37.85546875" style="45" customWidth="1"/>
    <col min="14086" max="14086" width="39.85546875" style="45" customWidth="1"/>
    <col min="14087" max="14087" width="53.140625" style="45" customWidth="1"/>
    <col min="14088" max="14088" width="35.28515625" style="45" customWidth="1"/>
    <col min="14089" max="14089" width="31" style="45" customWidth="1"/>
    <col min="14090" max="14090" width="29.140625" style="45" customWidth="1"/>
    <col min="14091" max="14091" width="30.140625" style="45" customWidth="1"/>
    <col min="14092" max="14092" width="49.140625" style="45" customWidth="1"/>
    <col min="14093" max="14093" width="31.85546875" style="45" customWidth="1"/>
    <col min="14094" max="14094" width="39.140625" style="45" customWidth="1"/>
    <col min="14095" max="14095" width="53" style="45" bestFit="1" customWidth="1"/>
    <col min="14096" max="14096" width="33.42578125" style="45" bestFit="1" customWidth="1"/>
    <col min="14097" max="14097" width="28.140625" style="45" customWidth="1"/>
    <col min="14098" max="14102" width="6.7109375" style="45" customWidth="1"/>
    <col min="14103" max="14103" width="1.7109375" style="45" customWidth="1"/>
    <col min="14104" max="14327" width="9.140625" style="45"/>
    <col min="14328" max="14328" width="16" style="45" customWidth="1"/>
    <col min="14329" max="14329" width="27.7109375" style="45" customWidth="1"/>
    <col min="14330" max="14330" width="65.7109375" style="45" customWidth="1"/>
    <col min="14331" max="14331" width="21.85546875" style="45" bestFit="1" customWidth="1"/>
    <col min="14332" max="14332" width="30.140625" style="45" customWidth="1"/>
    <col min="14333" max="14333" width="62" style="45" customWidth="1"/>
    <col min="14334" max="14334" width="44" style="45" customWidth="1"/>
    <col min="14335" max="14335" width="43.140625" style="45" customWidth="1"/>
    <col min="14336" max="14336" width="45" style="45" customWidth="1"/>
    <col min="14337" max="14337" width="35.5703125" style="45" customWidth="1"/>
    <col min="14338" max="14338" width="37.140625" style="45" customWidth="1"/>
    <col min="14339" max="14339" width="76.7109375" style="45" customWidth="1"/>
    <col min="14340" max="14340" width="37.7109375" style="45" customWidth="1"/>
    <col min="14341" max="14341" width="37.85546875" style="45" customWidth="1"/>
    <col min="14342" max="14342" width="39.85546875" style="45" customWidth="1"/>
    <col min="14343" max="14343" width="53.140625" style="45" customWidth="1"/>
    <col min="14344" max="14344" width="35.28515625" style="45" customWidth="1"/>
    <col min="14345" max="14345" width="31" style="45" customWidth="1"/>
    <col min="14346" max="14346" width="29.140625" style="45" customWidth="1"/>
    <col min="14347" max="14347" width="30.140625" style="45" customWidth="1"/>
    <col min="14348" max="14348" width="49.140625" style="45" customWidth="1"/>
    <col min="14349" max="14349" width="31.85546875" style="45" customWidth="1"/>
    <col min="14350" max="14350" width="39.140625" style="45" customWidth="1"/>
    <col min="14351" max="14351" width="53" style="45" bestFit="1" customWidth="1"/>
    <col min="14352" max="14352" width="33.42578125" style="45" bestFit="1" customWidth="1"/>
    <col min="14353" max="14353" width="28.140625" style="45" customWidth="1"/>
    <col min="14354" max="14358" width="6.7109375" style="45" customWidth="1"/>
    <col min="14359" max="14359" width="1.7109375" style="45" customWidth="1"/>
    <col min="14360" max="14583" width="9.140625" style="45"/>
    <col min="14584" max="14584" width="16" style="45" customWidth="1"/>
    <col min="14585" max="14585" width="27.7109375" style="45" customWidth="1"/>
    <col min="14586" max="14586" width="65.7109375" style="45" customWidth="1"/>
    <col min="14587" max="14587" width="21.85546875" style="45" bestFit="1" customWidth="1"/>
    <col min="14588" max="14588" width="30.140625" style="45" customWidth="1"/>
    <col min="14589" max="14589" width="62" style="45" customWidth="1"/>
    <col min="14590" max="14590" width="44" style="45" customWidth="1"/>
    <col min="14591" max="14591" width="43.140625" style="45" customWidth="1"/>
    <col min="14592" max="14592" width="45" style="45" customWidth="1"/>
    <col min="14593" max="14593" width="35.5703125" style="45" customWidth="1"/>
    <col min="14594" max="14594" width="37.140625" style="45" customWidth="1"/>
    <col min="14595" max="14595" width="76.7109375" style="45" customWidth="1"/>
    <col min="14596" max="14596" width="37.7109375" style="45" customWidth="1"/>
    <col min="14597" max="14597" width="37.85546875" style="45" customWidth="1"/>
    <col min="14598" max="14598" width="39.85546875" style="45" customWidth="1"/>
    <col min="14599" max="14599" width="53.140625" style="45" customWidth="1"/>
    <col min="14600" max="14600" width="35.28515625" style="45" customWidth="1"/>
    <col min="14601" max="14601" width="31" style="45" customWidth="1"/>
    <col min="14602" max="14602" width="29.140625" style="45" customWidth="1"/>
    <col min="14603" max="14603" width="30.140625" style="45" customWidth="1"/>
    <col min="14604" max="14604" width="49.140625" style="45" customWidth="1"/>
    <col min="14605" max="14605" width="31.85546875" style="45" customWidth="1"/>
    <col min="14606" max="14606" width="39.140625" style="45" customWidth="1"/>
    <col min="14607" max="14607" width="53" style="45" bestFit="1" customWidth="1"/>
    <col min="14608" max="14608" width="33.42578125" style="45" bestFit="1" customWidth="1"/>
    <col min="14609" max="14609" width="28.140625" style="45" customWidth="1"/>
    <col min="14610" max="14614" width="6.7109375" style="45" customWidth="1"/>
    <col min="14615" max="14615" width="1.7109375" style="45" customWidth="1"/>
    <col min="14616" max="14839" width="9.140625" style="45"/>
    <col min="14840" max="14840" width="16" style="45" customWidth="1"/>
    <col min="14841" max="14841" width="27.7109375" style="45" customWidth="1"/>
    <col min="14842" max="14842" width="65.7109375" style="45" customWidth="1"/>
    <col min="14843" max="14843" width="21.85546875" style="45" bestFit="1" customWidth="1"/>
    <col min="14844" max="14844" width="30.140625" style="45" customWidth="1"/>
    <col min="14845" max="14845" width="62" style="45" customWidth="1"/>
    <col min="14846" max="14846" width="44" style="45" customWidth="1"/>
    <col min="14847" max="14847" width="43.140625" style="45" customWidth="1"/>
    <col min="14848" max="14848" width="45" style="45" customWidth="1"/>
    <col min="14849" max="14849" width="35.5703125" style="45" customWidth="1"/>
    <col min="14850" max="14850" width="37.140625" style="45" customWidth="1"/>
    <col min="14851" max="14851" width="76.7109375" style="45" customWidth="1"/>
    <col min="14852" max="14852" width="37.7109375" style="45" customWidth="1"/>
    <col min="14853" max="14853" width="37.85546875" style="45" customWidth="1"/>
    <col min="14854" max="14854" width="39.85546875" style="45" customWidth="1"/>
    <col min="14855" max="14855" width="53.140625" style="45" customWidth="1"/>
    <col min="14856" max="14856" width="35.28515625" style="45" customWidth="1"/>
    <col min="14857" max="14857" width="31" style="45" customWidth="1"/>
    <col min="14858" max="14858" width="29.140625" style="45" customWidth="1"/>
    <col min="14859" max="14859" width="30.140625" style="45" customWidth="1"/>
    <col min="14860" max="14860" width="49.140625" style="45" customWidth="1"/>
    <col min="14861" max="14861" width="31.85546875" style="45" customWidth="1"/>
    <col min="14862" max="14862" width="39.140625" style="45" customWidth="1"/>
    <col min="14863" max="14863" width="53" style="45" bestFit="1" customWidth="1"/>
    <col min="14864" max="14864" width="33.42578125" style="45" bestFit="1" customWidth="1"/>
    <col min="14865" max="14865" width="28.140625" style="45" customWidth="1"/>
    <col min="14866" max="14870" width="6.7109375" style="45" customWidth="1"/>
    <col min="14871" max="14871" width="1.7109375" style="45" customWidth="1"/>
    <col min="14872" max="15095" width="9.140625" style="45"/>
    <col min="15096" max="15096" width="16" style="45" customWidth="1"/>
    <col min="15097" max="15097" width="27.7109375" style="45" customWidth="1"/>
    <col min="15098" max="15098" width="65.7109375" style="45" customWidth="1"/>
    <col min="15099" max="15099" width="21.85546875" style="45" bestFit="1" customWidth="1"/>
    <col min="15100" max="15100" width="30.140625" style="45" customWidth="1"/>
    <col min="15101" max="15101" width="62" style="45" customWidth="1"/>
    <col min="15102" max="15102" width="44" style="45" customWidth="1"/>
    <col min="15103" max="15103" width="43.140625" style="45" customWidth="1"/>
    <col min="15104" max="15104" width="45" style="45" customWidth="1"/>
    <col min="15105" max="15105" width="35.5703125" style="45" customWidth="1"/>
    <col min="15106" max="15106" width="37.140625" style="45" customWidth="1"/>
    <col min="15107" max="15107" width="76.7109375" style="45" customWidth="1"/>
    <col min="15108" max="15108" width="37.7109375" style="45" customWidth="1"/>
    <col min="15109" max="15109" width="37.85546875" style="45" customWidth="1"/>
    <col min="15110" max="15110" width="39.85546875" style="45" customWidth="1"/>
    <col min="15111" max="15111" width="53.140625" style="45" customWidth="1"/>
    <col min="15112" max="15112" width="35.28515625" style="45" customWidth="1"/>
    <col min="15113" max="15113" width="31" style="45" customWidth="1"/>
    <col min="15114" max="15114" width="29.140625" style="45" customWidth="1"/>
    <col min="15115" max="15115" width="30.140625" style="45" customWidth="1"/>
    <col min="15116" max="15116" width="49.140625" style="45" customWidth="1"/>
    <col min="15117" max="15117" width="31.85546875" style="45" customWidth="1"/>
    <col min="15118" max="15118" width="39.140625" style="45" customWidth="1"/>
    <col min="15119" max="15119" width="53" style="45" bestFit="1" customWidth="1"/>
    <col min="15120" max="15120" width="33.42578125" style="45" bestFit="1" customWidth="1"/>
    <col min="15121" max="15121" width="28.140625" style="45" customWidth="1"/>
    <col min="15122" max="15126" width="6.7109375" style="45" customWidth="1"/>
    <col min="15127" max="15127" width="1.7109375" style="45" customWidth="1"/>
    <col min="15128" max="15351" width="9.140625" style="45"/>
    <col min="15352" max="15352" width="16" style="45" customWidth="1"/>
    <col min="15353" max="15353" width="27.7109375" style="45" customWidth="1"/>
    <col min="15354" max="15354" width="65.7109375" style="45" customWidth="1"/>
    <col min="15355" max="15355" width="21.85546875" style="45" bestFit="1" customWidth="1"/>
    <col min="15356" max="15356" width="30.140625" style="45" customWidth="1"/>
    <col min="15357" max="15357" width="62" style="45" customWidth="1"/>
    <col min="15358" max="15358" width="44" style="45" customWidth="1"/>
    <col min="15359" max="15359" width="43.140625" style="45" customWidth="1"/>
    <col min="15360" max="15360" width="45" style="45" customWidth="1"/>
    <col min="15361" max="15361" width="35.5703125" style="45" customWidth="1"/>
    <col min="15362" max="15362" width="37.140625" style="45" customWidth="1"/>
    <col min="15363" max="15363" width="76.7109375" style="45" customWidth="1"/>
    <col min="15364" max="15364" width="37.7109375" style="45" customWidth="1"/>
    <col min="15365" max="15365" width="37.85546875" style="45" customWidth="1"/>
    <col min="15366" max="15366" width="39.85546875" style="45" customWidth="1"/>
    <col min="15367" max="15367" width="53.140625" style="45" customWidth="1"/>
    <col min="15368" max="15368" width="35.28515625" style="45" customWidth="1"/>
    <col min="15369" max="15369" width="31" style="45" customWidth="1"/>
    <col min="15370" max="15370" width="29.140625" style="45" customWidth="1"/>
    <col min="15371" max="15371" width="30.140625" style="45" customWidth="1"/>
    <col min="15372" max="15372" width="49.140625" style="45" customWidth="1"/>
    <col min="15373" max="15373" width="31.85546875" style="45" customWidth="1"/>
    <col min="15374" max="15374" width="39.140625" style="45" customWidth="1"/>
    <col min="15375" max="15375" width="53" style="45" bestFit="1" customWidth="1"/>
    <col min="15376" max="15376" width="33.42578125" style="45" bestFit="1" customWidth="1"/>
    <col min="15377" max="15377" width="28.140625" style="45" customWidth="1"/>
    <col min="15378" max="15382" width="6.7109375" style="45" customWidth="1"/>
    <col min="15383" max="15383" width="1.7109375" style="45" customWidth="1"/>
    <col min="15384" max="15607" width="9.140625" style="45"/>
    <col min="15608" max="15608" width="16" style="45" customWidth="1"/>
    <col min="15609" max="15609" width="27.7109375" style="45" customWidth="1"/>
    <col min="15610" max="15610" width="65.7109375" style="45" customWidth="1"/>
    <col min="15611" max="15611" width="21.85546875" style="45" bestFit="1" customWidth="1"/>
    <col min="15612" max="15612" width="30.140625" style="45" customWidth="1"/>
    <col min="15613" max="15613" width="62" style="45" customWidth="1"/>
    <col min="15614" max="15614" width="44" style="45" customWidth="1"/>
    <col min="15615" max="15615" width="43.140625" style="45" customWidth="1"/>
    <col min="15616" max="15616" width="45" style="45" customWidth="1"/>
    <col min="15617" max="15617" width="35.5703125" style="45" customWidth="1"/>
    <col min="15618" max="15618" width="37.140625" style="45" customWidth="1"/>
    <col min="15619" max="15619" width="76.7109375" style="45" customWidth="1"/>
    <col min="15620" max="15620" width="37.7109375" style="45" customWidth="1"/>
    <col min="15621" max="15621" width="37.85546875" style="45" customWidth="1"/>
    <col min="15622" max="15622" width="39.85546875" style="45" customWidth="1"/>
    <col min="15623" max="15623" width="53.140625" style="45" customWidth="1"/>
    <col min="15624" max="15624" width="35.28515625" style="45" customWidth="1"/>
    <col min="15625" max="15625" width="31" style="45" customWidth="1"/>
    <col min="15626" max="15626" width="29.140625" style="45" customWidth="1"/>
    <col min="15627" max="15627" width="30.140625" style="45" customWidth="1"/>
    <col min="15628" max="15628" width="49.140625" style="45" customWidth="1"/>
    <col min="15629" max="15629" width="31.85546875" style="45" customWidth="1"/>
    <col min="15630" max="15630" width="39.140625" style="45" customWidth="1"/>
    <col min="15631" max="15631" width="53" style="45" bestFit="1" customWidth="1"/>
    <col min="15632" max="15632" width="33.42578125" style="45" bestFit="1" customWidth="1"/>
    <col min="15633" max="15633" width="28.140625" style="45" customWidth="1"/>
    <col min="15634" max="15638" width="6.7109375" style="45" customWidth="1"/>
    <col min="15639" max="15639" width="1.7109375" style="45" customWidth="1"/>
    <col min="15640" max="15863" width="9.140625" style="45"/>
    <col min="15864" max="15864" width="16" style="45" customWidth="1"/>
    <col min="15865" max="15865" width="27.7109375" style="45" customWidth="1"/>
    <col min="15866" max="15866" width="65.7109375" style="45" customWidth="1"/>
    <col min="15867" max="15867" width="21.85546875" style="45" bestFit="1" customWidth="1"/>
    <col min="15868" max="15868" width="30.140625" style="45" customWidth="1"/>
    <col min="15869" max="15869" width="62" style="45" customWidth="1"/>
    <col min="15870" max="15870" width="44" style="45" customWidth="1"/>
    <col min="15871" max="15871" width="43.140625" style="45" customWidth="1"/>
    <col min="15872" max="15872" width="45" style="45" customWidth="1"/>
    <col min="15873" max="15873" width="35.5703125" style="45" customWidth="1"/>
    <col min="15874" max="15874" width="37.140625" style="45" customWidth="1"/>
    <col min="15875" max="15875" width="76.7109375" style="45" customWidth="1"/>
    <col min="15876" max="15876" width="37.7109375" style="45" customWidth="1"/>
    <col min="15877" max="15877" width="37.85546875" style="45" customWidth="1"/>
    <col min="15878" max="15878" width="39.85546875" style="45" customWidth="1"/>
    <col min="15879" max="15879" width="53.140625" style="45" customWidth="1"/>
    <col min="15880" max="15880" width="35.28515625" style="45" customWidth="1"/>
    <col min="15881" max="15881" width="31" style="45" customWidth="1"/>
    <col min="15882" max="15882" width="29.140625" style="45" customWidth="1"/>
    <col min="15883" max="15883" width="30.140625" style="45" customWidth="1"/>
    <col min="15884" max="15884" width="49.140625" style="45" customWidth="1"/>
    <col min="15885" max="15885" width="31.85546875" style="45" customWidth="1"/>
    <col min="15886" max="15886" width="39.140625" style="45" customWidth="1"/>
    <col min="15887" max="15887" width="53" style="45" bestFit="1" customWidth="1"/>
    <col min="15888" max="15888" width="33.42578125" style="45" bestFit="1" customWidth="1"/>
    <col min="15889" max="15889" width="28.140625" style="45" customWidth="1"/>
    <col min="15890" max="15894" width="6.7109375" style="45" customWidth="1"/>
    <col min="15895" max="15895" width="1.7109375" style="45" customWidth="1"/>
    <col min="15896" max="16119" width="9.140625" style="45"/>
    <col min="16120" max="16120" width="16" style="45" customWidth="1"/>
    <col min="16121" max="16121" width="27.7109375" style="45" customWidth="1"/>
    <col min="16122" max="16122" width="65.7109375" style="45" customWidth="1"/>
    <col min="16123" max="16123" width="21.85546875" style="45" bestFit="1" customWidth="1"/>
    <col min="16124" max="16124" width="30.140625" style="45" customWidth="1"/>
    <col min="16125" max="16125" width="62" style="45" customWidth="1"/>
    <col min="16126" max="16126" width="44" style="45" customWidth="1"/>
    <col min="16127" max="16127" width="43.140625" style="45" customWidth="1"/>
    <col min="16128" max="16128" width="45" style="45" customWidth="1"/>
    <col min="16129" max="16129" width="35.5703125" style="45" customWidth="1"/>
    <col min="16130" max="16130" width="37.140625" style="45" customWidth="1"/>
    <col min="16131" max="16131" width="76.7109375" style="45" customWidth="1"/>
    <col min="16132" max="16132" width="37.7109375" style="45" customWidth="1"/>
    <col min="16133" max="16133" width="37.85546875" style="45" customWidth="1"/>
    <col min="16134" max="16134" width="39.85546875" style="45" customWidth="1"/>
    <col min="16135" max="16135" width="53.140625" style="45" customWidth="1"/>
    <col min="16136" max="16136" width="35.28515625" style="45" customWidth="1"/>
    <col min="16137" max="16137" width="31" style="45" customWidth="1"/>
    <col min="16138" max="16138" width="29.140625" style="45" customWidth="1"/>
    <col min="16139" max="16139" width="30.140625" style="45" customWidth="1"/>
    <col min="16140" max="16140" width="49.140625" style="45" customWidth="1"/>
    <col min="16141" max="16141" width="31.85546875" style="45" customWidth="1"/>
    <col min="16142" max="16142" width="39.140625" style="45" customWidth="1"/>
    <col min="16143" max="16143" width="53" style="45" bestFit="1" customWidth="1"/>
    <col min="16144" max="16144" width="33.42578125" style="45" bestFit="1" customWidth="1"/>
    <col min="16145" max="16145" width="28.140625" style="45" customWidth="1"/>
    <col min="16146" max="16150" width="6.7109375" style="45" customWidth="1"/>
    <col min="16151" max="16151" width="1.7109375" style="45" customWidth="1"/>
    <col min="16152" max="16384" width="9.140625" style="45"/>
  </cols>
  <sheetData>
    <row r="1" spans="1:23" ht="30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60.75" customHeight="1" x14ac:dyDescent="0.25">
      <c r="A2" s="1"/>
      <c r="B2" s="352"/>
      <c r="C2" s="353"/>
      <c r="D2" s="353"/>
      <c r="E2" s="354"/>
      <c r="F2" s="358" t="s">
        <v>125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  <c r="S2" s="359"/>
      <c r="T2" s="359"/>
      <c r="U2" s="360"/>
      <c r="V2" s="364">
        <f>'33kV (Main)'!V2</f>
        <v>0</v>
      </c>
      <c r="W2" s="365"/>
    </row>
    <row r="3" spans="1:23" ht="65.25" customHeight="1" x14ac:dyDescent="0.25">
      <c r="A3" s="1"/>
      <c r="B3" s="355"/>
      <c r="C3" s="356"/>
      <c r="D3" s="356"/>
      <c r="E3" s="357"/>
      <c r="F3" s="361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3"/>
      <c r="V3" s="267" t="s">
        <v>0</v>
      </c>
      <c r="W3" s="146"/>
    </row>
    <row r="4" spans="1:23" ht="60.75" customHeight="1" x14ac:dyDescent="0.25">
      <c r="A4" s="1"/>
      <c r="B4" s="2"/>
      <c r="C4" s="1"/>
      <c r="D4" s="1"/>
      <c r="E4" s="1"/>
      <c r="F4" s="1"/>
      <c r="G4" s="3"/>
      <c r="H4" s="4"/>
      <c r="I4" s="3"/>
      <c r="J4" s="1"/>
      <c r="K4" s="3"/>
      <c r="L4" s="3"/>
      <c r="M4" s="1"/>
      <c r="N4" s="1"/>
      <c r="O4" s="1"/>
      <c r="P4" s="1"/>
      <c r="Q4" s="1"/>
      <c r="R4" s="3"/>
      <c r="S4" s="3"/>
      <c r="T4" s="1"/>
      <c r="U4" s="1"/>
      <c r="V4" s="268" t="s">
        <v>130</v>
      </c>
      <c r="W4" s="146"/>
    </row>
    <row r="5" spans="1:23" ht="60" customHeight="1" x14ac:dyDescent="0.25">
      <c r="A5" s="1"/>
      <c r="B5" s="5" t="s">
        <v>1</v>
      </c>
      <c r="C5" s="3"/>
      <c r="D5" s="3"/>
      <c r="E5" s="3"/>
      <c r="F5" s="3"/>
      <c r="G5" s="6"/>
      <c r="H5" s="7"/>
      <c r="I5" s="3"/>
      <c r="J5" s="4" t="s">
        <v>7</v>
      </c>
      <c r="K5" s="3"/>
      <c r="L5" s="1"/>
      <c r="M5" s="3"/>
      <c r="N5" s="3"/>
      <c r="O5" s="1"/>
      <c r="P5" s="1"/>
      <c r="Q5" s="1"/>
      <c r="R5" s="4" t="s">
        <v>3</v>
      </c>
      <c r="S5" s="1"/>
      <c r="T5" s="1"/>
      <c r="U5" s="1"/>
      <c r="V5" s="1"/>
      <c r="W5" s="8"/>
    </row>
    <row r="6" spans="1:23" ht="65.099999999999994" customHeight="1" x14ac:dyDescent="0.25">
      <c r="A6" s="1"/>
      <c r="B6" s="9" t="s">
        <v>2</v>
      </c>
      <c r="C6" s="7"/>
      <c r="D6" s="259">
        <f>'33kV (Main)'!D6</f>
        <v>0</v>
      </c>
      <c r="E6" s="6"/>
      <c r="F6" s="1"/>
      <c r="G6" s="51"/>
      <c r="H6" s="7"/>
      <c r="I6" s="1"/>
      <c r="J6" s="7" t="s">
        <v>82</v>
      </c>
      <c r="K6" s="3"/>
      <c r="L6" s="269">
        <f>'33kV (Main)'!L6</f>
        <v>0</v>
      </c>
      <c r="M6" s="256">
        <f>'33kV (Main)'!M6</f>
        <v>0</v>
      </c>
      <c r="N6" s="1"/>
      <c r="O6" s="1"/>
      <c r="P6" s="1"/>
      <c r="Q6" s="1"/>
      <c r="R6" s="3" t="s">
        <v>4</v>
      </c>
      <c r="S6" s="11"/>
      <c r="T6" s="1"/>
      <c r="U6" s="265">
        <f>'33kV (Main)'!U6</f>
        <v>0</v>
      </c>
      <c r="V6" s="1"/>
      <c r="W6" s="52"/>
    </row>
    <row r="7" spans="1:23" ht="65.099999999999994" customHeight="1" x14ac:dyDescent="0.25">
      <c r="A7" s="1"/>
      <c r="B7" s="9" t="s">
        <v>83</v>
      </c>
      <c r="C7" s="7"/>
      <c r="D7" s="259">
        <f>'33kV (Main)'!D7</f>
        <v>0</v>
      </c>
      <c r="E7" s="51"/>
      <c r="F7" s="1"/>
      <c r="G7" s="1"/>
      <c r="H7" s="7"/>
      <c r="I7" s="1"/>
      <c r="J7" s="7" t="s">
        <v>9</v>
      </c>
      <c r="K7" s="1"/>
      <c r="L7" s="271">
        <f>'33kV (Main)'!L7</f>
        <v>0</v>
      </c>
      <c r="M7" s="272"/>
      <c r="N7" s="1"/>
      <c r="O7" s="1"/>
      <c r="P7" s="1"/>
      <c r="Q7" s="1"/>
      <c r="R7" s="3" t="s">
        <v>5</v>
      </c>
      <c r="S7" s="11"/>
      <c r="T7" s="1"/>
      <c r="U7" s="266">
        <f>'33kV (Main)'!U7</f>
        <v>0</v>
      </c>
      <c r="V7" s="1"/>
      <c r="W7" s="52"/>
    </row>
    <row r="8" spans="1:23" ht="65.099999999999994" customHeight="1" x14ac:dyDescent="0.25">
      <c r="A8" s="1"/>
      <c r="B8" s="9" t="s">
        <v>84</v>
      </c>
      <c r="C8" s="7"/>
      <c r="D8" s="303">
        <f>'33kV (Main)'!D8</f>
        <v>0</v>
      </c>
      <c r="E8" s="14"/>
      <c r="F8" s="1"/>
      <c r="G8" s="1"/>
      <c r="H8" s="7"/>
      <c r="I8" s="1"/>
      <c r="J8" s="7" t="s">
        <v>10</v>
      </c>
      <c r="K8" s="1"/>
      <c r="L8" s="271">
        <f>'33kV (Main)'!L8</f>
        <v>0</v>
      </c>
      <c r="M8" s="272"/>
      <c r="N8" s="1"/>
      <c r="O8" s="1"/>
      <c r="P8" s="1"/>
      <c r="Q8" s="1"/>
      <c r="R8" s="3" t="s">
        <v>6</v>
      </c>
      <c r="S8" s="11"/>
      <c r="T8" s="1"/>
      <c r="U8" s="264">
        <f>'33kV (Main)'!U8</f>
        <v>0</v>
      </c>
      <c r="V8" s="1"/>
      <c r="W8" s="52"/>
    </row>
    <row r="9" spans="1:23" ht="65.099999999999994" customHeight="1" x14ac:dyDescent="0.25">
      <c r="A9" s="1"/>
      <c r="B9" s="12" t="s">
        <v>85</v>
      </c>
      <c r="C9" s="1"/>
      <c r="D9" s="262">
        <f>'33kV (Main)'!D9</f>
        <v>0</v>
      </c>
      <c r="E9" s="15"/>
      <c r="F9" s="1"/>
      <c r="G9" s="3"/>
      <c r="H9" s="7"/>
      <c r="I9" s="3"/>
      <c r="J9" s="7" t="s">
        <v>86</v>
      </c>
      <c r="K9" s="1"/>
      <c r="L9" s="271">
        <f>'33kV (Main)'!L9</f>
        <v>0</v>
      </c>
      <c r="M9" s="272"/>
      <c r="N9" s="1"/>
      <c r="O9" s="1"/>
      <c r="P9" s="1"/>
      <c r="Q9" s="1"/>
      <c r="R9" s="3"/>
      <c r="S9" s="3"/>
      <c r="T9" s="1"/>
      <c r="U9" s="1"/>
      <c r="V9" s="1"/>
      <c r="W9" s="8"/>
    </row>
    <row r="10" spans="1:23" ht="65.099999999999994" customHeight="1" x14ac:dyDescent="0.25">
      <c r="A10" s="1"/>
      <c r="B10" s="48"/>
      <c r="C10" s="3"/>
      <c r="D10" s="3"/>
      <c r="E10" s="7"/>
      <c r="F10" s="1"/>
      <c r="G10" s="7"/>
      <c r="H10" s="7"/>
      <c r="I10" s="3"/>
      <c r="J10" s="7" t="s">
        <v>8</v>
      </c>
      <c r="K10" s="3"/>
      <c r="L10" s="260">
        <f>'33kV (Main)'!L10</f>
        <v>0</v>
      </c>
      <c r="M10" s="270"/>
      <c r="N10" s="1"/>
      <c r="O10" s="1"/>
      <c r="P10" s="1"/>
      <c r="Q10" s="1"/>
      <c r="R10" s="3"/>
      <c r="S10" s="1"/>
      <c r="T10" s="1"/>
      <c r="U10" s="1"/>
      <c r="V10" s="1"/>
      <c r="W10" s="8"/>
    </row>
    <row r="11" spans="1:23" ht="65.099999999999994" customHeight="1" x14ac:dyDescent="0.25">
      <c r="A11" s="1"/>
      <c r="B11" s="9"/>
      <c r="C11" s="3"/>
      <c r="D11" s="1"/>
      <c r="E11" s="32"/>
      <c r="F11" s="47"/>
      <c r="G11" s="1"/>
      <c r="H11" s="7"/>
      <c r="I11" s="3"/>
      <c r="J11" s="7" t="s">
        <v>19</v>
      </c>
      <c r="K11" s="3"/>
      <c r="L11" s="263">
        <f>'33kV (Main)'!L11</f>
        <v>0</v>
      </c>
      <c r="M11" s="270"/>
      <c r="N11" s="3"/>
      <c r="O11" s="1"/>
      <c r="P11" s="3"/>
      <c r="Q11" s="1"/>
      <c r="R11" s="1"/>
      <c r="S11" s="7"/>
      <c r="T11" s="7"/>
      <c r="U11" s="7"/>
      <c r="V11" s="1"/>
      <c r="W11" s="8"/>
    </row>
    <row r="12" spans="1:23" ht="12.75" customHeight="1" x14ac:dyDescent="0.25">
      <c r="A12" s="1"/>
      <c r="B12" s="54"/>
      <c r="C12" s="3"/>
      <c r="D12" s="1"/>
      <c r="E12" s="32"/>
      <c r="F12" s="47"/>
      <c r="G12" s="1"/>
      <c r="H12" s="7"/>
      <c r="I12" s="3"/>
      <c r="J12" s="7"/>
      <c r="K12" s="3"/>
      <c r="L12" s="32"/>
      <c r="M12" s="32"/>
      <c r="N12" s="7"/>
      <c r="O12" s="3"/>
      <c r="P12" s="3"/>
      <c r="Q12" s="1"/>
      <c r="R12" s="1"/>
      <c r="S12" s="7"/>
      <c r="T12" s="7"/>
      <c r="U12" s="7"/>
      <c r="V12" s="1"/>
      <c r="W12" s="8"/>
    </row>
    <row r="13" spans="1:23" ht="59.25" customHeight="1" x14ac:dyDescent="0.25">
      <c r="A13" s="1"/>
      <c r="B13" s="366" t="s">
        <v>114</v>
      </c>
      <c r="C13" s="351" t="s">
        <v>115</v>
      </c>
      <c r="D13" s="351" t="s">
        <v>116</v>
      </c>
      <c r="E13" s="351" t="s">
        <v>113</v>
      </c>
      <c r="F13" s="351" t="s">
        <v>87</v>
      </c>
      <c r="G13" s="351" t="s">
        <v>88</v>
      </c>
      <c r="H13" s="351" t="s">
        <v>89</v>
      </c>
      <c r="I13" s="351" t="s">
        <v>117</v>
      </c>
      <c r="J13" s="351" t="s">
        <v>118</v>
      </c>
      <c r="K13" s="351" t="s">
        <v>119</v>
      </c>
      <c r="L13" s="372" t="s">
        <v>31</v>
      </c>
      <c r="M13" s="372"/>
      <c r="N13" s="372"/>
      <c r="O13" s="372"/>
      <c r="P13" s="372"/>
      <c r="Q13" s="372"/>
      <c r="R13" s="373" t="s">
        <v>11</v>
      </c>
      <c r="S13" s="373"/>
      <c r="T13" s="367" t="s">
        <v>12</v>
      </c>
      <c r="U13" s="368"/>
      <c r="V13" s="368"/>
      <c r="W13" s="369"/>
    </row>
    <row r="14" spans="1:23" ht="103.5" customHeight="1" x14ac:dyDescent="0.25">
      <c r="A14" s="1"/>
      <c r="B14" s="366"/>
      <c r="C14" s="351"/>
      <c r="D14" s="351"/>
      <c r="E14" s="351"/>
      <c r="F14" s="351"/>
      <c r="G14" s="351"/>
      <c r="H14" s="351"/>
      <c r="I14" s="351"/>
      <c r="J14" s="351"/>
      <c r="K14" s="351"/>
      <c r="L14" s="123" t="s">
        <v>90</v>
      </c>
      <c r="M14" s="123" t="s">
        <v>91</v>
      </c>
      <c r="N14" s="123" t="s">
        <v>92</v>
      </c>
      <c r="O14" s="123" t="s">
        <v>93</v>
      </c>
      <c r="P14" s="123" t="s">
        <v>94</v>
      </c>
      <c r="Q14" s="128" t="s">
        <v>95</v>
      </c>
      <c r="R14" s="123" t="s">
        <v>14</v>
      </c>
      <c r="S14" s="123" t="s">
        <v>15</v>
      </c>
      <c r="T14" s="123" t="s">
        <v>16</v>
      </c>
      <c r="U14" s="123" t="s">
        <v>96</v>
      </c>
      <c r="V14" s="370" t="s">
        <v>95</v>
      </c>
      <c r="W14" s="371"/>
    </row>
    <row r="15" spans="1:23" ht="69.95" customHeight="1" x14ac:dyDescent="0.25">
      <c r="A15" s="1"/>
      <c r="B15" s="332">
        <v>9</v>
      </c>
      <c r="C15" s="332"/>
      <c r="D15" s="339"/>
      <c r="E15" s="332"/>
      <c r="F15" s="348"/>
      <c r="G15" s="348"/>
      <c r="H15" s="348"/>
      <c r="I15" s="348"/>
      <c r="J15" s="132" t="s">
        <v>97</v>
      </c>
      <c r="K15" s="131" t="s">
        <v>98</v>
      </c>
      <c r="L15" s="123"/>
      <c r="M15" s="123"/>
      <c r="N15" s="145" t="str">
        <f>IF(M15="","",M15-L15)</f>
        <v/>
      </c>
      <c r="O15" s="145" t="str">
        <f t="shared" ref="O15:O62" si="0">IF(M15="","",((L15+M15)/2))</f>
        <v/>
      </c>
      <c r="P15" s="16"/>
      <c r="Q15" s="130"/>
      <c r="R15" s="124"/>
      <c r="S15" s="123" t="str">
        <f>IF(R15&lt;&gt;"", 0, "")</f>
        <v/>
      </c>
      <c r="T15" s="124"/>
      <c r="U15" s="123"/>
      <c r="V15" s="291"/>
      <c r="W15" s="292"/>
    </row>
    <row r="16" spans="1:23" ht="69.95" customHeight="1" x14ac:dyDescent="0.25">
      <c r="A16" s="1"/>
      <c r="B16" s="333"/>
      <c r="C16" s="333"/>
      <c r="D16" s="342"/>
      <c r="E16" s="333"/>
      <c r="F16" s="349"/>
      <c r="G16" s="349"/>
      <c r="H16" s="349"/>
      <c r="I16" s="349"/>
      <c r="J16" s="124"/>
      <c r="K16" s="131" t="s">
        <v>99</v>
      </c>
      <c r="L16" s="123"/>
      <c r="M16" s="124"/>
      <c r="N16" s="145" t="str">
        <f t="shared" ref="N16:N62" si="1">IF(M16="","",M16-L16)</f>
        <v/>
      </c>
      <c r="O16" s="145" t="str">
        <f t="shared" si="0"/>
        <v/>
      </c>
      <c r="P16" s="16"/>
      <c r="Q16" s="148"/>
      <c r="R16" s="124"/>
      <c r="S16" s="123" t="str">
        <f>IF(R16&lt;&gt;"", 0, "")</f>
        <v/>
      </c>
      <c r="T16" s="124"/>
      <c r="U16" s="123"/>
      <c r="V16" s="293"/>
      <c r="W16" s="62"/>
    </row>
    <row r="17" spans="1:23" ht="69.95" customHeight="1" x14ac:dyDescent="0.25">
      <c r="A17" s="1"/>
      <c r="B17" s="333"/>
      <c r="C17" s="333"/>
      <c r="D17" s="342"/>
      <c r="E17" s="333"/>
      <c r="F17" s="349"/>
      <c r="G17" s="349"/>
      <c r="H17" s="349"/>
      <c r="I17" s="349"/>
      <c r="J17" s="132" t="s">
        <v>100</v>
      </c>
      <c r="K17" s="131" t="s">
        <v>101</v>
      </c>
      <c r="L17" s="123"/>
      <c r="M17" s="124"/>
      <c r="N17" s="145" t="str">
        <f t="shared" si="1"/>
        <v/>
      </c>
      <c r="O17" s="145" t="str">
        <f t="shared" si="0"/>
        <v/>
      </c>
      <c r="P17" s="16"/>
      <c r="Q17" s="148"/>
      <c r="R17" s="31"/>
      <c r="S17" s="129"/>
      <c r="T17" s="124"/>
      <c r="U17" s="123"/>
      <c r="V17" s="293"/>
      <c r="W17" s="62"/>
    </row>
    <row r="18" spans="1:23" ht="69.95" customHeight="1" x14ac:dyDescent="0.25">
      <c r="A18" s="1"/>
      <c r="B18" s="333"/>
      <c r="C18" s="333"/>
      <c r="D18" s="342"/>
      <c r="E18" s="333"/>
      <c r="F18" s="349"/>
      <c r="G18" s="349"/>
      <c r="H18" s="349"/>
      <c r="I18" s="349"/>
      <c r="J18" s="124" t="str">
        <f>IF(J16="","","0.0")</f>
        <v/>
      </c>
      <c r="K18" s="131" t="s">
        <v>102</v>
      </c>
      <c r="L18" s="123"/>
      <c r="M18" s="124"/>
      <c r="N18" s="145" t="str">
        <f t="shared" si="1"/>
        <v/>
      </c>
      <c r="O18" s="145" t="str">
        <f t="shared" si="0"/>
        <v/>
      </c>
      <c r="P18" s="16"/>
      <c r="Q18" s="148"/>
      <c r="R18" s="124"/>
      <c r="S18" s="123" t="str">
        <f>IF(R18&lt;&gt;"", 0, "")</f>
        <v/>
      </c>
      <c r="T18" s="124"/>
      <c r="U18" s="123"/>
      <c r="V18" s="293"/>
      <c r="W18" s="62"/>
    </row>
    <row r="19" spans="1:23" ht="69.95" customHeight="1" x14ac:dyDescent="0.25">
      <c r="A19" s="1"/>
      <c r="B19" s="333"/>
      <c r="C19" s="333"/>
      <c r="D19" s="342"/>
      <c r="E19" s="333"/>
      <c r="F19" s="349"/>
      <c r="G19" s="349"/>
      <c r="H19" s="349"/>
      <c r="I19" s="349"/>
      <c r="J19" s="43"/>
      <c r="K19" s="131" t="s">
        <v>111</v>
      </c>
      <c r="L19" s="123"/>
      <c r="M19" s="124"/>
      <c r="N19" s="145" t="str">
        <f t="shared" si="1"/>
        <v/>
      </c>
      <c r="O19" s="145" t="str">
        <f t="shared" si="0"/>
        <v/>
      </c>
      <c r="P19" s="16"/>
      <c r="Q19" s="148"/>
      <c r="R19" s="31"/>
      <c r="S19" s="129"/>
      <c r="T19" s="124"/>
      <c r="U19" s="123"/>
      <c r="V19" s="293"/>
      <c r="W19" s="62"/>
    </row>
    <row r="20" spans="1:23" ht="69.95" customHeight="1" x14ac:dyDescent="0.25">
      <c r="A20" s="1"/>
      <c r="B20" s="334"/>
      <c r="C20" s="334"/>
      <c r="D20" s="345"/>
      <c r="E20" s="334"/>
      <c r="F20" s="350"/>
      <c r="G20" s="350"/>
      <c r="H20" s="350"/>
      <c r="I20" s="350"/>
      <c r="J20" s="43"/>
      <c r="K20" s="131" t="s">
        <v>112</v>
      </c>
      <c r="L20" s="123"/>
      <c r="M20" s="123"/>
      <c r="N20" s="145" t="str">
        <f t="shared" si="1"/>
        <v/>
      </c>
      <c r="O20" s="145" t="str">
        <f t="shared" si="0"/>
        <v/>
      </c>
      <c r="P20" s="16"/>
      <c r="Q20" s="149"/>
      <c r="R20" s="31"/>
      <c r="S20" s="129"/>
      <c r="T20" s="124"/>
      <c r="U20" s="123"/>
      <c r="V20" s="294"/>
      <c r="W20" s="295"/>
    </row>
    <row r="21" spans="1:23" ht="69.95" customHeight="1" x14ac:dyDescent="0.25">
      <c r="A21" s="1"/>
      <c r="B21" s="332">
        <v>10</v>
      </c>
      <c r="C21" s="332"/>
      <c r="D21" s="339"/>
      <c r="E21" s="332"/>
      <c r="F21" s="348"/>
      <c r="G21" s="348"/>
      <c r="H21" s="348"/>
      <c r="I21" s="348"/>
      <c r="J21" s="132" t="s">
        <v>97</v>
      </c>
      <c r="K21" s="131" t="s">
        <v>98</v>
      </c>
      <c r="L21" s="123"/>
      <c r="M21" s="123"/>
      <c r="N21" s="145" t="str">
        <f t="shared" si="1"/>
        <v/>
      </c>
      <c r="O21" s="145" t="str">
        <f t="shared" si="0"/>
        <v/>
      </c>
      <c r="P21" s="16"/>
      <c r="Q21" s="153"/>
      <c r="R21" s="124"/>
      <c r="S21" s="123" t="str">
        <f t="shared" ref="S21:S22" si="2">IF(R21&lt;&gt;"", 0, "")</f>
        <v/>
      </c>
      <c r="T21" s="124"/>
      <c r="U21" s="123"/>
      <c r="V21" s="291"/>
      <c r="W21" s="292"/>
    </row>
    <row r="22" spans="1:23" ht="69.95" customHeight="1" x14ac:dyDescent="0.25">
      <c r="A22" s="1"/>
      <c r="B22" s="333"/>
      <c r="C22" s="333"/>
      <c r="D22" s="342"/>
      <c r="E22" s="333"/>
      <c r="F22" s="349"/>
      <c r="G22" s="349"/>
      <c r="H22" s="349"/>
      <c r="I22" s="349"/>
      <c r="J22" s="124"/>
      <c r="K22" s="131" t="s">
        <v>99</v>
      </c>
      <c r="L22" s="123"/>
      <c r="M22" s="124"/>
      <c r="N22" s="145" t="str">
        <f t="shared" si="1"/>
        <v/>
      </c>
      <c r="O22" s="145" t="str">
        <f t="shared" si="0"/>
        <v/>
      </c>
      <c r="P22" s="16"/>
      <c r="Q22" s="154"/>
      <c r="R22" s="124"/>
      <c r="S22" s="123" t="str">
        <f t="shared" si="2"/>
        <v/>
      </c>
      <c r="T22" s="124"/>
      <c r="U22" s="123"/>
      <c r="V22" s="293"/>
      <c r="W22" s="62"/>
    </row>
    <row r="23" spans="1:23" ht="69.95" customHeight="1" x14ac:dyDescent="0.25">
      <c r="A23" s="1"/>
      <c r="B23" s="333"/>
      <c r="C23" s="333"/>
      <c r="D23" s="342"/>
      <c r="E23" s="333"/>
      <c r="F23" s="349"/>
      <c r="G23" s="349"/>
      <c r="H23" s="349"/>
      <c r="I23" s="349"/>
      <c r="J23" s="132" t="s">
        <v>100</v>
      </c>
      <c r="K23" s="131" t="s">
        <v>101</v>
      </c>
      <c r="L23" s="123"/>
      <c r="M23" s="124"/>
      <c r="N23" s="145" t="str">
        <f t="shared" si="1"/>
        <v/>
      </c>
      <c r="O23" s="145" t="str">
        <f t="shared" si="0"/>
        <v/>
      </c>
      <c r="P23" s="16"/>
      <c r="Q23" s="154"/>
      <c r="R23" s="31"/>
      <c r="S23" s="129"/>
      <c r="T23" s="124"/>
      <c r="U23" s="123"/>
      <c r="V23" s="293"/>
      <c r="W23" s="62"/>
    </row>
    <row r="24" spans="1:23" ht="69.95" customHeight="1" x14ac:dyDescent="0.25">
      <c r="A24" s="1"/>
      <c r="B24" s="333"/>
      <c r="C24" s="333"/>
      <c r="D24" s="342"/>
      <c r="E24" s="333"/>
      <c r="F24" s="349"/>
      <c r="G24" s="349"/>
      <c r="H24" s="349"/>
      <c r="I24" s="349"/>
      <c r="J24" s="124" t="str">
        <f>IF(J22="","","0.0")</f>
        <v/>
      </c>
      <c r="K24" s="131" t="s">
        <v>102</v>
      </c>
      <c r="L24" s="123"/>
      <c r="M24" s="124"/>
      <c r="N24" s="145" t="str">
        <f t="shared" si="1"/>
        <v/>
      </c>
      <c r="O24" s="145" t="str">
        <f t="shared" si="0"/>
        <v/>
      </c>
      <c r="P24" s="16"/>
      <c r="Q24" s="154"/>
      <c r="R24" s="124"/>
      <c r="S24" s="123" t="str">
        <f>IF(R24&lt;&gt;"", 0, "")</f>
        <v/>
      </c>
      <c r="T24" s="124"/>
      <c r="U24" s="123"/>
      <c r="V24" s="293"/>
      <c r="W24" s="62"/>
    </row>
    <row r="25" spans="1:23" ht="69.95" customHeight="1" x14ac:dyDescent="0.25">
      <c r="A25" s="1"/>
      <c r="B25" s="333"/>
      <c r="C25" s="333"/>
      <c r="D25" s="342"/>
      <c r="E25" s="333"/>
      <c r="F25" s="349"/>
      <c r="G25" s="349"/>
      <c r="H25" s="349"/>
      <c r="I25" s="349"/>
      <c r="J25" s="43"/>
      <c r="K25" s="131" t="s">
        <v>111</v>
      </c>
      <c r="L25" s="123"/>
      <c r="M25" s="124"/>
      <c r="N25" s="145" t="str">
        <f t="shared" si="1"/>
        <v/>
      </c>
      <c r="O25" s="145" t="str">
        <f t="shared" si="0"/>
        <v/>
      </c>
      <c r="P25" s="16"/>
      <c r="Q25" s="154"/>
      <c r="R25" s="31"/>
      <c r="S25" s="129"/>
      <c r="T25" s="124"/>
      <c r="U25" s="123"/>
      <c r="V25" s="293"/>
      <c r="W25" s="62"/>
    </row>
    <row r="26" spans="1:23" ht="69.95" customHeight="1" x14ac:dyDescent="0.25">
      <c r="A26" s="1"/>
      <c r="B26" s="334"/>
      <c r="C26" s="334"/>
      <c r="D26" s="345"/>
      <c r="E26" s="334"/>
      <c r="F26" s="350"/>
      <c r="G26" s="350"/>
      <c r="H26" s="350"/>
      <c r="I26" s="350"/>
      <c r="J26" s="43"/>
      <c r="K26" s="131" t="s">
        <v>112</v>
      </c>
      <c r="L26" s="123"/>
      <c r="M26" s="123"/>
      <c r="N26" s="145" t="str">
        <f t="shared" si="1"/>
        <v/>
      </c>
      <c r="O26" s="145" t="str">
        <f t="shared" si="0"/>
        <v/>
      </c>
      <c r="P26" s="16"/>
      <c r="Q26" s="155"/>
      <c r="R26" s="31"/>
      <c r="S26" s="129"/>
      <c r="T26" s="124"/>
      <c r="U26" s="123"/>
      <c r="V26" s="294"/>
      <c r="W26" s="295"/>
    </row>
    <row r="27" spans="1:23" ht="69.95" customHeight="1" x14ac:dyDescent="0.25">
      <c r="A27" s="1"/>
      <c r="B27" s="332">
        <v>11</v>
      </c>
      <c r="C27" s="332"/>
      <c r="D27" s="339"/>
      <c r="E27" s="332"/>
      <c r="F27" s="348"/>
      <c r="G27" s="348"/>
      <c r="H27" s="348"/>
      <c r="I27" s="348"/>
      <c r="J27" s="132" t="s">
        <v>97</v>
      </c>
      <c r="K27" s="131" t="s">
        <v>98</v>
      </c>
      <c r="L27" s="123"/>
      <c r="M27" s="123"/>
      <c r="N27" s="145" t="str">
        <f t="shared" si="1"/>
        <v/>
      </c>
      <c r="O27" s="145" t="str">
        <f t="shared" si="0"/>
        <v/>
      </c>
      <c r="P27" s="16"/>
      <c r="Q27" s="153"/>
      <c r="R27" s="124"/>
      <c r="S27" s="123" t="str">
        <f t="shared" ref="S27:S28" si="3">IF(R27&lt;&gt;"", 0, "")</f>
        <v/>
      </c>
      <c r="T27" s="124"/>
      <c r="U27" s="123"/>
      <c r="V27" s="291"/>
      <c r="W27" s="292"/>
    </row>
    <row r="28" spans="1:23" ht="69.95" customHeight="1" x14ac:dyDescent="0.25">
      <c r="A28" s="1"/>
      <c r="B28" s="333"/>
      <c r="C28" s="333"/>
      <c r="D28" s="342"/>
      <c r="E28" s="333"/>
      <c r="F28" s="349"/>
      <c r="G28" s="349"/>
      <c r="H28" s="349"/>
      <c r="I28" s="349"/>
      <c r="J28" s="124"/>
      <c r="K28" s="131" t="s">
        <v>99</v>
      </c>
      <c r="L28" s="123"/>
      <c r="M28" s="124"/>
      <c r="N28" s="145" t="str">
        <f t="shared" si="1"/>
        <v/>
      </c>
      <c r="O28" s="145" t="str">
        <f t="shared" si="0"/>
        <v/>
      </c>
      <c r="P28" s="16"/>
      <c r="Q28" s="154"/>
      <c r="R28" s="124"/>
      <c r="S28" s="123" t="str">
        <f t="shared" si="3"/>
        <v/>
      </c>
      <c r="T28" s="124"/>
      <c r="U28" s="123"/>
      <c r="V28" s="293"/>
      <c r="W28" s="62"/>
    </row>
    <row r="29" spans="1:23" ht="69.95" customHeight="1" x14ac:dyDescent="0.25">
      <c r="A29" s="1"/>
      <c r="B29" s="333"/>
      <c r="C29" s="333"/>
      <c r="D29" s="342"/>
      <c r="E29" s="333"/>
      <c r="F29" s="349"/>
      <c r="G29" s="349"/>
      <c r="H29" s="349"/>
      <c r="I29" s="349"/>
      <c r="J29" s="132" t="s">
        <v>100</v>
      </c>
      <c r="K29" s="131" t="s">
        <v>101</v>
      </c>
      <c r="L29" s="123"/>
      <c r="M29" s="124"/>
      <c r="N29" s="145" t="str">
        <f t="shared" si="1"/>
        <v/>
      </c>
      <c r="O29" s="145" t="str">
        <f t="shared" si="0"/>
        <v/>
      </c>
      <c r="P29" s="16"/>
      <c r="Q29" s="154"/>
      <c r="R29" s="31"/>
      <c r="S29" s="129"/>
      <c r="T29" s="124"/>
      <c r="U29" s="123"/>
      <c r="V29" s="293"/>
      <c r="W29" s="62"/>
    </row>
    <row r="30" spans="1:23" ht="69.95" customHeight="1" x14ac:dyDescent="0.25">
      <c r="A30" s="1"/>
      <c r="B30" s="333"/>
      <c r="C30" s="333"/>
      <c r="D30" s="342"/>
      <c r="E30" s="333"/>
      <c r="F30" s="349"/>
      <c r="G30" s="349"/>
      <c r="H30" s="349"/>
      <c r="I30" s="349"/>
      <c r="J30" s="124" t="str">
        <f>IF(J28="","","0.0")</f>
        <v/>
      </c>
      <c r="K30" s="131" t="s">
        <v>102</v>
      </c>
      <c r="L30" s="123"/>
      <c r="M30" s="124"/>
      <c r="N30" s="145" t="str">
        <f t="shared" si="1"/>
        <v/>
      </c>
      <c r="O30" s="145" t="str">
        <f t="shared" si="0"/>
        <v/>
      </c>
      <c r="P30" s="16"/>
      <c r="Q30" s="154"/>
      <c r="R30" s="124"/>
      <c r="S30" s="123" t="str">
        <f>IF(R30&lt;&gt;"", 0, "")</f>
        <v/>
      </c>
      <c r="T30" s="124"/>
      <c r="U30" s="123"/>
      <c r="V30" s="293"/>
      <c r="W30" s="62"/>
    </row>
    <row r="31" spans="1:23" ht="69.95" customHeight="1" x14ac:dyDescent="0.25">
      <c r="A31" s="1"/>
      <c r="B31" s="333"/>
      <c r="C31" s="333"/>
      <c r="D31" s="342"/>
      <c r="E31" s="333"/>
      <c r="F31" s="349"/>
      <c r="G31" s="349"/>
      <c r="H31" s="349"/>
      <c r="I31" s="349"/>
      <c r="J31" s="43"/>
      <c r="K31" s="131" t="s">
        <v>111</v>
      </c>
      <c r="L31" s="123"/>
      <c r="M31" s="124"/>
      <c r="N31" s="145" t="str">
        <f t="shared" si="1"/>
        <v/>
      </c>
      <c r="O31" s="145" t="str">
        <f t="shared" si="0"/>
        <v/>
      </c>
      <c r="P31" s="16"/>
      <c r="Q31" s="154"/>
      <c r="R31" s="31"/>
      <c r="S31" s="129"/>
      <c r="T31" s="124"/>
      <c r="U31" s="123"/>
      <c r="V31" s="293"/>
      <c r="W31" s="62"/>
    </row>
    <row r="32" spans="1:23" ht="69.95" customHeight="1" x14ac:dyDescent="0.25">
      <c r="A32" s="1"/>
      <c r="B32" s="334"/>
      <c r="C32" s="334"/>
      <c r="D32" s="345"/>
      <c r="E32" s="334"/>
      <c r="F32" s="350"/>
      <c r="G32" s="350"/>
      <c r="H32" s="350"/>
      <c r="I32" s="350"/>
      <c r="J32" s="43"/>
      <c r="K32" s="131" t="s">
        <v>112</v>
      </c>
      <c r="L32" s="123"/>
      <c r="M32" s="123"/>
      <c r="N32" s="145" t="str">
        <f t="shared" si="1"/>
        <v/>
      </c>
      <c r="O32" s="145" t="str">
        <f t="shared" si="0"/>
        <v/>
      </c>
      <c r="P32" s="16"/>
      <c r="Q32" s="155"/>
      <c r="R32" s="31"/>
      <c r="S32" s="129"/>
      <c r="T32" s="124"/>
      <c r="U32" s="123"/>
      <c r="V32" s="294"/>
      <c r="W32" s="295"/>
    </row>
    <row r="33" spans="1:23" ht="69.95" customHeight="1" x14ac:dyDescent="0.25">
      <c r="A33" s="1"/>
      <c r="B33" s="332">
        <v>12</v>
      </c>
      <c r="C33" s="332"/>
      <c r="D33" s="339"/>
      <c r="E33" s="332"/>
      <c r="F33" s="348"/>
      <c r="G33" s="348"/>
      <c r="H33" s="348"/>
      <c r="I33" s="348"/>
      <c r="J33" s="132" t="s">
        <v>97</v>
      </c>
      <c r="K33" s="131" t="s">
        <v>98</v>
      </c>
      <c r="L33" s="123"/>
      <c r="M33" s="123"/>
      <c r="N33" s="145" t="str">
        <f t="shared" si="1"/>
        <v/>
      </c>
      <c r="O33" s="145" t="str">
        <f t="shared" si="0"/>
        <v/>
      </c>
      <c r="P33" s="16"/>
      <c r="Q33" s="153"/>
      <c r="R33" s="124"/>
      <c r="S33" s="123" t="str">
        <f t="shared" ref="S33:S34" si="4">IF(R33&lt;&gt;"", 0, "")</f>
        <v/>
      </c>
      <c r="T33" s="124"/>
      <c r="U33" s="123"/>
      <c r="V33" s="291"/>
      <c r="W33" s="292"/>
    </row>
    <row r="34" spans="1:23" ht="69.95" customHeight="1" x14ac:dyDescent="0.25">
      <c r="A34" s="1"/>
      <c r="B34" s="333"/>
      <c r="C34" s="333"/>
      <c r="D34" s="342"/>
      <c r="E34" s="333"/>
      <c r="F34" s="349"/>
      <c r="G34" s="349"/>
      <c r="H34" s="349"/>
      <c r="I34" s="349"/>
      <c r="J34" s="124"/>
      <c r="K34" s="131" t="s">
        <v>99</v>
      </c>
      <c r="L34" s="123"/>
      <c r="M34" s="124"/>
      <c r="N34" s="145" t="str">
        <f t="shared" si="1"/>
        <v/>
      </c>
      <c r="O34" s="145" t="str">
        <f t="shared" si="0"/>
        <v/>
      </c>
      <c r="P34" s="16"/>
      <c r="Q34" s="154"/>
      <c r="R34" s="124"/>
      <c r="S34" s="123" t="str">
        <f t="shared" si="4"/>
        <v/>
      </c>
      <c r="T34" s="124"/>
      <c r="U34" s="123"/>
      <c r="V34" s="293"/>
      <c r="W34" s="62"/>
    </row>
    <row r="35" spans="1:23" ht="69.95" customHeight="1" x14ac:dyDescent="0.25">
      <c r="A35" s="1"/>
      <c r="B35" s="333"/>
      <c r="C35" s="333"/>
      <c r="D35" s="342"/>
      <c r="E35" s="333"/>
      <c r="F35" s="349"/>
      <c r="G35" s="349"/>
      <c r="H35" s="349"/>
      <c r="I35" s="349"/>
      <c r="J35" s="132" t="s">
        <v>100</v>
      </c>
      <c r="K35" s="131" t="s">
        <v>101</v>
      </c>
      <c r="L35" s="123"/>
      <c r="M35" s="124"/>
      <c r="N35" s="145" t="str">
        <f t="shared" si="1"/>
        <v/>
      </c>
      <c r="O35" s="145" t="str">
        <f t="shared" si="0"/>
        <v/>
      </c>
      <c r="P35" s="16"/>
      <c r="Q35" s="154"/>
      <c r="R35" s="31"/>
      <c r="S35" s="129"/>
      <c r="T35" s="124"/>
      <c r="U35" s="123"/>
      <c r="V35" s="293"/>
      <c r="W35" s="62"/>
    </row>
    <row r="36" spans="1:23" ht="69.95" customHeight="1" x14ac:dyDescent="0.25">
      <c r="A36" s="1"/>
      <c r="B36" s="333"/>
      <c r="C36" s="333"/>
      <c r="D36" s="342"/>
      <c r="E36" s="333"/>
      <c r="F36" s="349"/>
      <c r="G36" s="349"/>
      <c r="H36" s="349"/>
      <c r="I36" s="349"/>
      <c r="J36" s="124" t="str">
        <f>IF(J34="","","0.0")</f>
        <v/>
      </c>
      <c r="K36" s="131" t="s">
        <v>102</v>
      </c>
      <c r="L36" s="123"/>
      <c r="M36" s="124"/>
      <c r="N36" s="145" t="str">
        <f t="shared" si="1"/>
        <v/>
      </c>
      <c r="O36" s="145" t="str">
        <f t="shared" si="0"/>
        <v/>
      </c>
      <c r="P36" s="16"/>
      <c r="Q36" s="154"/>
      <c r="R36" s="124"/>
      <c r="S36" s="123" t="str">
        <f>IF(R36&lt;&gt;"", 0, "")</f>
        <v/>
      </c>
      <c r="T36" s="124"/>
      <c r="U36" s="123"/>
      <c r="V36" s="293"/>
      <c r="W36" s="62"/>
    </row>
    <row r="37" spans="1:23" ht="69.95" customHeight="1" x14ac:dyDescent="0.25">
      <c r="A37" s="1"/>
      <c r="B37" s="333"/>
      <c r="C37" s="333"/>
      <c r="D37" s="342"/>
      <c r="E37" s="333"/>
      <c r="F37" s="349"/>
      <c r="G37" s="349"/>
      <c r="H37" s="349"/>
      <c r="I37" s="349"/>
      <c r="J37" s="43"/>
      <c r="K37" s="131" t="s">
        <v>111</v>
      </c>
      <c r="L37" s="123"/>
      <c r="M37" s="124"/>
      <c r="N37" s="145" t="str">
        <f t="shared" si="1"/>
        <v/>
      </c>
      <c r="O37" s="145" t="str">
        <f t="shared" si="0"/>
        <v/>
      </c>
      <c r="P37" s="16"/>
      <c r="Q37" s="154"/>
      <c r="R37" s="31"/>
      <c r="S37" s="129"/>
      <c r="T37" s="124"/>
      <c r="U37" s="123"/>
      <c r="V37" s="293"/>
      <c r="W37" s="62"/>
    </row>
    <row r="38" spans="1:23" ht="69.95" customHeight="1" x14ac:dyDescent="0.25">
      <c r="A38" s="1"/>
      <c r="B38" s="334"/>
      <c r="C38" s="334"/>
      <c r="D38" s="345"/>
      <c r="E38" s="334"/>
      <c r="F38" s="350"/>
      <c r="G38" s="350"/>
      <c r="H38" s="350"/>
      <c r="I38" s="350"/>
      <c r="J38" s="43"/>
      <c r="K38" s="131" t="s">
        <v>112</v>
      </c>
      <c r="L38" s="123"/>
      <c r="M38" s="123"/>
      <c r="N38" s="145" t="str">
        <f t="shared" si="1"/>
        <v/>
      </c>
      <c r="O38" s="145" t="str">
        <f t="shared" si="0"/>
        <v/>
      </c>
      <c r="P38" s="16"/>
      <c r="Q38" s="155"/>
      <c r="R38" s="31"/>
      <c r="S38" s="129"/>
      <c r="T38" s="124"/>
      <c r="U38" s="123"/>
      <c r="V38" s="294"/>
      <c r="W38" s="295"/>
    </row>
    <row r="39" spans="1:23" ht="69.95" customHeight="1" x14ac:dyDescent="0.25">
      <c r="A39" s="1"/>
      <c r="B39" s="332">
        <v>13</v>
      </c>
      <c r="C39" s="332"/>
      <c r="D39" s="339"/>
      <c r="E39" s="332"/>
      <c r="F39" s="348"/>
      <c r="G39" s="348"/>
      <c r="H39" s="348"/>
      <c r="I39" s="348"/>
      <c r="J39" s="132" t="s">
        <v>97</v>
      </c>
      <c r="K39" s="131" t="s">
        <v>98</v>
      </c>
      <c r="L39" s="123"/>
      <c r="M39" s="123"/>
      <c r="N39" s="145" t="str">
        <f t="shared" si="1"/>
        <v/>
      </c>
      <c r="O39" s="145" t="str">
        <f t="shared" si="0"/>
        <v/>
      </c>
      <c r="P39" s="16"/>
      <c r="Q39" s="153"/>
      <c r="R39" s="124"/>
      <c r="S39" s="123" t="str">
        <f t="shared" ref="S39:S40" si="5">IF(R39&lt;&gt;"", 0, "")</f>
        <v/>
      </c>
      <c r="T39" s="124"/>
      <c r="U39" s="123"/>
      <c r="V39" s="291"/>
      <c r="W39" s="292"/>
    </row>
    <row r="40" spans="1:23" ht="69.95" customHeight="1" x14ac:dyDescent="0.25">
      <c r="A40" s="1"/>
      <c r="B40" s="333"/>
      <c r="C40" s="333"/>
      <c r="D40" s="342"/>
      <c r="E40" s="333"/>
      <c r="F40" s="349"/>
      <c r="G40" s="349"/>
      <c r="H40" s="349"/>
      <c r="I40" s="349"/>
      <c r="J40" s="124"/>
      <c r="K40" s="131" t="s">
        <v>99</v>
      </c>
      <c r="L40" s="123"/>
      <c r="M40" s="124"/>
      <c r="N40" s="145" t="str">
        <f t="shared" si="1"/>
        <v/>
      </c>
      <c r="O40" s="145" t="str">
        <f t="shared" si="0"/>
        <v/>
      </c>
      <c r="P40" s="16"/>
      <c r="Q40" s="154"/>
      <c r="R40" s="124"/>
      <c r="S40" s="123" t="str">
        <f t="shared" si="5"/>
        <v/>
      </c>
      <c r="T40" s="124"/>
      <c r="U40" s="123"/>
      <c r="V40" s="293"/>
      <c r="W40" s="62"/>
    </row>
    <row r="41" spans="1:23" ht="69.95" customHeight="1" x14ac:dyDescent="0.25">
      <c r="A41" s="1"/>
      <c r="B41" s="333"/>
      <c r="C41" s="333"/>
      <c r="D41" s="342"/>
      <c r="E41" s="333"/>
      <c r="F41" s="349"/>
      <c r="G41" s="349"/>
      <c r="H41" s="349"/>
      <c r="I41" s="349"/>
      <c r="J41" s="132" t="s">
        <v>100</v>
      </c>
      <c r="K41" s="131" t="s">
        <v>101</v>
      </c>
      <c r="L41" s="123"/>
      <c r="M41" s="124"/>
      <c r="N41" s="145" t="str">
        <f t="shared" si="1"/>
        <v/>
      </c>
      <c r="O41" s="145" t="str">
        <f t="shared" si="0"/>
        <v/>
      </c>
      <c r="P41" s="16"/>
      <c r="Q41" s="154"/>
      <c r="R41" s="31"/>
      <c r="S41" s="129"/>
      <c r="T41" s="124"/>
      <c r="U41" s="123"/>
      <c r="V41" s="293"/>
      <c r="W41" s="62"/>
    </row>
    <row r="42" spans="1:23" ht="69.95" customHeight="1" x14ac:dyDescent="0.25">
      <c r="A42" s="1"/>
      <c r="B42" s="333"/>
      <c r="C42" s="333"/>
      <c r="D42" s="342"/>
      <c r="E42" s="333"/>
      <c r="F42" s="349"/>
      <c r="G42" s="349"/>
      <c r="H42" s="349"/>
      <c r="I42" s="349"/>
      <c r="J42" s="124" t="str">
        <f>IF(J40="","","0.0")</f>
        <v/>
      </c>
      <c r="K42" s="131" t="s">
        <v>102</v>
      </c>
      <c r="L42" s="123"/>
      <c r="M42" s="124"/>
      <c r="N42" s="145" t="str">
        <f t="shared" si="1"/>
        <v/>
      </c>
      <c r="O42" s="145" t="str">
        <f t="shared" si="0"/>
        <v/>
      </c>
      <c r="P42" s="16"/>
      <c r="Q42" s="154"/>
      <c r="R42" s="124"/>
      <c r="S42" s="123" t="str">
        <f>IF(R42&lt;&gt;"", 0, "")</f>
        <v/>
      </c>
      <c r="T42" s="124"/>
      <c r="U42" s="123"/>
      <c r="V42" s="293"/>
      <c r="W42" s="62"/>
    </row>
    <row r="43" spans="1:23" ht="69.95" customHeight="1" x14ac:dyDescent="0.25">
      <c r="A43" s="1"/>
      <c r="B43" s="333"/>
      <c r="C43" s="333"/>
      <c r="D43" s="342"/>
      <c r="E43" s="333"/>
      <c r="F43" s="349"/>
      <c r="G43" s="349"/>
      <c r="H43" s="349"/>
      <c r="I43" s="349"/>
      <c r="J43" s="43"/>
      <c r="K43" s="131" t="s">
        <v>111</v>
      </c>
      <c r="L43" s="123"/>
      <c r="M43" s="124"/>
      <c r="N43" s="145" t="str">
        <f t="shared" si="1"/>
        <v/>
      </c>
      <c r="O43" s="145" t="str">
        <f t="shared" si="0"/>
        <v/>
      </c>
      <c r="P43" s="16"/>
      <c r="Q43" s="154"/>
      <c r="R43" s="31"/>
      <c r="S43" s="129"/>
      <c r="T43" s="124"/>
      <c r="U43" s="123"/>
      <c r="V43" s="293"/>
      <c r="W43" s="62"/>
    </row>
    <row r="44" spans="1:23" ht="69.95" customHeight="1" x14ac:dyDescent="0.25">
      <c r="A44" s="1"/>
      <c r="B44" s="334"/>
      <c r="C44" s="334"/>
      <c r="D44" s="345"/>
      <c r="E44" s="334"/>
      <c r="F44" s="350"/>
      <c r="G44" s="350"/>
      <c r="H44" s="350"/>
      <c r="I44" s="350"/>
      <c r="J44" s="43"/>
      <c r="K44" s="131" t="s">
        <v>112</v>
      </c>
      <c r="L44" s="123"/>
      <c r="M44" s="123"/>
      <c r="N44" s="145" t="str">
        <f t="shared" si="1"/>
        <v/>
      </c>
      <c r="O44" s="145" t="str">
        <f t="shared" si="0"/>
        <v/>
      </c>
      <c r="P44" s="16"/>
      <c r="Q44" s="155"/>
      <c r="R44" s="31"/>
      <c r="S44" s="129"/>
      <c r="T44" s="124"/>
      <c r="U44" s="123"/>
      <c r="V44" s="294"/>
      <c r="W44" s="295"/>
    </row>
    <row r="45" spans="1:23" ht="69.95" customHeight="1" x14ac:dyDescent="0.25">
      <c r="A45" s="1"/>
      <c r="B45" s="332">
        <v>14</v>
      </c>
      <c r="C45" s="332"/>
      <c r="D45" s="339"/>
      <c r="E45" s="332"/>
      <c r="F45" s="348"/>
      <c r="G45" s="348"/>
      <c r="H45" s="348"/>
      <c r="I45" s="348"/>
      <c r="J45" s="132" t="s">
        <v>97</v>
      </c>
      <c r="K45" s="131" t="s">
        <v>98</v>
      </c>
      <c r="L45" s="123"/>
      <c r="M45" s="123"/>
      <c r="N45" s="145" t="str">
        <f t="shared" si="1"/>
        <v/>
      </c>
      <c r="O45" s="145" t="str">
        <f t="shared" si="0"/>
        <v/>
      </c>
      <c r="P45" s="16"/>
      <c r="Q45" s="153"/>
      <c r="R45" s="124"/>
      <c r="S45" s="123" t="str">
        <f t="shared" ref="S45:S46" si="6">IF(R45&lt;&gt;"", 0, "")</f>
        <v/>
      </c>
      <c r="T45" s="124"/>
      <c r="U45" s="123"/>
      <c r="V45" s="291"/>
      <c r="W45" s="292"/>
    </row>
    <row r="46" spans="1:23" ht="69.95" customHeight="1" x14ac:dyDescent="0.25">
      <c r="A46" s="1"/>
      <c r="B46" s="333"/>
      <c r="C46" s="333"/>
      <c r="D46" s="342"/>
      <c r="E46" s="333"/>
      <c r="F46" s="349"/>
      <c r="G46" s="349"/>
      <c r="H46" s="349"/>
      <c r="I46" s="349"/>
      <c r="J46" s="124"/>
      <c r="K46" s="131" t="s">
        <v>99</v>
      </c>
      <c r="L46" s="123"/>
      <c r="M46" s="124"/>
      <c r="N46" s="145" t="str">
        <f t="shared" si="1"/>
        <v/>
      </c>
      <c r="O46" s="145" t="str">
        <f t="shared" si="0"/>
        <v/>
      </c>
      <c r="P46" s="16"/>
      <c r="Q46" s="154"/>
      <c r="R46" s="124"/>
      <c r="S46" s="123" t="str">
        <f t="shared" si="6"/>
        <v/>
      </c>
      <c r="T46" s="124"/>
      <c r="U46" s="123"/>
      <c r="V46" s="293"/>
      <c r="W46" s="62"/>
    </row>
    <row r="47" spans="1:23" ht="69.95" customHeight="1" x14ac:dyDescent="0.25">
      <c r="A47" s="1"/>
      <c r="B47" s="333"/>
      <c r="C47" s="333"/>
      <c r="D47" s="342"/>
      <c r="E47" s="333"/>
      <c r="F47" s="349"/>
      <c r="G47" s="349"/>
      <c r="H47" s="349"/>
      <c r="I47" s="349"/>
      <c r="J47" s="132" t="s">
        <v>100</v>
      </c>
      <c r="K47" s="131" t="s">
        <v>101</v>
      </c>
      <c r="L47" s="123"/>
      <c r="M47" s="124"/>
      <c r="N47" s="145" t="str">
        <f t="shared" si="1"/>
        <v/>
      </c>
      <c r="O47" s="145" t="str">
        <f t="shared" si="0"/>
        <v/>
      </c>
      <c r="P47" s="16"/>
      <c r="Q47" s="154"/>
      <c r="R47" s="31"/>
      <c r="S47" s="129"/>
      <c r="T47" s="124"/>
      <c r="U47" s="123"/>
      <c r="V47" s="293"/>
      <c r="W47" s="62"/>
    </row>
    <row r="48" spans="1:23" ht="69.95" customHeight="1" x14ac:dyDescent="0.25">
      <c r="A48" s="1"/>
      <c r="B48" s="333"/>
      <c r="C48" s="333"/>
      <c r="D48" s="342"/>
      <c r="E48" s="333"/>
      <c r="F48" s="349"/>
      <c r="G48" s="349"/>
      <c r="H48" s="349"/>
      <c r="I48" s="349"/>
      <c r="J48" s="124" t="str">
        <f>IF(J46="","","0.0")</f>
        <v/>
      </c>
      <c r="K48" s="131" t="s">
        <v>102</v>
      </c>
      <c r="L48" s="123"/>
      <c r="M48" s="124"/>
      <c r="N48" s="145" t="str">
        <f t="shared" si="1"/>
        <v/>
      </c>
      <c r="O48" s="145" t="str">
        <f t="shared" si="0"/>
        <v/>
      </c>
      <c r="P48" s="16"/>
      <c r="Q48" s="154"/>
      <c r="R48" s="124"/>
      <c r="S48" s="123" t="str">
        <f>IF(R48&lt;&gt;"", 0, "")</f>
        <v/>
      </c>
      <c r="T48" s="124"/>
      <c r="U48" s="123"/>
      <c r="V48" s="293"/>
      <c r="W48" s="62"/>
    </row>
    <row r="49" spans="1:23" ht="69.95" customHeight="1" x14ac:dyDescent="0.25">
      <c r="A49" s="1"/>
      <c r="B49" s="333"/>
      <c r="C49" s="333"/>
      <c r="D49" s="342"/>
      <c r="E49" s="333"/>
      <c r="F49" s="349"/>
      <c r="G49" s="349"/>
      <c r="H49" s="349"/>
      <c r="I49" s="349"/>
      <c r="J49" s="43"/>
      <c r="K49" s="131" t="s">
        <v>111</v>
      </c>
      <c r="L49" s="123"/>
      <c r="M49" s="124"/>
      <c r="N49" s="145" t="str">
        <f t="shared" si="1"/>
        <v/>
      </c>
      <c r="O49" s="145" t="str">
        <f t="shared" si="0"/>
        <v/>
      </c>
      <c r="P49" s="16"/>
      <c r="Q49" s="154"/>
      <c r="R49" s="31"/>
      <c r="S49" s="129"/>
      <c r="T49" s="124"/>
      <c r="U49" s="123"/>
      <c r="V49" s="293"/>
      <c r="W49" s="62"/>
    </row>
    <row r="50" spans="1:23" ht="69.95" customHeight="1" x14ac:dyDescent="0.25">
      <c r="A50" s="1"/>
      <c r="B50" s="334"/>
      <c r="C50" s="334"/>
      <c r="D50" s="345"/>
      <c r="E50" s="334"/>
      <c r="F50" s="350"/>
      <c r="G50" s="350"/>
      <c r="H50" s="350"/>
      <c r="I50" s="350"/>
      <c r="J50" s="43"/>
      <c r="K50" s="131" t="s">
        <v>112</v>
      </c>
      <c r="L50" s="123"/>
      <c r="M50" s="123"/>
      <c r="N50" s="145" t="str">
        <f t="shared" si="1"/>
        <v/>
      </c>
      <c r="O50" s="145" t="str">
        <f t="shared" si="0"/>
        <v/>
      </c>
      <c r="P50" s="16"/>
      <c r="Q50" s="155"/>
      <c r="R50" s="31"/>
      <c r="S50" s="129"/>
      <c r="T50" s="124"/>
      <c r="U50" s="123"/>
      <c r="V50" s="294"/>
      <c r="W50" s="295"/>
    </row>
    <row r="51" spans="1:23" ht="69.95" customHeight="1" x14ac:dyDescent="0.25">
      <c r="A51" s="1"/>
      <c r="B51" s="332">
        <v>15</v>
      </c>
      <c r="C51" s="332"/>
      <c r="D51" s="339"/>
      <c r="E51" s="332"/>
      <c r="F51" s="348"/>
      <c r="G51" s="348"/>
      <c r="H51" s="348"/>
      <c r="I51" s="348"/>
      <c r="J51" s="132" t="s">
        <v>97</v>
      </c>
      <c r="K51" s="131" t="s">
        <v>98</v>
      </c>
      <c r="L51" s="123"/>
      <c r="M51" s="123"/>
      <c r="N51" s="145" t="str">
        <f t="shared" si="1"/>
        <v/>
      </c>
      <c r="O51" s="145" t="str">
        <f t="shared" si="0"/>
        <v/>
      </c>
      <c r="P51" s="16"/>
      <c r="Q51" s="153"/>
      <c r="R51" s="124"/>
      <c r="S51" s="123" t="str">
        <f t="shared" ref="S51:S52" si="7">IF(R51&lt;&gt;"", 0, "")</f>
        <v/>
      </c>
      <c r="T51" s="124"/>
      <c r="U51" s="123"/>
      <c r="V51" s="291"/>
      <c r="W51" s="292"/>
    </row>
    <row r="52" spans="1:23" ht="69.95" customHeight="1" x14ac:dyDescent="0.25">
      <c r="A52" s="1"/>
      <c r="B52" s="333"/>
      <c r="C52" s="333"/>
      <c r="D52" s="342"/>
      <c r="E52" s="333"/>
      <c r="F52" s="349"/>
      <c r="G52" s="349"/>
      <c r="H52" s="349"/>
      <c r="I52" s="349"/>
      <c r="J52" s="124"/>
      <c r="K52" s="131" t="s">
        <v>99</v>
      </c>
      <c r="L52" s="123"/>
      <c r="M52" s="124"/>
      <c r="N52" s="145" t="str">
        <f t="shared" si="1"/>
        <v/>
      </c>
      <c r="O52" s="145" t="str">
        <f t="shared" si="0"/>
        <v/>
      </c>
      <c r="P52" s="16"/>
      <c r="Q52" s="154"/>
      <c r="R52" s="124"/>
      <c r="S52" s="123" t="str">
        <f t="shared" si="7"/>
        <v/>
      </c>
      <c r="T52" s="124"/>
      <c r="U52" s="123"/>
      <c r="V52" s="293"/>
      <c r="W52" s="62"/>
    </row>
    <row r="53" spans="1:23" ht="69.95" customHeight="1" x14ac:dyDescent="0.25">
      <c r="A53" s="1"/>
      <c r="B53" s="333"/>
      <c r="C53" s="333"/>
      <c r="D53" s="342"/>
      <c r="E53" s="333"/>
      <c r="F53" s="349"/>
      <c r="G53" s="349"/>
      <c r="H53" s="349"/>
      <c r="I53" s="349"/>
      <c r="J53" s="132" t="s">
        <v>100</v>
      </c>
      <c r="K53" s="131" t="s">
        <v>101</v>
      </c>
      <c r="L53" s="123"/>
      <c r="M53" s="124"/>
      <c r="N53" s="145" t="str">
        <f t="shared" si="1"/>
        <v/>
      </c>
      <c r="O53" s="145" t="str">
        <f t="shared" si="0"/>
        <v/>
      </c>
      <c r="P53" s="16"/>
      <c r="Q53" s="154"/>
      <c r="R53" s="31"/>
      <c r="S53" s="129"/>
      <c r="T53" s="124"/>
      <c r="U53" s="123"/>
      <c r="V53" s="293"/>
      <c r="W53" s="62"/>
    </row>
    <row r="54" spans="1:23" ht="69.95" customHeight="1" x14ac:dyDescent="0.25">
      <c r="A54" s="1"/>
      <c r="B54" s="333"/>
      <c r="C54" s="333"/>
      <c r="D54" s="342"/>
      <c r="E54" s="333"/>
      <c r="F54" s="349"/>
      <c r="G54" s="349"/>
      <c r="H54" s="349"/>
      <c r="I54" s="349"/>
      <c r="J54" s="124" t="str">
        <f>IF(J52="","","0.0")</f>
        <v/>
      </c>
      <c r="K54" s="131" t="s">
        <v>102</v>
      </c>
      <c r="L54" s="123"/>
      <c r="M54" s="124"/>
      <c r="N54" s="145" t="str">
        <f t="shared" si="1"/>
        <v/>
      </c>
      <c r="O54" s="145" t="str">
        <f t="shared" si="0"/>
        <v/>
      </c>
      <c r="P54" s="16"/>
      <c r="Q54" s="154"/>
      <c r="R54" s="124"/>
      <c r="S54" s="123" t="str">
        <f>IF(R54&lt;&gt;"", 0, "")</f>
        <v/>
      </c>
      <c r="T54" s="124"/>
      <c r="U54" s="123"/>
      <c r="V54" s="293"/>
      <c r="W54" s="62"/>
    </row>
    <row r="55" spans="1:23" ht="69.95" customHeight="1" x14ac:dyDescent="0.25">
      <c r="A55" s="1"/>
      <c r="B55" s="333"/>
      <c r="C55" s="333"/>
      <c r="D55" s="342"/>
      <c r="E55" s="333"/>
      <c r="F55" s="349"/>
      <c r="G55" s="349"/>
      <c r="H55" s="349"/>
      <c r="I55" s="349"/>
      <c r="J55" s="43"/>
      <c r="K55" s="131" t="s">
        <v>111</v>
      </c>
      <c r="L55" s="123"/>
      <c r="M55" s="124"/>
      <c r="N55" s="145" t="str">
        <f t="shared" si="1"/>
        <v/>
      </c>
      <c r="O55" s="145" t="str">
        <f t="shared" si="0"/>
        <v/>
      </c>
      <c r="P55" s="16"/>
      <c r="Q55" s="154"/>
      <c r="R55" s="31"/>
      <c r="S55" s="129"/>
      <c r="T55" s="124"/>
      <c r="U55" s="123"/>
      <c r="V55" s="293"/>
      <c r="W55" s="62"/>
    </row>
    <row r="56" spans="1:23" ht="69.95" customHeight="1" x14ac:dyDescent="0.25">
      <c r="A56" s="1"/>
      <c r="B56" s="334"/>
      <c r="C56" s="334"/>
      <c r="D56" s="345"/>
      <c r="E56" s="334"/>
      <c r="F56" s="350"/>
      <c r="G56" s="350"/>
      <c r="H56" s="350"/>
      <c r="I56" s="350"/>
      <c r="J56" s="43"/>
      <c r="K56" s="131" t="s">
        <v>112</v>
      </c>
      <c r="L56" s="123"/>
      <c r="M56" s="123"/>
      <c r="N56" s="145" t="str">
        <f t="shared" si="1"/>
        <v/>
      </c>
      <c r="O56" s="145" t="str">
        <f t="shared" si="0"/>
        <v/>
      </c>
      <c r="P56" s="16"/>
      <c r="Q56" s="155"/>
      <c r="R56" s="31"/>
      <c r="S56" s="129"/>
      <c r="T56" s="124"/>
      <c r="U56" s="123"/>
      <c r="V56" s="294"/>
      <c r="W56" s="295"/>
    </row>
    <row r="57" spans="1:23" ht="69.95" customHeight="1" x14ac:dyDescent="0.25">
      <c r="A57" s="1"/>
      <c r="B57" s="332">
        <v>16</v>
      </c>
      <c r="C57" s="332"/>
      <c r="D57" s="339"/>
      <c r="E57" s="332"/>
      <c r="F57" s="348"/>
      <c r="G57" s="348"/>
      <c r="H57" s="348"/>
      <c r="I57" s="348"/>
      <c r="J57" s="132" t="s">
        <v>97</v>
      </c>
      <c r="K57" s="131" t="s">
        <v>98</v>
      </c>
      <c r="L57" s="123"/>
      <c r="M57" s="123"/>
      <c r="N57" s="145" t="str">
        <f t="shared" si="1"/>
        <v/>
      </c>
      <c r="O57" s="145" t="str">
        <f t="shared" si="0"/>
        <v/>
      </c>
      <c r="P57" s="16"/>
      <c r="Q57" s="153"/>
      <c r="R57" s="124"/>
      <c r="S57" s="123" t="str">
        <f t="shared" ref="S57:S58" si="8">IF(R57&lt;&gt;"", 0, "")</f>
        <v/>
      </c>
      <c r="T57" s="124"/>
      <c r="U57" s="123"/>
      <c r="V57" s="291"/>
      <c r="W57" s="292"/>
    </row>
    <row r="58" spans="1:23" ht="69.95" customHeight="1" x14ac:dyDescent="0.25">
      <c r="A58" s="1"/>
      <c r="B58" s="333"/>
      <c r="C58" s="333"/>
      <c r="D58" s="342"/>
      <c r="E58" s="333"/>
      <c r="F58" s="349"/>
      <c r="G58" s="349"/>
      <c r="H58" s="349"/>
      <c r="I58" s="349"/>
      <c r="J58" s="124"/>
      <c r="K58" s="131" t="s">
        <v>99</v>
      </c>
      <c r="L58" s="123"/>
      <c r="M58" s="124"/>
      <c r="N58" s="145" t="str">
        <f t="shared" si="1"/>
        <v/>
      </c>
      <c r="O58" s="145" t="str">
        <f t="shared" si="0"/>
        <v/>
      </c>
      <c r="P58" s="16"/>
      <c r="Q58" s="154"/>
      <c r="R58" s="124"/>
      <c r="S58" s="123" t="str">
        <f t="shared" si="8"/>
        <v/>
      </c>
      <c r="T58" s="124"/>
      <c r="U58" s="123"/>
      <c r="V58" s="293"/>
      <c r="W58" s="62"/>
    </row>
    <row r="59" spans="1:23" ht="69.95" customHeight="1" x14ac:dyDescent="0.25">
      <c r="A59" s="1"/>
      <c r="B59" s="333"/>
      <c r="C59" s="333"/>
      <c r="D59" s="342"/>
      <c r="E59" s="333"/>
      <c r="F59" s="349"/>
      <c r="G59" s="349"/>
      <c r="H59" s="349"/>
      <c r="I59" s="349"/>
      <c r="J59" s="132" t="s">
        <v>100</v>
      </c>
      <c r="K59" s="131" t="s">
        <v>101</v>
      </c>
      <c r="L59" s="123"/>
      <c r="M59" s="124"/>
      <c r="N59" s="145" t="str">
        <f t="shared" si="1"/>
        <v/>
      </c>
      <c r="O59" s="145" t="str">
        <f t="shared" si="0"/>
        <v/>
      </c>
      <c r="P59" s="16"/>
      <c r="Q59" s="154"/>
      <c r="R59" s="31"/>
      <c r="S59" s="129"/>
      <c r="T59" s="124"/>
      <c r="U59" s="123"/>
      <c r="V59" s="293"/>
      <c r="W59" s="62"/>
    </row>
    <row r="60" spans="1:23" ht="69.95" customHeight="1" x14ac:dyDescent="0.25">
      <c r="A60" s="1"/>
      <c r="B60" s="333"/>
      <c r="C60" s="333"/>
      <c r="D60" s="342"/>
      <c r="E60" s="333"/>
      <c r="F60" s="349"/>
      <c r="G60" s="349"/>
      <c r="H60" s="349"/>
      <c r="I60" s="349"/>
      <c r="J60" s="124" t="str">
        <f>IF(J58="","","0.0")</f>
        <v/>
      </c>
      <c r="K60" s="131" t="s">
        <v>102</v>
      </c>
      <c r="L60" s="123"/>
      <c r="M60" s="124"/>
      <c r="N60" s="145" t="str">
        <f t="shared" si="1"/>
        <v/>
      </c>
      <c r="O60" s="145" t="str">
        <f t="shared" si="0"/>
        <v/>
      </c>
      <c r="P60" s="16"/>
      <c r="Q60" s="154"/>
      <c r="R60" s="124"/>
      <c r="S60" s="123" t="str">
        <f>IF(R60&lt;&gt;"", 0, "")</f>
        <v/>
      </c>
      <c r="T60" s="124"/>
      <c r="U60" s="123"/>
      <c r="V60" s="293"/>
      <c r="W60" s="62"/>
    </row>
    <row r="61" spans="1:23" ht="69.95" customHeight="1" x14ac:dyDescent="0.25">
      <c r="A61" s="1"/>
      <c r="B61" s="333"/>
      <c r="C61" s="333"/>
      <c r="D61" s="342"/>
      <c r="E61" s="333"/>
      <c r="F61" s="349"/>
      <c r="G61" s="349"/>
      <c r="H61" s="349"/>
      <c r="I61" s="349"/>
      <c r="J61" s="43"/>
      <c r="K61" s="131" t="s">
        <v>111</v>
      </c>
      <c r="L61" s="123"/>
      <c r="M61" s="124"/>
      <c r="N61" s="145" t="str">
        <f t="shared" si="1"/>
        <v/>
      </c>
      <c r="O61" s="145" t="str">
        <f t="shared" si="0"/>
        <v/>
      </c>
      <c r="P61" s="16"/>
      <c r="Q61" s="154"/>
      <c r="R61" s="31"/>
      <c r="S61" s="129"/>
      <c r="T61" s="124"/>
      <c r="U61" s="123"/>
      <c r="V61" s="293"/>
      <c r="W61" s="62"/>
    </row>
    <row r="62" spans="1:23" ht="69.95" customHeight="1" x14ac:dyDescent="0.25">
      <c r="A62" s="1"/>
      <c r="B62" s="333"/>
      <c r="C62" s="333"/>
      <c r="D62" s="342"/>
      <c r="E62" s="334"/>
      <c r="F62" s="350"/>
      <c r="G62" s="350"/>
      <c r="H62" s="350"/>
      <c r="I62" s="349"/>
      <c r="J62" s="43"/>
      <c r="K62" s="131" t="s">
        <v>112</v>
      </c>
      <c r="L62" s="123"/>
      <c r="M62" s="123"/>
      <c r="N62" s="145" t="str">
        <f t="shared" si="1"/>
        <v/>
      </c>
      <c r="O62" s="145" t="str">
        <f t="shared" si="0"/>
        <v/>
      </c>
      <c r="P62" s="16"/>
      <c r="Q62" s="155"/>
      <c r="R62" s="18"/>
      <c r="S62" s="33"/>
      <c r="T62" s="121"/>
      <c r="U62" s="130"/>
      <c r="V62" s="294"/>
      <c r="W62" s="295"/>
    </row>
    <row r="63" spans="1:23" ht="69.95" customHeight="1" x14ac:dyDescent="0.25">
      <c r="A63" s="1"/>
      <c r="B63" s="384"/>
      <c r="C63" s="382"/>
      <c r="D63" s="382"/>
      <c r="E63" s="382"/>
      <c r="F63" s="382"/>
      <c r="G63" s="382"/>
      <c r="H63" s="382"/>
      <c r="I63" s="382"/>
      <c r="J63" s="382"/>
      <c r="K63" s="135"/>
      <c r="L63" s="136"/>
      <c r="M63" s="135"/>
      <c r="N63" s="135"/>
      <c r="O63" s="135"/>
      <c r="P63" s="137"/>
      <c r="Q63" s="376"/>
      <c r="R63" s="138"/>
      <c r="S63" s="138"/>
      <c r="T63" s="138"/>
      <c r="U63" s="138"/>
      <c r="V63" s="382"/>
      <c r="W63" s="383"/>
    </row>
    <row r="64" spans="1:23" ht="69.95" customHeight="1" x14ac:dyDescent="0.25">
      <c r="A64" s="1"/>
      <c r="B64" s="374"/>
      <c r="C64" s="375"/>
      <c r="D64" s="375"/>
      <c r="E64" s="375"/>
      <c r="F64" s="375"/>
      <c r="G64" s="375"/>
      <c r="H64" s="375"/>
      <c r="I64" s="375"/>
      <c r="J64" s="375"/>
      <c r="K64" s="139"/>
      <c r="L64" s="140"/>
      <c r="M64" s="139"/>
      <c r="N64" s="139"/>
      <c r="O64" s="139"/>
      <c r="P64" s="141"/>
      <c r="Q64" s="377"/>
      <c r="R64" s="142"/>
      <c r="S64" s="142"/>
      <c r="T64" s="142"/>
      <c r="U64" s="142"/>
      <c r="V64" s="375"/>
      <c r="W64" s="378"/>
    </row>
    <row r="65" spans="1:23" ht="69.95" customHeight="1" x14ac:dyDescent="0.25">
      <c r="A65" s="1"/>
      <c r="B65" s="374"/>
      <c r="C65" s="375"/>
      <c r="D65" s="375"/>
      <c r="E65" s="375"/>
      <c r="F65" s="375"/>
      <c r="G65" s="375"/>
      <c r="H65" s="375"/>
      <c r="I65" s="375"/>
      <c r="J65" s="375"/>
      <c r="K65" s="139"/>
      <c r="L65" s="140"/>
      <c r="M65" s="139"/>
      <c r="N65" s="139"/>
      <c r="O65" s="139"/>
      <c r="P65" s="141"/>
      <c r="Q65" s="377"/>
      <c r="R65" s="142"/>
      <c r="S65" s="142"/>
      <c r="T65" s="142"/>
      <c r="U65" s="142"/>
      <c r="V65" s="375"/>
      <c r="W65" s="378"/>
    </row>
    <row r="66" spans="1:23" ht="69.95" customHeight="1" x14ac:dyDescent="0.25">
      <c r="A66" s="1"/>
      <c r="B66" s="374"/>
      <c r="C66" s="375"/>
      <c r="D66" s="375"/>
      <c r="E66" s="375"/>
      <c r="F66" s="375"/>
      <c r="G66" s="375"/>
      <c r="H66" s="375"/>
      <c r="I66" s="375"/>
      <c r="J66" s="375"/>
      <c r="K66" s="139"/>
      <c r="L66" s="140"/>
      <c r="M66" s="139"/>
      <c r="N66" s="139"/>
      <c r="O66" s="139"/>
      <c r="P66" s="141"/>
      <c r="Q66" s="377"/>
      <c r="R66" s="142"/>
      <c r="S66" s="142"/>
      <c r="T66" s="142"/>
      <c r="U66" s="142"/>
      <c r="V66" s="375"/>
      <c r="W66" s="378"/>
    </row>
    <row r="67" spans="1:23" ht="69.95" customHeight="1" x14ac:dyDescent="0.25">
      <c r="A67" s="1"/>
      <c r="B67" s="374"/>
      <c r="C67" s="375"/>
      <c r="D67" s="375"/>
      <c r="E67" s="375"/>
      <c r="F67" s="375"/>
      <c r="G67" s="375"/>
      <c r="H67" s="375"/>
      <c r="I67" s="375"/>
      <c r="J67" s="375"/>
      <c r="K67" s="139"/>
      <c r="L67" s="140"/>
      <c r="M67" s="139"/>
      <c r="N67" s="139"/>
      <c r="O67" s="139"/>
      <c r="P67" s="141"/>
      <c r="Q67" s="377"/>
      <c r="R67" s="142"/>
      <c r="S67" s="142"/>
      <c r="T67" s="142"/>
      <c r="U67" s="142"/>
      <c r="V67" s="375"/>
      <c r="W67" s="378"/>
    </row>
    <row r="68" spans="1:23" ht="69.95" customHeight="1" x14ac:dyDescent="0.25">
      <c r="A68" s="1"/>
      <c r="B68" s="374"/>
      <c r="C68" s="375"/>
      <c r="D68" s="375"/>
      <c r="E68" s="375"/>
      <c r="F68" s="375"/>
      <c r="G68" s="375"/>
      <c r="H68" s="375"/>
      <c r="I68" s="375"/>
      <c r="J68" s="375"/>
      <c r="K68" s="139"/>
      <c r="L68" s="140"/>
      <c r="M68" s="139"/>
      <c r="N68" s="139"/>
      <c r="O68" s="139"/>
      <c r="P68" s="141"/>
      <c r="Q68" s="377"/>
      <c r="R68" s="142"/>
      <c r="S68" s="142"/>
      <c r="T68" s="142"/>
      <c r="U68" s="142"/>
      <c r="V68" s="375"/>
      <c r="W68" s="378"/>
    </row>
    <row r="69" spans="1:23" ht="69.95" customHeight="1" x14ac:dyDescent="0.25">
      <c r="A69" s="1"/>
      <c r="B69" s="374"/>
      <c r="C69" s="375"/>
      <c r="D69" s="375"/>
      <c r="E69" s="375"/>
      <c r="F69" s="375"/>
      <c r="G69" s="375"/>
      <c r="H69" s="375"/>
      <c r="I69" s="375"/>
      <c r="J69" s="375"/>
      <c r="K69" s="139"/>
      <c r="L69" s="140"/>
      <c r="M69" s="139"/>
      <c r="N69" s="139"/>
      <c r="O69" s="139"/>
      <c r="P69" s="141"/>
      <c r="Q69" s="377"/>
      <c r="R69" s="142"/>
      <c r="S69" s="142"/>
      <c r="T69" s="142"/>
      <c r="U69" s="142"/>
      <c r="V69" s="375"/>
      <c r="W69" s="378"/>
    </row>
    <row r="70" spans="1:23" ht="69.95" customHeight="1" x14ac:dyDescent="0.25">
      <c r="A70" s="1"/>
      <c r="B70" s="374"/>
      <c r="C70" s="375"/>
      <c r="D70" s="375"/>
      <c r="E70" s="375"/>
      <c r="F70" s="375"/>
      <c r="G70" s="375"/>
      <c r="H70" s="375"/>
      <c r="I70" s="375"/>
      <c r="J70" s="375"/>
      <c r="K70" s="139"/>
      <c r="L70" s="140"/>
      <c r="M70" s="139"/>
      <c r="N70" s="139"/>
      <c r="O70" s="139"/>
      <c r="P70" s="141"/>
      <c r="Q70" s="377"/>
      <c r="R70" s="142"/>
      <c r="S70" s="142"/>
      <c r="T70" s="142"/>
      <c r="U70" s="142"/>
      <c r="V70" s="375"/>
      <c r="W70" s="378"/>
    </row>
    <row r="71" spans="1:23" ht="69.95" customHeight="1" x14ac:dyDescent="0.25">
      <c r="A71" s="1"/>
      <c r="B71" s="374"/>
      <c r="C71" s="375"/>
      <c r="D71" s="375"/>
      <c r="E71" s="375"/>
      <c r="F71" s="375"/>
      <c r="G71" s="375"/>
      <c r="H71" s="375"/>
      <c r="I71" s="375"/>
      <c r="J71" s="375"/>
      <c r="K71" s="139"/>
      <c r="L71" s="140"/>
      <c r="M71" s="139"/>
      <c r="N71" s="139"/>
      <c r="O71" s="139"/>
      <c r="P71" s="141"/>
      <c r="Q71" s="377"/>
      <c r="R71" s="142"/>
      <c r="S71" s="142"/>
      <c r="T71" s="142"/>
      <c r="U71" s="142"/>
      <c r="V71" s="375"/>
      <c r="W71" s="378"/>
    </row>
    <row r="72" spans="1:23" ht="69.95" customHeight="1" x14ac:dyDescent="0.25">
      <c r="A72" s="1"/>
      <c r="B72" s="374"/>
      <c r="C72" s="375"/>
      <c r="D72" s="375"/>
      <c r="E72" s="375"/>
      <c r="F72" s="375"/>
      <c r="G72" s="375"/>
      <c r="H72" s="375"/>
      <c r="I72" s="375"/>
      <c r="J72" s="375"/>
      <c r="K72" s="139"/>
      <c r="L72" s="140"/>
      <c r="M72" s="139"/>
      <c r="N72" s="139"/>
      <c r="O72" s="139"/>
      <c r="P72" s="141"/>
      <c r="Q72" s="377"/>
      <c r="R72" s="142"/>
      <c r="S72" s="142"/>
      <c r="T72" s="142"/>
      <c r="U72" s="142"/>
      <c r="V72" s="375"/>
      <c r="W72" s="378"/>
    </row>
    <row r="73" spans="1:23" ht="69.95" customHeight="1" x14ac:dyDescent="0.25">
      <c r="A73" s="1"/>
      <c r="B73" s="374"/>
      <c r="C73" s="375"/>
      <c r="D73" s="375"/>
      <c r="E73" s="375"/>
      <c r="F73" s="375"/>
      <c r="G73" s="375"/>
      <c r="H73" s="375"/>
      <c r="I73" s="375"/>
      <c r="J73" s="375"/>
      <c r="K73" s="139"/>
      <c r="L73" s="140"/>
      <c r="M73" s="139"/>
      <c r="N73" s="139"/>
      <c r="O73" s="139"/>
      <c r="P73" s="141"/>
      <c r="Q73" s="377"/>
      <c r="R73" s="142"/>
      <c r="S73" s="142"/>
      <c r="T73" s="142"/>
      <c r="U73" s="142"/>
      <c r="V73" s="375"/>
      <c r="W73" s="378"/>
    </row>
    <row r="74" spans="1:23" ht="69.95" customHeight="1" x14ac:dyDescent="0.25">
      <c r="A74" s="1"/>
      <c r="B74" s="374"/>
      <c r="C74" s="375"/>
      <c r="D74" s="375"/>
      <c r="E74" s="375"/>
      <c r="F74" s="375"/>
      <c r="G74" s="375"/>
      <c r="H74" s="375"/>
      <c r="I74" s="375"/>
      <c r="J74" s="375"/>
      <c r="K74" s="139"/>
      <c r="L74" s="140"/>
      <c r="M74" s="139"/>
      <c r="N74" s="139"/>
      <c r="O74" s="139"/>
      <c r="P74" s="141"/>
      <c r="Q74" s="377"/>
      <c r="R74" s="142"/>
      <c r="S74" s="142"/>
      <c r="T74" s="142"/>
      <c r="U74" s="142"/>
      <c r="V74" s="375"/>
      <c r="W74" s="378"/>
    </row>
    <row r="75" spans="1:23" ht="69.95" customHeight="1" x14ac:dyDescent="0.25">
      <c r="A75" s="1"/>
      <c r="B75" s="143"/>
      <c r="C75" s="139"/>
      <c r="D75" s="139"/>
      <c r="E75" s="139"/>
      <c r="F75" s="139"/>
      <c r="G75" s="139"/>
      <c r="H75" s="139"/>
      <c r="I75" s="139"/>
      <c r="J75" s="139"/>
      <c r="K75" s="139"/>
      <c r="L75" s="140"/>
      <c r="M75" s="139"/>
      <c r="N75" s="139"/>
      <c r="O75" s="139"/>
      <c r="P75" s="141"/>
      <c r="Q75" s="140"/>
      <c r="R75" s="142"/>
      <c r="S75" s="142"/>
      <c r="T75" s="142"/>
      <c r="U75" s="142"/>
      <c r="V75" s="139"/>
      <c r="W75" s="144"/>
    </row>
    <row r="76" spans="1:23" ht="39" customHeight="1" x14ac:dyDescent="0.25">
      <c r="A76" s="1"/>
      <c r="B76" s="336"/>
      <c r="C76" s="337"/>
      <c r="D76" s="337"/>
      <c r="E76" s="337"/>
      <c r="F76" s="337"/>
      <c r="G76" s="337"/>
      <c r="H76" s="337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127"/>
    </row>
    <row r="77" spans="1:23" ht="60" customHeight="1" x14ac:dyDescent="0.25">
      <c r="A77" s="1"/>
      <c r="B77" s="21"/>
      <c r="C77" s="323" t="s">
        <v>17</v>
      </c>
      <c r="D77" s="323"/>
      <c r="E77" s="338" t="s">
        <v>194</v>
      </c>
      <c r="F77" s="381"/>
      <c r="G77" s="22"/>
      <c r="H77" s="49"/>
      <c r="I77" s="323" t="s">
        <v>110</v>
      </c>
      <c r="J77" s="323"/>
      <c r="K77" s="323"/>
      <c r="L77" s="331" t="s">
        <v>195</v>
      </c>
      <c r="M77" s="380"/>
      <c r="N77" s="49"/>
      <c r="O77" s="49"/>
      <c r="P77" s="49"/>
      <c r="Q77" s="49"/>
      <c r="R77" s="1"/>
      <c r="S77" s="55"/>
      <c r="T77" s="56"/>
      <c r="U77" s="1"/>
      <c r="V77" s="1"/>
      <c r="W77" s="8"/>
    </row>
    <row r="78" spans="1:23" s="46" customFormat="1" ht="60" customHeight="1" x14ac:dyDescent="0.55000000000000004">
      <c r="A78" s="27"/>
      <c r="B78" s="24"/>
      <c r="C78" s="25"/>
      <c r="D78" s="25"/>
      <c r="E78" s="25"/>
      <c r="F78" s="25"/>
      <c r="G78" s="25"/>
      <c r="H78" s="25"/>
      <c r="I78" s="323"/>
      <c r="J78" s="323"/>
      <c r="K78" s="323"/>
      <c r="L78" s="57"/>
      <c r="M78" s="25"/>
      <c r="N78" s="25"/>
      <c r="O78" s="25"/>
      <c r="P78" s="25"/>
      <c r="Q78" s="26"/>
      <c r="R78" s="58"/>
      <c r="S78" s="27"/>
      <c r="T78" s="27"/>
      <c r="U78" s="30" t="s">
        <v>109</v>
      </c>
      <c r="V78" s="27"/>
      <c r="W78" s="59"/>
    </row>
    <row r="79" spans="1:23" ht="60" customHeight="1" x14ac:dyDescent="0.25">
      <c r="A79" s="1"/>
      <c r="B79" s="21"/>
      <c r="C79" s="323" t="s">
        <v>18</v>
      </c>
      <c r="D79" s="323"/>
      <c r="E79" s="10"/>
      <c r="F79" s="60"/>
      <c r="G79" s="61"/>
      <c r="H79" s="50"/>
      <c r="I79" s="324" t="s">
        <v>18</v>
      </c>
      <c r="J79" s="324"/>
      <c r="K79" s="1"/>
      <c r="L79" s="379"/>
      <c r="M79" s="379"/>
      <c r="N79" s="50"/>
      <c r="O79" s="50"/>
      <c r="P79" s="50"/>
      <c r="Q79" s="50"/>
      <c r="R79" s="1"/>
      <c r="S79" s="1"/>
      <c r="T79" s="1"/>
      <c r="U79" s="1"/>
      <c r="V79" s="3"/>
      <c r="W79" s="62"/>
    </row>
    <row r="80" spans="1:23" s="46" customFormat="1" ht="39" customHeight="1" x14ac:dyDescent="0.55000000000000004">
      <c r="A80" s="27"/>
      <c r="B80" s="28"/>
      <c r="C80" s="25"/>
      <c r="D80" s="25"/>
      <c r="E80" s="25"/>
      <c r="F80" s="25"/>
      <c r="G80" s="25"/>
      <c r="H80" s="25"/>
      <c r="I80" s="25"/>
      <c r="J80" s="29"/>
      <c r="K80" s="25"/>
      <c r="L80" s="26"/>
      <c r="M80" s="26"/>
      <c r="N80" s="26"/>
      <c r="O80" s="26"/>
      <c r="P80" s="26"/>
      <c r="Q80" s="26"/>
      <c r="R80" s="27"/>
      <c r="S80" s="27"/>
      <c r="T80" s="27"/>
      <c r="U80" s="27"/>
      <c r="V80" s="327" t="s">
        <v>122</v>
      </c>
      <c r="W80" s="328"/>
    </row>
    <row r="81" spans="1:23" s="46" customFormat="1" ht="54" customHeight="1" x14ac:dyDescent="0.55000000000000004">
      <c r="A81" s="27"/>
      <c r="B81" s="63"/>
      <c r="C81" s="64"/>
      <c r="D81" s="65"/>
      <c r="E81" s="66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8"/>
      <c r="Q81" s="68"/>
      <c r="R81" s="69"/>
      <c r="S81" s="69"/>
      <c r="T81" s="69"/>
      <c r="U81" s="69"/>
      <c r="V81" s="326"/>
      <c r="W81" s="329"/>
    </row>
  </sheetData>
  <protectedRanges>
    <protectedRange sqref="M16:M19 M22:M25 Q23:Q25 M28:M31 Q29:Q31 M34:M37 Q35:Q37 M40:M43 Q41:Q43 M46:M49 B63:C73 B76:W76 Q47:Q49 E63:O75 M52:M55 Q53:Q55 M58:M61 Q59:Q61 Q63:W75 B15:D62 H15:K62" name="p40ae67166de39ef3f3ec01bbdae900a3"/>
    <protectedRange sqref="U6:U8 S6:S8 W6:W8" name="pc594b6ecd9b303ee1785ffe3b4f4380d_1"/>
    <protectedRange sqref="L11 M7 E11:E12 L6:L7 M9 L8:M8 L12:M12" name="p547f5a980904daf0dfa79ab76f7eb7f1_1"/>
    <protectedRange sqref="E6:E8 D6:D9 G5:G6" name="p915cfce853e1a0fa81a642efe2ca8f86_1"/>
    <protectedRange sqref="C81 S77:T77 U78" name="p62f34c08bc43a732167a4cb2a22494e9"/>
    <protectedRange sqref="H77 J81:K81 H79 E79 E81 E77 M79:Q79 J77 L77:Q77" name="pd76f2506e825e80154285506ac3cb46a_1"/>
    <protectedRange sqref="L9" name="p547f5a980904daf0dfa79ab76f7eb7f1_1_1"/>
    <protectedRange sqref="E15:E20" name="p40ae67166de39ef3f3ec01bbdae900a3_1"/>
    <protectedRange sqref="E21:E26" name="p40ae67166de39ef3f3ec01bbdae900a3_2"/>
    <protectedRange sqref="E27:E32" name="p40ae67166de39ef3f3ec01bbdae900a3_3"/>
    <protectedRange sqref="E33:E38" name="p40ae67166de39ef3f3ec01bbdae900a3_4"/>
    <protectedRange sqref="E39:E44" name="p40ae67166de39ef3f3ec01bbdae900a3_5"/>
    <protectedRange sqref="E45:E50" name="p40ae67166de39ef3f3ec01bbdae900a3_6"/>
    <protectedRange sqref="E51:E56" name="p40ae67166de39ef3f3ec01bbdae900a3_7"/>
    <protectedRange sqref="E57:E62" name="p40ae67166de39ef3f3ec01bbdae900a3_8"/>
    <protectedRange sqref="F15:F62" name="p40ae67166de39ef3f3ec01bbdae900a3_9"/>
    <protectedRange sqref="G15:G62" name="p40ae67166de39ef3f3ec01bbdae900a3_10"/>
    <protectedRange sqref="Q17:Q19" name="p40ae67166de39ef3f3ec01bbdae900a3_11"/>
    <protectedRange sqref="W15:W16 W26:W28 W32:W34 W38:W40 W44:W46 W20:W22 W50:W52 W56:W58 R62:U62 W62 R15:U16 R17:W19 R20:U22 R23:W25 R26:U28 R29:W31 R32:U34 R35:W37 R38:U40 R41:W43 R44:U46 R47:W49 R50:U52 R53:W55 R56:U58 R59:W61" name="p40ae67166de39ef3f3ec01bbdae900a3_12"/>
  </protectedRanges>
  <mergeCells count="99">
    <mergeCell ref="B2:E3"/>
    <mergeCell ref="F2:U3"/>
    <mergeCell ref="V2:W2"/>
    <mergeCell ref="B13:B14"/>
    <mergeCell ref="C13:C14"/>
    <mergeCell ref="D13:D14"/>
    <mergeCell ref="E13:E14"/>
    <mergeCell ref="F13:F14"/>
    <mergeCell ref="G13:G14"/>
    <mergeCell ref="T13:W13"/>
    <mergeCell ref="V14:W14"/>
    <mergeCell ref="J13:J14"/>
    <mergeCell ref="K13:K14"/>
    <mergeCell ref="L13:Q13"/>
    <mergeCell ref="R13:S13"/>
    <mergeCell ref="G15:G20"/>
    <mergeCell ref="H15:H20"/>
    <mergeCell ref="I15:I20"/>
    <mergeCell ref="H13:H14"/>
    <mergeCell ref="I13:I14"/>
    <mergeCell ref="B15:B20"/>
    <mergeCell ref="C15:C20"/>
    <mergeCell ref="D15:D20"/>
    <mergeCell ref="E15:E20"/>
    <mergeCell ref="F15:F20"/>
    <mergeCell ref="G27:G32"/>
    <mergeCell ref="H27:H32"/>
    <mergeCell ref="I27:I32"/>
    <mergeCell ref="B21:B26"/>
    <mergeCell ref="C21:C26"/>
    <mergeCell ref="D21:D26"/>
    <mergeCell ref="E21:E26"/>
    <mergeCell ref="F21:F26"/>
    <mergeCell ref="G21:G26"/>
    <mergeCell ref="H21:H26"/>
    <mergeCell ref="I21:I26"/>
    <mergeCell ref="B27:B32"/>
    <mergeCell ref="C27:C32"/>
    <mergeCell ref="D27:D32"/>
    <mergeCell ref="E27:E32"/>
    <mergeCell ref="F27:F32"/>
    <mergeCell ref="G39:G44"/>
    <mergeCell ref="H39:H44"/>
    <mergeCell ref="I39:I44"/>
    <mergeCell ref="B33:B38"/>
    <mergeCell ref="C33:C38"/>
    <mergeCell ref="D33:D38"/>
    <mergeCell ref="E33:E38"/>
    <mergeCell ref="F33:F38"/>
    <mergeCell ref="G33:G38"/>
    <mergeCell ref="H33:H38"/>
    <mergeCell ref="I33:I38"/>
    <mergeCell ref="B39:B44"/>
    <mergeCell ref="C39:C44"/>
    <mergeCell ref="D39:D44"/>
    <mergeCell ref="E39:E44"/>
    <mergeCell ref="F39:F44"/>
    <mergeCell ref="G51:G56"/>
    <mergeCell ref="H51:H56"/>
    <mergeCell ref="I51:I56"/>
    <mergeCell ref="B45:B50"/>
    <mergeCell ref="C45:C50"/>
    <mergeCell ref="D45:D50"/>
    <mergeCell ref="E45:E50"/>
    <mergeCell ref="F45:F50"/>
    <mergeCell ref="G45:G50"/>
    <mergeCell ref="H45:H50"/>
    <mergeCell ref="I45:I50"/>
    <mergeCell ref="B51:B56"/>
    <mergeCell ref="C51:C56"/>
    <mergeCell ref="D51:D56"/>
    <mergeCell ref="E51:E56"/>
    <mergeCell ref="F51:F56"/>
    <mergeCell ref="G57:G62"/>
    <mergeCell ref="H57:H62"/>
    <mergeCell ref="I57:I62"/>
    <mergeCell ref="B63:B68"/>
    <mergeCell ref="C63:J68"/>
    <mergeCell ref="B57:B62"/>
    <mergeCell ref="C57:C62"/>
    <mergeCell ref="D57:D62"/>
    <mergeCell ref="E57:E62"/>
    <mergeCell ref="F57:F62"/>
    <mergeCell ref="B69:B74"/>
    <mergeCell ref="C69:J74"/>
    <mergeCell ref="Q63:Q68"/>
    <mergeCell ref="V80:W80"/>
    <mergeCell ref="V81:W81"/>
    <mergeCell ref="Q69:Q74"/>
    <mergeCell ref="V69:W74"/>
    <mergeCell ref="B76:V76"/>
    <mergeCell ref="C79:D79"/>
    <mergeCell ref="I79:J79"/>
    <mergeCell ref="L79:M79"/>
    <mergeCell ref="C77:D77"/>
    <mergeCell ref="I77:K78"/>
    <mergeCell ref="L77:M77"/>
    <mergeCell ref="E77:F77"/>
    <mergeCell ref="V63:W68"/>
  </mergeCells>
  <conditionalFormatting sqref="W4">
    <cfRule type="cellIs" dxfId="11" priority="1" operator="equal">
      <formula>"DEFECT"</formula>
    </cfRule>
    <cfRule type="cellIs" dxfId="10" priority="2" operator="equal">
      <formula>"MONITOR"</formula>
    </cfRule>
  </conditionalFormatting>
  <dataValidations count="5">
    <dataValidation type="list" allowBlank="1" showInputMessage="1" sqref="E15:E62" xr:uid="{1CA9FE26-484A-4906-9379-DBAB6FFAA811}">
      <formula1>"XLPE,PILC,N/A,NOT ACCESSIBLE"</formula1>
    </dataValidation>
    <dataValidation type="list" allowBlank="1" showInputMessage="1" sqref="F15:F62" xr:uid="{49088F40-CAC8-48F2-A3A8-801B59EBB645}">
      <formula1>"SERVICE,TEST,RACK OUT,N/A"</formula1>
    </dataValidation>
    <dataValidation type="list" allowBlank="1" showInputMessage="1" sqref="G15:G62" xr:uid="{A020EB7F-DFBE-4B32-9A37-3BCBD48D5F43}">
      <formula1>"CLOSE,TRIP,N/A"</formula1>
    </dataValidation>
    <dataValidation type="list" allowBlank="1" showInputMessage="1" sqref="H15:H62" xr:uid="{D2825204-BD7C-4423-AEEC-F68BB1727BAC}">
      <formula1>"MAIN,RESERVE,N/A"</formula1>
    </dataValidation>
    <dataValidation type="list" allowBlank="1" showInputMessage="1" showErrorMessage="1" sqref="W4" xr:uid="{0829A357-F9CD-4F6D-A9FF-72940D57DE23}">
      <formula1>"NORMAL,DEFECT,MONITOR"</formula1>
    </dataValidation>
  </dataValidations>
  <pageMargins left="3.937007874015748E-2" right="3.937007874015748E-2" top="0" bottom="0" header="0.31496062992125984" footer="0.31496062992125984"/>
  <pageSetup scale="11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8DC6-71E9-49B7-A0C5-17E4B1E57328}">
  <sheetPr>
    <tabColor rgb="FF92D050"/>
    <pageSetUpPr fitToPage="1"/>
  </sheetPr>
  <dimension ref="A1:W81"/>
  <sheetViews>
    <sheetView topLeftCell="M1" zoomScale="30" zoomScaleNormal="40" workbookViewId="0">
      <selection activeCell="W4" sqref="W4"/>
    </sheetView>
  </sheetViews>
  <sheetFormatPr defaultRowHeight="12.75" customHeight="1" x14ac:dyDescent="0.25"/>
  <cols>
    <col min="1" max="1" width="9.140625" style="45"/>
    <col min="2" max="2" width="22.7109375" style="45" customWidth="1"/>
    <col min="3" max="3" width="63.7109375" style="45" customWidth="1"/>
    <col min="4" max="4" width="110.7109375" style="45" customWidth="1"/>
    <col min="5" max="8" width="50.140625" style="45" customWidth="1"/>
    <col min="9" max="10" width="43" style="45" customWidth="1"/>
    <col min="11" max="11" width="88.42578125" style="45" customWidth="1"/>
    <col min="12" max="16" width="64.7109375" style="45" customWidth="1"/>
    <col min="17" max="17" width="85.85546875" style="45" customWidth="1"/>
    <col min="18" max="20" width="42.85546875" style="45" customWidth="1"/>
    <col min="21" max="21" width="85.5703125" style="45" customWidth="1"/>
    <col min="22" max="22" width="57" style="45" customWidth="1"/>
    <col min="23" max="23" width="42.7109375" style="45" customWidth="1"/>
    <col min="24" max="247" width="9.140625" style="45"/>
    <col min="248" max="248" width="16" style="45" customWidth="1"/>
    <col min="249" max="249" width="27.7109375" style="45" customWidth="1"/>
    <col min="250" max="250" width="65.7109375" style="45" customWidth="1"/>
    <col min="251" max="251" width="21.85546875" style="45" bestFit="1" customWidth="1"/>
    <col min="252" max="252" width="30.140625" style="45" customWidth="1"/>
    <col min="253" max="253" width="62" style="45" customWidth="1"/>
    <col min="254" max="254" width="44" style="45" customWidth="1"/>
    <col min="255" max="255" width="43.140625" style="45" customWidth="1"/>
    <col min="256" max="256" width="45" style="45" customWidth="1"/>
    <col min="257" max="257" width="35.5703125" style="45" customWidth="1"/>
    <col min="258" max="258" width="37.140625" style="45" customWidth="1"/>
    <col min="259" max="259" width="76.7109375" style="45" customWidth="1"/>
    <col min="260" max="260" width="37.7109375" style="45" customWidth="1"/>
    <col min="261" max="261" width="37.85546875" style="45" customWidth="1"/>
    <col min="262" max="262" width="39.85546875" style="45" customWidth="1"/>
    <col min="263" max="263" width="53.140625" style="45" customWidth="1"/>
    <col min="264" max="264" width="35.28515625" style="45" customWidth="1"/>
    <col min="265" max="265" width="31" style="45" customWidth="1"/>
    <col min="266" max="266" width="29.140625" style="45" customWidth="1"/>
    <col min="267" max="267" width="30.140625" style="45" customWidth="1"/>
    <col min="268" max="268" width="49.140625" style="45" customWidth="1"/>
    <col min="269" max="269" width="31.85546875" style="45" customWidth="1"/>
    <col min="270" max="270" width="39.140625" style="45" customWidth="1"/>
    <col min="271" max="271" width="53" style="45" bestFit="1" customWidth="1"/>
    <col min="272" max="272" width="33.42578125" style="45" bestFit="1" customWidth="1"/>
    <col min="273" max="273" width="28.140625" style="45" customWidth="1"/>
    <col min="274" max="278" width="6.7109375" style="45" customWidth="1"/>
    <col min="279" max="279" width="1.7109375" style="45" customWidth="1"/>
    <col min="280" max="503" width="9.140625" style="45"/>
    <col min="504" max="504" width="16" style="45" customWidth="1"/>
    <col min="505" max="505" width="27.7109375" style="45" customWidth="1"/>
    <col min="506" max="506" width="65.7109375" style="45" customWidth="1"/>
    <col min="507" max="507" width="21.85546875" style="45" bestFit="1" customWidth="1"/>
    <col min="508" max="508" width="30.140625" style="45" customWidth="1"/>
    <col min="509" max="509" width="62" style="45" customWidth="1"/>
    <col min="510" max="510" width="44" style="45" customWidth="1"/>
    <col min="511" max="511" width="43.140625" style="45" customWidth="1"/>
    <col min="512" max="512" width="45" style="45" customWidth="1"/>
    <col min="513" max="513" width="35.5703125" style="45" customWidth="1"/>
    <col min="514" max="514" width="37.140625" style="45" customWidth="1"/>
    <col min="515" max="515" width="76.7109375" style="45" customWidth="1"/>
    <col min="516" max="516" width="37.7109375" style="45" customWidth="1"/>
    <col min="517" max="517" width="37.85546875" style="45" customWidth="1"/>
    <col min="518" max="518" width="39.85546875" style="45" customWidth="1"/>
    <col min="519" max="519" width="53.140625" style="45" customWidth="1"/>
    <col min="520" max="520" width="35.28515625" style="45" customWidth="1"/>
    <col min="521" max="521" width="31" style="45" customWidth="1"/>
    <col min="522" max="522" width="29.140625" style="45" customWidth="1"/>
    <col min="523" max="523" width="30.140625" style="45" customWidth="1"/>
    <col min="524" max="524" width="49.140625" style="45" customWidth="1"/>
    <col min="525" max="525" width="31.85546875" style="45" customWidth="1"/>
    <col min="526" max="526" width="39.140625" style="45" customWidth="1"/>
    <col min="527" max="527" width="53" style="45" bestFit="1" customWidth="1"/>
    <col min="528" max="528" width="33.42578125" style="45" bestFit="1" customWidth="1"/>
    <col min="529" max="529" width="28.140625" style="45" customWidth="1"/>
    <col min="530" max="534" width="6.7109375" style="45" customWidth="1"/>
    <col min="535" max="535" width="1.7109375" style="45" customWidth="1"/>
    <col min="536" max="759" width="9.140625" style="45"/>
    <col min="760" max="760" width="16" style="45" customWidth="1"/>
    <col min="761" max="761" width="27.7109375" style="45" customWidth="1"/>
    <col min="762" max="762" width="65.7109375" style="45" customWidth="1"/>
    <col min="763" max="763" width="21.85546875" style="45" bestFit="1" customWidth="1"/>
    <col min="764" max="764" width="30.140625" style="45" customWidth="1"/>
    <col min="765" max="765" width="62" style="45" customWidth="1"/>
    <col min="766" max="766" width="44" style="45" customWidth="1"/>
    <col min="767" max="767" width="43.140625" style="45" customWidth="1"/>
    <col min="768" max="768" width="45" style="45" customWidth="1"/>
    <col min="769" max="769" width="35.5703125" style="45" customWidth="1"/>
    <col min="770" max="770" width="37.140625" style="45" customWidth="1"/>
    <col min="771" max="771" width="76.7109375" style="45" customWidth="1"/>
    <col min="772" max="772" width="37.7109375" style="45" customWidth="1"/>
    <col min="773" max="773" width="37.85546875" style="45" customWidth="1"/>
    <col min="774" max="774" width="39.85546875" style="45" customWidth="1"/>
    <col min="775" max="775" width="53.140625" style="45" customWidth="1"/>
    <col min="776" max="776" width="35.28515625" style="45" customWidth="1"/>
    <col min="777" max="777" width="31" style="45" customWidth="1"/>
    <col min="778" max="778" width="29.140625" style="45" customWidth="1"/>
    <col min="779" max="779" width="30.140625" style="45" customWidth="1"/>
    <col min="780" max="780" width="49.140625" style="45" customWidth="1"/>
    <col min="781" max="781" width="31.85546875" style="45" customWidth="1"/>
    <col min="782" max="782" width="39.140625" style="45" customWidth="1"/>
    <col min="783" max="783" width="53" style="45" bestFit="1" customWidth="1"/>
    <col min="784" max="784" width="33.42578125" style="45" bestFit="1" customWidth="1"/>
    <col min="785" max="785" width="28.140625" style="45" customWidth="1"/>
    <col min="786" max="790" width="6.7109375" style="45" customWidth="1"/>
    <col min="791" max="791" width="1.7109375" style="45" customWidth="1"/>
    <col min="792" max="1015" width="9.140625" style="45"/>
    <col min="1016" max="1016" width="16" style="45" customWidth="1"/>
    <col min="1017" max="1017" width="27.7109375" style="45" customWidth="1"/>
    <col min="1018" max="1018" width="65.7109375" style="45" customWidth="1"/>
    <col min="1019" max="1019" width="21.85546875" style="45" bestFit="1" customWidth="1"/>
    <col min="1020" max="1020" width="30.140625" style="45" customWidth="1"/>
    <col min="1021" max="1021" width="62" style="45" customWidth="1"/>
    <col min="1022" max="1022" width="44" style="45" customWidth="1"/>
    <col min="1023" max="1023" width="43.140625" style="45" customWidth="1"/>
    <col min="1024" max="1024" width="45" style="45" customWidth="1"/>
    <col min="1025" max="1025" width="35.5703125" style="45" customWidth="1"/>
    <col min="1026" max="1026" width="37.140625" style="45" customWidth="1"/>
    <col min="1027" max="1027" width="76.7109375" style="45" customWidth="1"/>
    <col min="1028" max="1028" width="37.7109375" style="45" customWidth="1"/>
    <col min="1029" max="1029" width="37.85546875" style="45" customWidth="1"/>
    <col min="1030" max="1030" width="39.85546875" style="45" customWidth="1"/>
    <col min="1031" max="1031" width="53.140625" style="45" customWidth="1"/>
    <col min="1032" max="1032" width="35.28515625" style="45" customWidth="1"/>
    <col min="1033" max="1033" width="31" style="45" customWidth="1"/>
    <col min="1034" max="1034" width="29.140625" style="45" customWidth="1"/>
    <col min="1035" max="1035" width="30.140625" style="45" customWidth="1"/>
    <col min="1036" max="1036" width="49.140625" style="45" customWidth="1"/>
    <col min="1037" max="1037" width="31.85546875" style="45" customWidth="1"/>
    <col min="1038" max="1038" width="39.140625" style="45" customWidth="1"/>
    <col min="1039" max="1039" width="53" style="45" bestFit="1" customWidth="1"/>
    <col min="1040" max="1040" width="33.42578125" style="45" bestFit="1" customWidth="1"/>
    <col min="1041" max="1041" width="28.140625" style="45" customWidth="1"/>
    <col min="1042" max="1046" width="6.7109375" style="45" customWidth="1"/>
    <col min="1047" max="1047" width="1.7109375" style="45" customWidth="1"/>
    <col min="1048" max="1271" width="9.140625" style="45"/>
    <col min="1272" max="1272" width="16" style="45" customWidth="1"/>
    <col min="1273" max="1273" width="27.7109375" style="45" customWidth="1"/>
    <col min="1274" max="1274" width="65.7109375" style="45" customWidth="1"/>
    <col min="1275" max="1275" width="21.85546875" style="45" bestFit="1" customWidth="1"/>
    <col min="1276" max="1276" width="30.140625" style="45" customWidth="1"/>
    <col min="1277" max="1277" width="62" style="45" customWidth="1"/>
    <col min="1278" max="1278" width="44" style="45" customWidth="1"/>
    <col min="1279" max="1279" width="43.140625" style="45" customWidth="1"/>
    <col min="1280" max="1280" width="45" style="45" customWidth="1"/>
    <col min="1281" max="1281" width="35.5703125" style="45" customWidth="1"/>
    <col min="1282" max="1282" width="37.140625" style="45" customWidth="1"/>
    <col min="1283" max="1283" width="76.7109375" style="45" customWidth="1"/>
    <col min="1284" max="1284" width="37.7109375" style="45" customWidth="1"/>
    <col min="1285" max="1285" width="37.85546875" style="45" customWidth="1"/>
    <col min="1286" max="1286" width="39.85546875" style="45" customWidth="1"/>
    <col min="1287" max="1287" width="53.140625" style="45" customWidth="1"/>
    <col min="1288" max="1288" width="35.28515625" style="45" customWidth="1"/>
    <col min="1289" max="1289" width="31" style="45" customWidth="1"/>
    <col min="1290" max="1290" width="29.140625" style="45" customWidth="1"/>
    <col min="1291" max="1291" width="30.140625" style="45" customWidth="1"/>
    <col min="1292" max="1292" width="49.140625" style="45" customWidth="1"/>
    <col min="1293" max="1293" width="31.85546875" style="45" customWidth="1"/>
    <col min="1294" max="1294" width="39.140625" style="45" customWidth="1"/>
    <col min="1295" max="1295" width="53" style="45" bestFit="1" customWidth="1"/>
    <col min="1296" max="1296" width="33.42578125" style="45" bestFit="1" customWidth="1"/>
    <col min="1297" max="1297" width="28.140625" style="45" customWidth="1"/>
    <col min="1298" max="1302" width="6.7109375" style="45" customWidth="1"/>
    <col min="1303" max="1303" width="1.7109375" style="45" customWidth="1"/>
    <col min="1304" max="1527" width="9.140625" style="45"/>
    <col min="1528" max="1528" width="16" style="45" customWidth="1"/>
    <col min="1529" max="1529" width="27.7109375" style="45" customWidth="1"/>
    <col min="1530" max="1530" width="65.7109375" style="45" customWidth="1"/>
    <col min="1531" max="1531" width="21.85546875" style="45" bestFit="1" customWidth="1"/>
    <col min="1532" max="1532" width="30.140625" style="45" customWidth="1"/>
    <col min="1533" max="1533" width="62" style="45" customWidth="1"/>
    <col min="1534" max="1534" width="44" style="45" customWidth="1"/>
    <col min="1535" max="1535" width="43.140625" style="45" customWidth="1"/>
    <col min="1536" max="1536" width="45" style="45" customWidth="1"/>
    <col min="1537" max="1537" width="35.5703125" style="45" customWidth="1"/>
    <col min="1538" max="1538" width="37.140625" style="45" customWidth="1"/>
    <col min="1539" max="1539" width="76.7109375" style="45" customWidth="1"/>
    <col min="1540" max="1540" width="37.7109375" style="45" customWidth="1"/>
    <col min="1541" max="1541" width="37.85546875" style="45" customWidth="1"/>
    <col min="1542" max="1542" width="39.85546875" style="45" customWidth="1"/>
    <col min="1543" max="1543" width="53.140625" style="45" customWidth="1"/>
    <col min="1544" max="1544" width="35.28515625" style="45" customWidth="1"/>
    <col min="1545" max="1545" width="31" style="45" customWidth="1"/>
    <col min="1546" max="1546" width="29.140625" style="45" customWidth="1"/>
    <col min="1547" max="1547" width="30.140625" style="45" customWidth="1"/>
    <col min="1548" max="1548" width="49.140625" style="45" customWidth="1"/>
    <col min="1549" max="1549" width="31.85546875" style="45" customWidth="1"/>
    <col min="1550" max="1550" width="39.140625" style="45" customWidth="1"/>
    <col min="1551" max="1551" width="53" style="45" bestFit="1" customWidth="1"/>
    <col min="1552" max="1552" width="33.42578125" style="45" bestFit="1" customWidth="1"/>
    <col min="1553" max="1553" width="28.140625" style="45" customWidth="1"/>
    <col min="1554" max="1558" width="6.7109375" style="45" customWidth="1"/>
    <col min="1559" max="1559" width="1.7109375" style="45" customWidth="1"/>
    <col min="1560" max="1783" width="9.140625" style="45"/>
    <col min="1784" max="1784" width="16" style="45" customWidth="1"/>
    <col min="1785" max="1785" width="27.7109375" style="45" customWidth="1"/>
    <col min="1786" max="1786" width="65.7109375" style="45" customWidth="1"/>
    <col min="1787" max="1787" width="21.85546875" style="45" bestFit="1" customWidth="1"/>
    <col min="1788" max="1788" width="30.140625" style="45" customWidth="1"/>
    <col min="1789" max="1789" width="62" style="45" customWidth="1"/>
    <col min="1790" max="1790" width="44" style="45" customWidth="1"/>
    <col min="1791" max="1791" width="43.140625" style="45" customWidth="1"/>
    <col min="1792" max="1792" width="45" style="45" customWidth="1"/>
    <col min="1793" max="1793" width="35.5703125" style="45" customWidth="1"/>
    <col min="1794" max="1794" width="37.140625" style="45" customWidth="1"/>
    <col min="1795" max="1795" width="76.7109375" style="45" customWidth="1"/>
    <col min="1796" max="1796" width="37.7109375" style="45" customWidth="1"/>
    <col min="1797" max="1797" width="37.85546875" style="45" customWidth="1"/>
    <col min="1798" max="1798" width="39.85546875" style="45" customWidth="1"/>
    <col min="1799" max="1799" width="53.140625" style="45" customWidth="1"/>
    <col min="1800" max="1800" width="35.28515625" style="45" customWidth="1"/>
    <col min="1801" max="1801" width="31" style="45" customWidth="1"/>
    <col min="1802" max="1802" width="29.140625" style="45" customWidth="1"/>
    <col min="1803" max="1803" width="30.140625" style="45" customWidth="1"/>
    <col min="1804" max="1804" width="49.140625" style="45" customWidth="1"/>
    <col min="1805" max="1805" width="31.85546875" style="45" customWidth="1"/>
    <col min="1806" max="1806" width="39.140625" style="45" customWidth="1"/>
    <col min="1807" max="1807" width="53" style="45" bestFit="1" customWidth="1"/>
    <col min="1808" max="1808" width="33.42578125" style="45" bestFit="1" customWidth="1"/>
    <col min="1809" max="1809" width="28.140625" style="45" customWidth="1"/>
    <col min="1810" max="1814" width="6.7109375" style="45" customWidth="1"/>
    <col min="1815" max="1815" width="1.7109375" style="45" customWidth="1"/>
    <col min="1816" max="2039" width="9.140625" style="45"/>
    <col min="2040" max="2040" width="16" style="45" customWidth="1"/>
    <col min="2041" max="2041" width="27.7109375" style="45" customWidth="1"/>
    <col min="2042" max="2042" width="65.7109375" style="45" customWidth="1"/>
    <col min="2043" max="2043" width="21.85546875" style="45" bestFit="1" customWidth="1"/>
    <col min="2044" max="2044" width="30.140625" style="45" customWidth="1"/>
    <col min="2045" max="2045" width="62" style="45" customWidth="1"/>
    <col min="2046" max="2046" width="44" style="45" customWidth="1"/>
    <col min="2047" max="2047" width="43.140625" style="45" customWidth="1"/>
    <col min="2048" max="2048" width="45" style="45" customWidth="1"/>
    <col min="2049" max="2049" width="35.5703125" style="45" customWidth="1"/>
    <col min="2050" max="2050" width="37.140625" style="45" customWidth="1"/>
    <col min="2051" max="2051" width="76.7109375" style="45" customWidth="1"/>
    <col min="2052" max="2052" width="37.7109375" style="45" customWidth="1"/>
    <col min="2053" max="2053" width="37.85546875" style="45" customWidth="1"/>
    <col min="2054" max="2054" width="39.85546875" style="45" customWidth="1"/>
    <col min="2055" max="2055" width="53.140625" style="45" customWidth="1"/>
    <col min="2056" max="2056" width="35.28515625" style="45" customWidth="1"/>
    <col min="2057" max="2057" width="31" style="45" customWidth="1"/>
    <col min="2058" max="2058" width="29.140625" style="45" customWidth="1"/>
    <col min="2059" max="2059" width="30.140625" style="45" customWidth="1"/>
    <col min="2060" max="2060" width="49.140625" style="45" customWidth="1"/>
    <col min="2061" max="2061" width="31.85546875" style="45" customWidth="1"/>
    <col min="2062" max="2062" width="39.140625" style="45" customWidth="1"/>
    <col min="2063" max="2063" width="53" style="45" bestFit="1" customWidth="1"/>
    <col min="2064" max="2064" width="33.42578125" style="45" bestFit="1" customWidth="1"/>
    <col min="2065" max="2065" width="28.140625" style="45" customWidth="1"/>
    <col min="2066" max="2070" width="6.7109375" style="45" customWidth="1"/>
    <col min="2071" max="2071" width="1.7109375" style="45" customWidth="1"/>
    <col min="2072" max="2295" width="9.140625" style="45"/>
    <col min="2296" max="2296" width="16" style="45" customWidth="1"/>
    <col min="2297" max="2297" width="27.7109375" style="45" customWidth="1"/>
    <col min="2298" max="2298" width="65.7109375" style="45" customWidth="1"/>
    <col min="2299" max="2299" width="21.85546875" style="45" bestFit="1" customWidth="1"/>
    <col min="2300" max="2300" width="30.140625" style="45" customWidth="1"/>
    <col min="2301" max="2301" width="62" style="45" customWidth="1"/>
    <col min="2302" max="2302" width="44" style="45" customWidth="1"/>
    <col min="2303" max="2303" width="43.140625" style="45" customWidth="1"/>
    <col min="2304" max="2304" width="45" style="45" customWidth="1"/>
    <col min="2305" max="2305" width="35.5703125" style="45" customWidth="1"/>
    <col min="2306" max="2306" width="37.140625" style="45" customWidth="1"/>
    <col min="2307" max="2307" width="76.7109375" style="45" customWidth="1"/>
    <col min="2308" max="2308" width="37.7109375" style="45" customWidth="1"/>
    <col min="2309" max="2309" width="37.85546875" style="45" customWidth="1"/>
    <col min="2310" max="2310" width="39.85546875" style="45" customWidth="1"/>
    <col min="2311" max="2311" width="53.140625" style="45" customWidth="1"/>
    <col min="2312" max="2312" width="35.28515625" style="45" customWidth="1"/>
    <col min="2313" max="2313" width="31" style="45" customWidth="1"/>
    <col min="2314" max="2314" width="29.140625" style="45" customWidth="1"/>
    <col min="2315" max="2315" width="30.140625" style="45" customWidth="1"/>
    <col min="2316" max="2316" width="49.140625" style="45" customWidth="1"/>
    <col min="2317" max="2317" width="31.85546875" style="45" customWidth="1"/>
    <col min="2318" max="2318" width="39.140625" style="45" customWidth="1"/>
    <col min="2319" max="2319" width="53" style="45" bestFit="1" customWidth="1"/>
    <col min="2320" max="2320" width="33.42578125" style="45" bestFit="1" customWidth="1"/>
    <col min="2321" max="2321" width="28.140625" style="45" customWidth="1"/>
    <col min="2322" max="2326" width="6.7109375" style="45" customWidth="1"/>
    <col min="2327" max="2327" width="1.7109375" style="45" customWidth="1"/>
    <col min="2328" max="2551" width="9.140625" style="45"/>
    <col min="2552" max="2552" width="16" style="45" customWidth="1"/>
    <col min="2553" max="2553" width="27.7109375" style="45" customWidth="1"/>
    <col min="2554" max="2554" width="65.7109375" style="45" customWidth="1"/>
    <col min="2555" max="2555" width="21.85546875" style="45" bestFit="1" customWidth="1"/>
    <col min="2556" max="2556" width="30.140625" style="45" customWidth="1"/>
    <col min="2557" max="2557" width="62" style="45" customWidth="1"/>
    <col min="2558" max="2558" width="44" style="45" customWidth="1"/>
    <col min="2559" max="2559" width="43.140625" style="45" customWidth="1"/>
    <col min="2560" max="2560" width="45" style="45" customWidth="1"/>
    <col min="2561" max="2561" width="35.5703125" style="45" customWidth="1"/>
    <col min="2562" max="2562" width="37.140625" style="45" customWidth="1"/>
    <col min="2563" max="2563" width="76.7109375" style="45" customWidth="1"/>
    <col min="2564" max="2564" width="37.7109375" style="45" customWidth="1"/>
    <col min="2565" max="2565" width="37.85546875" style="45" customWidth="1"/>
    <col min="2566" max="2566" width="39.85546875" style="45" customWidth="1"/>
    <col min="2567" max="2567" width="53.140625" style="45" customWidth="1"/>
    <col min="2568" max="2568" width="35.28515625" style="45" customWidth="1"/>
    <col min="2569" max="2569" width="31" style="45" customWidth="1"/>
    <col min="2570" max="2570" width="29.140625" style="45" customWidth="1"/>
    <col min="2571" max="2571" width="30.140625" style="45" customWidth="1"/>
    <col min="2572" max="2572" width="49.140625" style="45" customWidth="1"/>
    <col min="2573" max="2573" width="31.85546875" style="45" customWidth="1"/>
    <col min="2574" max="2574" width="39.140625" style="45" customWidth="1"/>
    <col min="2575" max="2575" width="53" style="45" bestFit="1" customWidth="1"/>
    <col min="2576" max="2576" width="33.42578125" style="45" bestFit="1" customWidth="1"/>
    <col min="2577" max="2577" width="28.140625" style="45" customWidth="1"/>
    <col min="2578" max="2582" width="6.7109375" style="45" customWidth="1"/>
    <col min="2583" max="2583" width="1.7109375" style="45" customWidth="1"/>
    <col min="2584" max="2807" width="9.140625" style="45"/>
    <col min="2808" max="2808" width="16" style="45" customWidth="1"/>
    <col min="2809" max="2809" width="27.7109375" style="45" customWidth="1"/>
    <col min="2810" max="2810" width="65.7109375" style="45" customWidth="1"/>
    <col min="2811" max="2811" width="21.85546875" style="45" bestFit="1" customWidth="1"/>
    <col min="2812" max="2812" width="30.140625" style="45" customWidth="1"/>
    <col min="2813" max="2813" width="62" style="45" customWidth="1"/>
    <col min="2814" max="2814" width="44" style="45" customWidth="1"/>
    <col min="2815" max="2815" width="43.140625" style="45" customWidth="1"/>
    <col min="2816" max="2816" width="45" style="45" customWidth="1"/>
    <col min="2817" max="2817" width="35.5703125" style="45" customWidth="1"/>
    <col min="2818" max="2818" width="37.140625" style="45" customWidth="1"/>
    <col min="2819" max="2819" width="76.7109375" style="45" customWidth="1"/>
    <col min="2820" max="2820" width="37.7109375" style="45" customWidth="1"/>
    <col min="2821" max="2821" width="37.85546875" style="45" customWidth="1"/>
    <col min="2822" max="2822" width="39.85546875" style="45" customWidth="1"/>
    <col min="2823" max="2823" width="53.140625" style="45" customWidth="1"/>
    <col min="2824" max="2824" width="35.28515625" style="45" customWidth="1"/>
    <col min="2825" max="2825" width="31" style="45" customWidth="1"/>
    <col min="2826" max="2826" width="29.140625" style="45" customWidth="1"/>
    <col min="2827" max="2827" width="30.140625" style="45" customWidth="1"/>
    <col min="2828" max="2828" width="49.140625" style="45" customWidth="1"/>
    <col min="2829" max="2829" width="31.85546875" style="45" customWidth="1"/>
    <col min="2830" max="2830" width="39.140625" style="45" customWidth="1"/>
    <col min="2831" max="2831" width="53" style="45" bestFit="1" customWidth="1"/>
    <col min="2832" max="2832" width="33.42578125" style="45" bestFit="1" customWidth="1"/>
    <col min="2833" max="2833" width="28.140625" style="45" customWidth="1"/>
    <col min="2834" max="2838" width="6.7109375" style="45" customWidth="1"/>
    <col min="2839" max="2839" width="1.7109375" style="45" customWidth="1"/>
    <col min="2840" max="3063" width="9.140625" style="45"/>
    <col min="3064" max="3064" width="16" style="45" customWidth="1"/>
    <col min="3065" max="3065" width="27.7109375" style="45" customWidth="1"/>
    <col min="3066" max="3066" width="65.7109375" style="45" customWidth="1"/>
    <col min="3067" max="3067" width="21.85546875" style="45" bestFit="1" customWidth="1"/>
    <col min="3068" max="3068" width="30.140625" style="45" customWidth="1"/>
    <col min="3069" max="3069" width="62" style="45" customWidth="1"/>
    <col min="3070" max="3070" width="44" style="45" customWidth="1"/>
    <col min="3071" max="3071" width="43.140625" style="45" customWidth="1"/>
    <col min="3072" max="3072" width="45" style="45" customWidth="1"/>
    <col min="3073" max="3073" width="35.5703125" style="45" customWidth="1"/>
    <col min="3074" max="3074" width="37.140625" style="45" customWidth="1"/>
    <col min="3075" max="3075" width="76.7109375" style="45" customWidth="1"/>
    <col min="3076" max="3076" width="37.7109375" style="45" customWidth="1"/>
    <col min="3077" max="3077" width="37.85546875" style="45" customWidth="1"/>
    <col min="3078" max="3078" width="39.85546875" style="45" customWidth="1"/>
    <col min="3079" max="3079" width="53.140625" style="45" customWidth="1"/>
    <col min="3080" max="3080" width="35.28515625" style="45" customWidth="1"/>
    <col min="3081" max="3081" width="31" style="45" customWidth="1"/>
    <col min="3082" max="3082" width="29.140625" style="45" customWidth="1"/>
    <col min="3083" max="3083" width="30.140625" style="45" customWidth="1"/>
    <col min="3084" max="3084" width="49.140625" style="45" customWidth="1"/>
    <col min="3085" max="3085" width="31.85546875" style="45" customWidth="1"/>
    <col min="3086" max="3086" width="39.140625" style="45" customWidth="1"/>
    <col min="3087" max="3087" width="53" style="45" bestFit="1" customWidth="1"/>
    <col min="3088" max="3088" width="33.42578125" style="45" bestFit="1" customWidth="1"/>
    <col min="3089" max="3089" width="28.140625" style="45" customWidth="1"/>
    <col min="3090" max="3094" width="6.7109375" style="45" customWidth="1"/>
    <col min="3095" max="3095" width="1.7109375" style="45" customWidth="1"/>
    <col min="3096" max="3319" width="9.140625" style="45"/>
    <col min="3320" max="3320" width="16" style="45" customWidth="1"/>
    <col min="3321" max="3321" width="27.7109375" style="45" customWidth="1"/>
    <col min="3322" max="3322" width="65.7109375" style="45" customWidth="1"/>
    <col min="3323" max="3323" width="21.85546875" style="45" bestFit="1" customWidth="1"/>
    <col min="3324" max="3324" width="30.140625" style="45" customWidth="1"/>
    <col min="3325" max="3325" width="62" style="45" customWidth="1"/>
    <col min="3326" max="3326" width="44" style="45" customWidth="1"/>
    <col min="3327" max="3327" width="43.140625" style="45" customWidth="1"/>
    <col min="3328" max="3328" width="45" style="45" customWidth="1"/>
    <col min="3329" max="3329" width="35.5703125" style="45" customWidth="1"/>
    <col min="3330" max="3330" width="37.140625" style="45" customWidth="1"/>
    <col min="3331" max="3331" width="76.7109375" style="45" customWidth="1"/>
    <col min="3332" max="3332" width="37.7109375" style="45" customWidth="1"/>
    <col min="3333" max="3333" width="37.85546875" style="45" customWidth="1"/>
    <col min="3334" max="3334" width="39.85546875" style="45" customWidth="1"/>
    <col min="3335" max="3335" width="53.140625" style="45" customWidth="1"/>
    <col min="3336" max="3336" width="35.28515625" style="45" customWidth="1"/>
    <col min="3337" max="3337" width="31" style="45" customWidth="1"/>
    <col min="3338" max="3338" width="29.140625" style="45" customWidth="1"/>
    <col min="3339" max="3339" width="30.140625" style="45" customWidth="1"/>
    <col min="3340" max="3340" width="49.140625" style="45" customWidth="1"/>
    <col min="3341" max="3341" width="31.85546875" style="45" customWidth="1"/>
    <col min="3342" max="3342" width="39.140625" style="45" customWidth="1"/>
    <col min="3343" max="3343" width="53" style="45" bestFit="1" customWidth="1"/>
    <col min="3344" max="3344" width="33.42578125" style="45" bestFit="1" customWidth="1"/>
    <col min="3345" max="3345" width="28.140625" style="45" customWidth="1"/>
    <col min="3346" max="3350" width="6.7109375" style="45" customWidth="1"/>
    <col min="3351" max="3351" width="1.7109375" style="45" customWidth="1"/>
    <col min="3352" max="3575" width="9.140625" style="45"/>
    <col min="3576" max="3576" width="16" style="45" customWidth="1"/>
    <col min="3577" max="3577" width="27.7109375" style="45" customWidth="1"/>
    <col min="3578" max="3578" width="65.7109375" style="45" customWidth="1"/>
    <col min="3579" max="3579" width="21.85546875" style="45" bestFit="1" customWidth="1"/>
    <col min="3580" max="3580" width="30.140625" style="45" customWidth="1"/>
    <col min="3581" max="3581" width="62" style="45" customWidth="1"/>
    <col min="3582" max="3582" width="44" style="45" customWidth="1"/>
    <col min="3583" max="3583" width="43.140625" style="45" customWidth="1"/>
    <col min="3584" max="3584" width="45" style="45" customWidth="1"/>
    <col min="3585" max="3585" width="35.5703125" style="45" customWidth="1"/>
    <col min="3586" max="3586" width="37.140625" style="45" customWidth="1"/>
    <col min="3587" max="3587" width="76.7109375" style="45" customWidth="1"/>
    <col min="3588" max="3588" width="37.7109375" style="45" customWidth="1"/>
    <col min="3589" max="3589" width="37.85546875" style="45" customWidth="1"/>
    <col min="3590" max="3590" width="39.85546875" style="45" customWidth="1"/>
    <col min="3591" max="3591" width="53.140625" style="45" customWidth="1"/>
    <col min="3592" max="3592" width="35.28515625" style="45" customWidth="1"/>
    <col min="3593" max="3593" width="31" style="45" customWidth="1"/>
    <col min="3594" max="3594" width="29.140625" style="45" customWidth="1"/>
    <col min="3595" max="3595" width="30.140625" style="45" customWidth="1"/>
    <col min="3596" max="3596" width="49.140625" style="45" customWidth="1"/>
    <col min="3597" max="3597" width="31.85546875" style="45" customWidth="1"/>
    <col min="3598" max="3598" width="39.140625" style="45" customWidth="1"/>
    <col min="3599" max="3599" width="53" style="45" bestFit="1" customWidth="1"/>
    <col min="3600" max="3600" width="33.42578125" style="45" bestFit="1" customWidth="1"/>
    <col min="3601" max="3601" width="28.140625" style="45" customWidth="1"/>
    <col min="3602" max="3606" width="6.7109375" style="45" customWidth="1"/>
    <col min="3607" max="3607" width="1.7109375" style="45" customWidth="1"/>
    <col min="3608" max="3831" width="9.140625" style="45"/>
    <col min="3832" max="3832" width="16" style="45" customWidth="1"/>
    <col min="3833" max="3833" width="27.7109375" style="45" customWidth="1"/>
    <col min="3834" max="3834" width="65.7109375" style="45" customWidth="1"/>
    <col min="3835" max="3835" width="21.85546875" style="45" bestFit="1" customWidth="1"/>
    <col min="3836" max="3836" width="30.140625" style="45" customWidth="1"/>
    <col min="3837" max="3837" width="62" style="45" customWidth="1"/>
    <col min="3838" max="3838" width="44" style="45" customWidth="1"/>
    <col min="3839" max="3839" width="43.140625" style="45" customWidth="1"/>
    <col min="3840" max="3840" width="45" style="45" customWidth="1"/>
    <col min="3841" max="3841" width="35.5703125" style="45" customWidth="1"/>
    <col min="3842" max="3842" width="37.140625" style="45" customWidth="1"/>
    <col min="3843" max="3843" width="76.7109375" style="45" customWidth="1"/>
    <col min="3844" max="3844" width="37.7109375" style="45" customWidth="1"/>
    <col min="3845" max="3845" width="37.85546875" style="45" customWidth="1"/>
    <col min="3846" max="3846" width="39.85546875" style="45" customWidth="1"/>
    <col min="3847" max="3847" width="53.140625" style="45" customWidth="1"/>
    <col min="3848" max="3848" width="35.28515625" style="45" customWidth="1"/>
    <col min="3849" max="3849" width="31" style="45" customWidth="1"/>
    <col min="3850" max="3850" width="29.140625" style="45" customWidth="1"/>
    <col min="3851" max="3851" width="30.140625" style="45" customWidth="1"/>
    <col min="3852" max="3852" width="49.140625" style="45" customWidth="1"/>
    <col min="3853" max="3853" width="31.85546875" style="45" customWidth="1"/>
    <col min="3854" max="3854" width="39.140625" style="45" customWidth="1"/>
    <col min="3855" max="3855" width="53" style="45" bestFit="1" customWidth="1"/>
    <col min="3856" max="3856" width="33.42578125" style="45" bestFit="1" customWidth="1"/>
    <col min="3857" max="3857" width="28.140625" style="45" customWidth="1"/>
    <col min="3858" max="3862" width="6.7109375" style="45" customWidth="1"/>
    <col min="3863" max="3863" width="1.7109375" style="45" customWidth="1"/>
    <col min="3864" max="4087" width="9.140625" style="45"/>
    <col min="4088" max="4088" width="16" style="45" customWidth="1"/>
    <col min="4089" max="4089" width="27.7109375" style="45" customWidth="1"/>
    <col min="4090" max="4090" width="65.7109375" style="45" customWidth="1"/>
    <col min="4091" max="4091" width="21.85546875" style="45" bestFit="1" customWidth="1"/>
    <col min="4092" max="4092" width="30.140625" style="45" customWidth="1"/>
    <col min="4093" max="4093" width="62" style="45" customWidth="1"/>
    <col min="4094" max="4094" width="44" style="45" customWidth="1"/>
    <col min="4095" max="4095" width="43.140625" style="45" customWidth="1"/>
    <col min="4096" max="4096" width="45" style="45" customWidth="1"/>
    <col min="4097" max="4097" width="35.5703125" style="45" customWidth="1"/>
    <col min="4098" max="4098" width="37.140625" style="45" customWidth="1"/>
    <col min="4099" max="4099" width="76.7109375" style="45" customWidth="1"/>
    <col min="4100" max="4100" width="37.7109375" style="45" customWidth="1"/>
    <col min="4101" max="4101" width="37.85546875" style="45" customWidth="1"/>
    <col min="4102" max="4102" width="39.85546875" style="45" customWidth="1"/>
    <col min="4103" max="4103" width="53.140625" style="45" customWidth="1"/>
    <col min="4104" max="4104" width="35.28515625" style="45" customWidth="1"/>
    <col min="4105" max="4105" width="31" style="45" customWidth="1"/>
    <col min="4106" max="4106" width="29.140625" style="45" customWidth="1"/>
    <col min="4107" max="4107" width="30.140625" style="45" customWidth="1"/>
    <col min="4108" max="4108" width="49.140625" style="45" customWidth="1"/>
    <col min="4109" max="4109" width="31.85546875" style="45" customWidth="1"/>
    <col min="4110" max="4110" width="39.140625" style="45" customWidth="1"/>
    <col min="4111" max="4111" width="53" style="45" bestFit="1" customWidth="1"/>
    <col min="4112" max="4112" width="33.42578125" style="45" bestFit="1" customWidth="1"/>
    <col min="4113" max="4113" width="28.140625" style="45" customWidth="1"/>
    <col min="4114" max="4118" width="6.7109375" style="45" customWidth="1"/>
    <col min="4119" max="4119" width="1.7109375" style="45" customWidth="1"/>
    <col min="4120" max="4343" width="9.140625" style="45"/>
    <col min="4344" max="4344" width="16" style="45" customWidth="1"/>
    <col min="4345" max="4345" width="27.7109375" style="45" customWidth="1"/>
    <col min="4346" max="4346" width="65.7109375" style="45" customWidth="1"/>
    <col min="4347" max="4347" width="21.85546875" style="45" bestFit="1" customWidth="1"/>
    <col min="4348" max="4348" width="30.140625" style="45" customWidth="1"/>
    <col min="4349" max="4349" width="62" style="45" customWidth="1"/>
    <col min="4350" max="4350" width="44" style="45" customWidth="1"/>
    <col min="4351" max="4351" width="43.140625" style="45" customWidth="1"/>
    <col min="4352" max="4352" width="45" style="45" customWidth="1"/>
    <col min="4353" max="4353" width="35.5703125" style="45" customWidth="1"/>
    <col min="4354" max="4354" width="37.140625" style="45" customWidth="1"/>
    <col min="4355" max="4355" width="76.7109375" style="45" customWidth="1"/>
    <col min="4356" max="4356" width="37.7109375" style="45" customWidth="1"/>
    <col min="4357" max="4357" width="37.85546875" style="45" customWidth="1"/>
    <col min="4358" max="4358" width="39.85546875" style="45" customWidth="1"/>
    <col min="4359" max="4359" width="53.140625" style="45" customWidth="1"/>
    <col min="4360" max="4360" width="35.28515625" style="45" customWidth="1"/>
    <col min="4361" max="4361" width="31" style="45" customWidth="1"/>
    <col min="4362" max="4362" width="29.140625" style="45" customWidth="1"/>
    <col min="4363" max="4363" width="30.140625" style="45" customWidth="1"/>
    <col min="4364" max="4364" width="49.140625" style="45" customWidth="1"/>
    <col min="4365" max="4365" width="31.85546875" style="45" customWidth="1"/>
    <col min="4366" max="4366" width="39.140625" style="45" customWidth="1"/>
    <col min="4367" max="4367" width="53" style="45" bestFit="1" customWidth="1"/>
    <col min="4368" max="4368" width="33.42578125" style="45" bestFit="1" customWidth="1"/>
    <col min="4369" max="4369" width="28.140625" style="45" customWidth="1"/>
    <col min="4370" max="4374" width="6.7109375" style="45" customWidth="1"/>
    <col min="4375" max="4375" width="1.7109375" style="45" customWidth="1"/>
    <col min="4376" max="4599" width="9.140625" style="45"/>
    <col min="4600" max="4600" width="16" style="45" customWidth="1"/>
    <col min="4601" max="4601" width="27.7109375" style="45" customWidth="1"/>
    <col min="4602" max="4602" width="65.7109375" style="45" customWidth="1"/>
    <col min="4603" max="4603" width="21.85546875" style="45" bestFit="1" customWidth="1"/>
    <col min="4604" max="4604" width="30.140625" style="45" customWidth="1"/>
    <col min="4605" max="4605" width="62" style="45" customWidth="1"/>
    <col min="4606" max="4606" width="44" style="45" customWidth="1"/>
    <col min="4607" max="4607" width="43.140625" style="45" customWidth="1"/>
    <col min="4608" max="4608" width="45" style="45" customWidth="1"/>
    <col min="4609" max="4609" width="35.5703125" style="45" customWidth="1"/>
    <col min="4610" max="4610" width="37.140625" style="45" customWidth="1"/>
    <col min="4611" max="4611" width="76.7109375" style="45" customWidth="1"/>
    <col min="4612" max="4612" width="37.7109375" style="45" customWidth="1"/>
    <col min="4613" max="4613" width="37.85546875" style="45" customWidth="1"/>
    <col min="4614" max="4614" width="39.85546875" style="45" customWidth="1"/>
    <col min="4615" max="4615" width="53.140625" style="45" customWidth="1"/>
    <col min="4616" max="4616" width="35.28515625" style="45" customWidth="1"/>
    <col min="4617" max="4617" width="31" style="45" customWidth="1"/>
    <col min="4618" max="4618" width="29.140625" style="45" customWidth="1"/>
    <col min="4619" max="4619" width="30.140625" style="45" customWidth="1"/>
    <col min="4620" max="4620" width="49.140625" style="45" customWidth="1"/>
    <col min="4621" max="4621" width="31.85546875" style="45" customWidth="1"/>
    <col min="4622" max="4622" width="39.140625" style="45" customWidth="1"/>
    <col min="4623" max="4623" width="53" style="45" bestFit="1" customWidth="1"/>
    <col min="4624" max="4624" width="33.42578125" style="45" bestFit="1" customWidth="1"/>
    <col min="4625" max="4625" width="28.140625" style="45" customWidth="1"/>
    <col min="4626" max="4630" width="6.7109375" style="45" customWidth="1"/>
    <col min="4631" max="4631" width="1.7109375" style="45" customWidth="1"/>
    <col min="4632" max="4855" width="9.140625" style="45"/>
    <col min="4856" max="4856" width="16" style="45" customWidth="1"/>
    <col min="4857" max="4857" width="27.7109375" style="45" customWidth="1"/>
    <col min="4858" max="4858" width="65.7109375" style="45" customWidth="1"/>
    <col min="4859" max="4859" width="21.85546875" style="45" bestFit="1" customWidth="1"/>
    <col min="4860" max="4860" width="30.140625" style="45" customWidth="1"/>
    <col min="4861" max="4861" width="62" style="45" customWidth="1"/>
    <col min="4862" max="4862" width="44" style="45" customWidth="1"/>
    <col min="4863" max="4863" width="43.140625" style="45" customWidth="1"/>
    <col min="4864" max="4864" width="45" style="45" customWidth="1"/>
    <col min="4865" max="4865" width="35.5703125" style="45" customWidth="1"/>
    <col min="4866" max="4866" width="37.140625" style="45" customWidth="1"/>
    <col min="4867" max="4867" width="76.7109375" style="45" customWidth="1"/>
    <col min="4868" max="4868" width="37.7109375" style="45" customWidth="1"/>
    <col min="4869" max="4869" width="37.85546875" style="45" customWidth="1"/>
    <col min="4870" max="4870" width="39.85546875" style="45" customWidth="1"/>
    <col min="4871" max="4871" width="53.140625" style="45" customWidth="1"/>
    <col min="4872" max="4872" width="35.28515625" style="45" customWidth="1"/>
    <col min="4873" max="4873" width="31" style="45" customWidth="1"/>
    <col min="4874" max="4874" width="29.140625" style="45" customWidth="1"/>
    <col min="4875" max="4875" width="30.140625" style="45" customWidth="1"/>
    <col min="4876" max="4876" width="49.140625" style="45" customWidth="1"/>
    <col min="4877" max="4877" width="31.85546875" style="45" customWidth="1"/>
    <col min="4878" max="4878" width="39.140625" style="45" customWidth="1"/>
    <col min="4879" max="4879" width="53" style="45" bestFit="1" customWidth="1"/>
    <col min="4880" max="4880" width="33.42578125" style="45" bestFit="1" customWidth="1"/>
    <col min="4881" max="4881" width="28.140625" style="45" customWidth="1"/>
    <col min="4882" max="4886" width="6.7109375" style="45" customWidth="1"/>
    <col min="4887" max="4887" width="1.7109375" style="45" customWidth="1"/>
    <col min="4888" max="5111" width="9.140625" style="45"/>
    <col min="5112" max="5112" width="16" style="45" customWidth="1"/>
    <col min="5113" max="5113" width="27.7109375" style="45" customWidth="1"/>
    <col min="5114" max="5114" width="65.7109375" style="45" customWidth="1"/>
    <col min="5115" max="5115" width="21.85546875" style="45" bestFit="1" customWidth="1"/>
    <col min="5116" max="5116" width="30.140625" style="45" customWidth="1"/>
    <col min="5117" max="5117" width="62" style="45" customWidth="1"/>
    <col min="5118" max="5118" width="44" style="45" customWidth="1"/>
    <col min="5119" max="5119" width="43.140625" style="45" customWidth="1"/>
    <col min="5120" max="5120" width="45" style="45" customWidth="1"/>
    <col min="5121" max="5121" width="35.5703125" style="45" customWidth="1"/>
    <col min="5122" max="5122" width="37.140625" style="45" customWidth="1"/>
    <col min="5123" max="5123" width="76.7109375" style="45" customWidth="1"/>
    <col min="5124" max="5124" width="37.7109375" style="45" customWidth="1"/>
    <col min="5125" max="5125" width="37.85546875" style="45" customWidth="1"/>
    <col min="5126" max="5126" width="39.85546875" style="45" customWidth="1"/>
    <col min="5127" max="5127" width="53.140625" style="45" customWidth="1"/>
    <col min="5128" max="5128" width="35.28515625" style="45" customWidth="1"/>
    <col min="5129" max="5129" width="31" style="45" customWidth="1"/>
    <col min="5130" max="5130" width="29.140625" style="45" customWidth="1"/>
    <col min="5131" max="5131" width="30.140625" style="45" customWidth="1"/>
    <col min="5132" max="5132" width="49.140625" style="45" customWidth="1"/>
    <col min="5133" max="5133" width="31.85546875" style="45" customWidth="1"/>
    <col min="5134" max="5134" width="39.140625" style="45" customWidth="1"/>
    <col min="5135" max="5135" width="53" style="45" bestFit="1" customWidth="1"/>
    <col min="5136" max="5136" width="33.42578125" style="45" bestFit="1" customWidth="1"/>
    <col min="5137" max="5137" width="28.140625" style="45" customWidth="1"/>
    <col min="5138" max="5142" width="6.7109375" style="45" customWidth="1"/>
    <col min="5143" max="5143" width="1.7109375" style="45" customWidth="1"/>
    <col min="5144" max="5367" width="9.140625" style="45"/>
    <col min="5368" max="5368" width="16" style="45" customWidth="1"/>
    <col min="5369" max="5369" width="27.7109375" style="45" customWidth="1"/>
    <col min="5370" max="5370" width="65.7109375" style="45" customWidth="1"/>
    <col min="5371" max="5371" width="21.85546875" style="45" bestFit="1" customWidth="1"/>
    <col min="5372" max="5372" width="30.140625" style="45" customWidth="1"/>
    <col min="5373" max="5373" width="62" style="45" customWidth="1"/>
    <col min="5374" max="5374" width="44" style="45" customWidth="1"/>
    <col min="5375" max="5375" width="43.140625" style="45" customWidth="1"/>
    <col min="5376" max="5376" width="45" style="45" customWidth="1"/>
    <col min="5377" max="5377" width="35.5703125" style="45" customWidth="1"/>
    <col min="5378" max="5378" width="37.140625" style="45" customWidth="1"/>
    <col min="5379" max="5379" width="76.7109375" style="45" customWidth="1"/>
    <col min="5380" max="5380" width="37.7109375" style="45" customWidth="1"/>
    <col min="5381" max="5381" width="37.85546875" style="45" customWidth="1"/>
    <col min="5382" max="5382" width="39.85546875" style="45" customWidth="1"/>
    <col min="5383" max="5383" width="53.140625" style="45" customWidth="1"/>
    <col min="5384" max="5384" width="35.28515625" style="45" customWidth="1"/>
    <col min="5385" max="5385" width="31" style="45" customWidth="1"/>
    <col min="5386" max="5386" width="29.140625" style="45" customWidth="1"/>
    <col min="5387" max="5387" width="30.140625" style="45" customWidth="1"/>
    <col min="5388" max="5388" width="49.140625" style="45" customWidth="1"/>
    <col min="5389" max="5389" width="31.85546875" style="45" customWidth="1"/>
    <col min="5390" max="5390" width="39.140625" style="45" customWidth="1"/>
    <col min="5391" max="5391" width="53" style="45" bestFit="1" customWidth="1"/>
    <col min="5392" max="5392" width="33.42578125" style="45" bestFit="1" customWidth="1"/>
    <col min="5393" max="5393" width="28.140625" style="45" customWidth="1"/>
    <col min="5394" max="5398" width="6.7109375" style="45" customWidth="1"/>
    <col min="5399" max="5399" width="1.7109375" style="45" customWidth="1"/>
    <col min="5400" max="5623" width="9.140625" style="45"/>
    <col min="5624" max="5624" width="16" style="45" customWidth="1"/>
    <col min="5625" max="5625" width="27.7109375" style="45" customWidth="1"/>
    <col min="5626" max="5626" width="65.7109375" style="45" customWidth="1"/>
    <col min="5627" max="5627" width="21.85546875" style="45" bestFit="1" customWidth="1"/>
    <col min="5628" max="5628" width="30.140625" style="45" customWidth="1"/>
    <col min="5629" max="5629" width="62" style="45" customWidth="1"/>
    <col min="5630" max="5630" width="44" style="45" customWidth="1"/>
    <col min="5631" max="5631" width="43.140625" style="45" customWidth="1"/>
    <col min="5632" max="5632" width="45" style="45" customWidth="1"/>
    <col min="5633" max="5633" width="35.5703125" style="45" customWidth="1"/>
    <col min="5634" max="5634" width="37.140625" style="45" customWidth="1"/>
    <col min="5635" max="5635" width="76.7109375" style="45" customWidth="1"/>
    <col min="5636" max="5636" width="37.7109375" style="45" customWidth="1"/>
    <col min="5637" max="5637" width="37.85546875" style="45" customWidth="1"/>
    <col min="5638" max="5638" width="39.85546875" style="45" customWidth="1"/>
    <col min="5639" max="5639" width="53.140625" style="45" customWidth="1"/>
    <col min="5640" max="5640" width="35.28515625" style="45" customWidth="1"/>
    <col min="5641" max="5641" width="31" style="45" customWidth="1"/>
    <col min="5642" max="5642" width="29.140625" style="45" customWidth="1"/>
    <col min="5643" max="5643" width="30.140625" style="45" customWidth="1"/>
    <col min="5644" max="5644" width="49.140625" style="45" customWidth="1"/>
    <col min="5645" max="5645" width="31.85546875" style="45" customWidth="1"/>
    <col min="5646" max="5646" width="39.140625" style="45" customWidth="1"/>
    <col min="5647" max="5647" width="53" style="45" bestFit="1" customWidth="1"/>
    <col min="5648" max="5648" width="33.42578125" style="45" bestFit="1" customWidth="1"/>
    <col min="5649" max="5649" width="28.140625" style="45" customWidth="1"/>
    <col min="5650" max="5654" width="6.7109375" style="45" customWidth="1"/>
    <col min="5655" max="5655" width="1.7109375" style="45" customWidth="1"/>
    <col min="5656" max="5879" width="9.140625" style="45"/>
    <col min="5880" max="5880" width="16" style="45" customWidth="1"/>
    <col min="5881" max="5881" width="27.7109375" style="45" customWidth="1"/>
    <col min="5882" max="5882" width="65.7109375" style="45" customWidth="1"/>
    <col min="5883" max="5883" width="21.85546875" style="45" bestFit="1" customWidth="1"/>
    <col min="5884" max="5884" width="30.140625" style="45" customWidth="1"/>
    <col min="5885" max="5885" width="62" style="45" customWidth="1"/>
    <col min="5886" max="5886" width="44" style="45" customWidth="1"/>
    <col min="5887" max="5887" width="43.140625" style="45" customWidth="1"/>
    <col min="5888" max="5888" width="45" style="45" customWidth="1"/>
    <col min="5889" max="5889" width="35.5703125" style="45" customWidth="1"/>
    <col min="5890" max="5890" width="37.140625" style="45" customWidth="1"/>
    <col min="5891" max="5891" width="76.7109375" style="45" customWidth="1"/>
    <col min="5892" max="5892" width="37.7109375" style="45" customWidth="1"/>
    <col min="5893" max="5893" width="37.85546875" style="45" customWidth="1"/>
    <col min="5894" max="5894" width="39.85546875" style="45" customWidth="1"/>
    <col min="5895" max="5895" width="53.140625" style="45" customWidth="1"/>
    <col min="5896" max="5896" width="35.28515625" style="45" customWidth="1"/>
    <col min="5897" max="5897" width="31" style="45" customWidth="1"/>
    <col min="5898" max="5898" width="29.140625" style="45" customWidth="1"/>
    <col min="5899" max="5899" width="30.140625" style="45" customWidth="1"/>
    <col min="5900" max="5900" width="49.140625" style="45" customWidth="1"/>
    <col min="5901" max="5901" width="31.85546875" style="45" customWidth="1"/>
    <col min="5902" max="5902" width="39.140625" style="45" customWidth="1"/>
    <col min="5903" max="5903" width="53" style="45" bestFit="1" customWidth="1"/>
    <col min="5904" max="5904" width="33.42578125" style="45" bestFit="1" customWidth="1"/>
    <col min="5905" max="5905" width="28.140625" style="45" customWidth="1"/>
    <col min="5906" max="5910" width="6.7109375" style="45" customWidth="1"/>
    <col min="5911" max="5911" width="1.7109375" style="45" customWidth="1"/>
    <col min="5912" max="6135" width="9.140625" style="45"/>
    <col min="6136" max="6136" width="16" style="45" customWidth="1"/>
    <col min="6137" max="6137" width="27.7109375" style="45" customWidth="1"/>
    <col min="6138" max="6138" width="65.7109375" style="45" customWidth="1"/>
    <col min="6139" max="6139" width="21.85546875" style="45" bestFit="1" customWidth="1"/>
    <col min="6140" max="6140" width="30.140625" style="45" customWidth="1"/>
    <col min="6141" max="6141" width="62" style="45" customWidth="1"/>
    <col min="6142" max="6142" width="44" style="45" customWidth="1"/>
    <col min="6143" max="6143" width="43.140625" style="45" customWidth="1"/>
    <col min="6144" max="6144" width="45" style="45" customWidth="1"/>
    <col min="6145" max="6145" width="35.5703125" style="45" customWidth="1"/>
    <col min="6146" max="6146" width="37.140625" style="45" customWidth="1"/>
    <col min="6147" max="6147" width="76.7109375" style="45" customWidth="1"/>
    <col min="6148" max="6148" width="37.7109375" style="45" customWidth="1"/>
    <col min="6149" max="6149" width="37.85546875" style="45" customWidth="1"/>
    <col min="6150" max="6150" width="39.85546875" style="45" customWidth="1"/>
    <col min="6151" max="6151" width="53.140625" style="45" customWidth="1"/>
    <col min="6152" max="6152" width="35.28515625" style="45" customWidth="1"/>
    <col min="6153" max="6153" width="31" style="45" customWidth="1"/>
    <col min="6154" max="6154" width="29.140625" style="45" customWidth="1"/>
    <col min="6155" max="6155" width="30.140625" style="45" customWidth="1"/>
    <col min="6156" max="6156" width="49.140625" style="45" customWidth="1"/>
    <col min="6157" max="6157" width="31.85546875" style="45" customWidth="1"/>
    <col min="6158" max="6158" width="39.140625" style="45" customWidth="1"/>
    <col min="6159" max="6159" width="53" style="45" bestFit="1" customWidth="1"/>
    <col min="6160" max="6160" width="33.42578125" style="45" bestFit="1" customWidth="1"/>
    <col min="6161" max="6161" width="28.140625" style="45" customWidth="1"/>
    <col min="6162" max="6166" width="6.7109375" style="45" customWidth="1"/>
    <col min="6167" max="6167" width="1.7109375" style="45" customWidth="1"/>
    <col min="6168" max="6391" width="9.140625" style="45"/>
    <col min="6392" max="6392" width="16" style="45" customWidth="1"/>
    <col min="6393" max="6393" width="27.7109375" style="45" customWidth="1"/>
    <col min="6394" max="6394" width="65.7109375" style="45" customWidth="1"/>
    <col min="6395" max="6395" width="21.85546875" style="45" bestFit="1" customWidth="1"/>
    <col min="6396" max="6396" width="30.140625" style="45" customWidth="1"/>
    <col min="6397" max="6397" width="62" style="45" customWidth="1"/>
    <col min="6398" max="6398" width="44" style="45" customWidth="1"/>
    <col min="6399" max="6399" width="43.140625" style="45" customWidth="1"/>
    <col min="6400" max="6400" width="45" style="45" customWidth="1"/>
    <col min="6401" max="6401" width="35.5703125" style="45" customWidth="1"/>
    <col min="6402" max="6402" width="37.140625" style="45" customWidth="1"/>
    <col min="6403" max="6403" width="76.7109375" style="45" customWidth="1"/>
    <col min="6404" max="6404" width="37.7109375" style="45" customWidth="1"/>
    <col min="6405" max="6405" width="37.85546875" style="45" customWidth="1"/>
    <col min="6406" max="6406" width="39.85546875" style="45" customWidth="1"/>
    <col min="6407" max="6407" width="53.140625" style="45" customWidth="1"/>
    <col min="6408" max="6408" width="35.28515625" style="45" customWidth="1"/>
    <col min="6409" max="6409" width="31" style="45" customWidth="1"/>
    <col min="6410" max="6410" width="29.140625" style="45" customWidth="1"/>
    <col min="6411" max="6411" width="30.140625" style="45" customWidth="1"/>
    <col min="6412" max="6412" width="49.140625" style="45" customWidth="1"/>
    <col min="6413" max="6413" width="31.85546875" style="45" customWidth="1"/>
    <col min="6414" max="6414" width="39.140625" style="45" customWidth="1"/>
    <col min="6415" max="6415" width="53" style="45" bestFit="1" customWidth="1"/>
    <col min="6416" max="6416" width="33.42578125" style="45" bestFit="1" customWidth="1"/>
    <col min="6417" max="6417" width="28.140625" style="45" customWidth="1"/>
    <col min="6418" max="6422" width="6.7109375" style="45" customWidth="1"/>
    <col min="6423" max="6423" width="1.7109375" style="45" customWidth="1"/>
    <col min="6424" max="6647" width="9.140625" style="45"/>
    <col min="6648" max="6648" width="16" style="45" customWidth="1"/>
    <col min="6649" max="6649" width="27.7109375" style="45" customWidth="1"/>
    <col min="6650" max="6650" width="65.7109375" style="45" customWidth="1"/>
    <col min="6651" max="6651" width="21.85546875" style="45" bestFit="1" customWidth="1"/>
    <col min="6652" max="6652" width="30.140625" style="45" customWidth="1"/>
    <col min="6653" max="6653" width="62" style="45" customWidth="1"/>
    <col min="6654" max="6654" width="44" style="45" customWidth="1"/>
    <col min="6655" max="6655" width="43.140625" style="45" customWidth="1"/>
    <col min="6656" max="6656" width="45" style="45" customWidth="1"/>
    <col min="6657" max="6657" width="35.5703125" style="45" customWidth="1"/>
    <col min="6658" max="6658" width="37.140625" style="45" customWidth="1"/>
    <col min="6659" max="6659" width="76.7109375" style="45" customWidth="1"/>
    <col min="6660" max="6660" width="37.7109375" style="45" customWidth="1"/>
    <col min="6661" max="6661" width="37.85546875" style="45" customWidth="1"/>
    <col min="6662" max="6662" width="39.85546875" style="45" customWidth="1"/>
    <col min="6663" max="6663" width="53.140625" style="45" customWidth="1"/>
    <col min="6664" max="6664" width="35.28515625" style="45" customWidth="1"/>
    <col min="6665" max="6665" width="31" style="45" customWidth="1"/>
    <col min="6666" max="6666" width="29.140625" style="45" customWidth="1"/>
    <col min="6667" max="6667" width="30.140625" style="45" customWidth="1"/>
    <col min="6668" max="6668" width="49.140625" style="45" customWidth="1"/>
    <col min="6669" max="6669" width="31.85546875" style="45" customWidth="1"/>
    <col min="6670" max="6670" width="39.140625" style="45" customWidth="1"/>
    <col min="6671" max="6671" width="53" style="45" bestFit="1" customWidth="1"/>
    <col min="6672" max="6672" width="33.42578125" style="45" bestFit="1" customWidth="1"/>
    <col min="6673" max="6673" width="28.140625" style="45" customWidth="1"/>
    <col min="6674" max="6678" width="6.7109375" style="45" customWidth="1"/>
    <col min="6679" max="6679" width="1.7109375" style="45" customWidth="1"/>
    <col min="6680" max="6903" width="9.140625" style="45"/>
    <col min="6904" max="6904" width="16" style="45" customWidth="1"/>
    <col min="6905" max="6905" width="27.7109375" style="45" customWidth="1"/>
    <col min="6906" max="6906" width="65.7109375" style="45" customWidth="1"/>
    <col min="6907" max="6907" width="21.85546875" style="45" bestFit="1" customWidth="1"/>
    <col min="6908" max="6908" width="30.140625" style="45" customWidth="1"/>
    <col min="6909" max="6909" width="62" style="45" customWidth="1"/>
    <col min="6910" max="6910" width="44" style="45" customWidth="1"/>
    <col min="6911" max="6911" width="43.140625" style="45" customWidth="1"/>
    <col min="6912" max="6912" width="45" style="45" customWidth="1"/>
    <col min="6913" max="6913" width="35.5703125" style="45" customWidth="1"/>
    <col min="6914" max="6914" width="37.140625" style="45" customWidth="1"/>
    <col min="6915" max="6915" width="76.7109375" style="45" customWidth="1"/>
    <col min="6916" max="6916" width="37.7109375" style="45" customWidth="1"/>
    <col min="6917" max="6917" width="37.85546875" style="45" customWidth="1"/>
    <col min="6918" max="6918" width="39.85546875" style="45" customWidth="1"/>
    <col min="6919" max="6919" width="53.140625" style="45" customWidth="1"/>
    <col min="6920" max="6920" width="35.28515625" style="45" customWidth="1"/>
    <col min="6921" max="6921" width="31" style="45" customWidth="1"/>
    <col min="6922" max="6922" width="29.140625" style="45" customWidth="1"/>
    <col min="6923" max="6923" width="30.140625" style="45" customWidth="1"/>
    <col min="6924" max="6924" width="49.140625" style="45" customWidth="1"/>
    <col min="6925" max="6925" width="31.85546875" style="45" customWidth="1"/>
    <col min="6926" max="6926" width="39.140625" style="45" customWidth="1"/>
    <col min="6927" max="6927" width="53" style="45" bestFit="1" customWidth="1"/>
    <col min="6928" max="6928" width="33.42578125" style="45" bestFit="1" customWidth="1"/>
    <col min="6929" max="6929" width="28.140625" style="45" customWidth="1"/>
    <col min="6930" max="6934" width="6.7109375" style="45" customWidth="1"/>
    <col min="6935" max="6935" width="1.7109375" style="45" customWidth="1"/>
    <col min="6936" max="7159" width="9.140625" style="45"/>
    <col min="7160" max="7160" width="16" style="45" customWidth="1"/>
    <col min="7161" max="7161" width="27.7109375" style="45" customWidth="1"/>
    <col min="7162" max="7162" width="65.7109375" style="45" customWidth="1"/>
    <col min="7163" max="7163" width="21.85546875" style="45" bestFit="1" customWidth="1"/>
    <col min="7164" max="7164" width="30.140625" style="45" customWidth="1"/>
    <col min="7165" max="7165" width="62" style="45" customWidth="1"/>
    <col min="7166" max="7166" width="44" style="45" customWidth="1"/>
    <col min="7167" max="7167" width="43.140625" style="45" customWidth="1"/>
    <col min="7168" max="7168" width="45" style="45" customWidth="1"/>
    <col min="7169" max="7169" width="35.5703125" style="45" customWidth="1"/>
    <col min="7170" max="7170" width="37.140625" style="45" customWidth="1"/>
    <col min="7171" max="7171" width="76.7109375" style="45" customWidth="1"/>
    <col min="7172" max="7172" width="37.7109375" style="45" customWidth="1"/>
    <col min="7173" max="7173" width="37.85546875" style="45" customWidth="1"/>
    <col min="7174" max="7174" width="39.85546875" style="45" customWidth="1"/>
    <col min="7175" max="7175" width="53.140625" style="45" customWidth="1"/>
    <col min="7176" max="7176" width="35.28515625" style="45" customWidth="1"/>
    <col min="7177" max="7177" width="31" style="45" customWidth="1"/>
    <col min="7178" max="7178" width="29.140625" style="45" customWidth="1"/>
    <col min="7179" max="7179" width="30.140625" style="45" customWidth="1"/>
    <col min="7180" max="7180" width="49.140625" style="45" customWidth="1"/>
    <col min="7181" max="7181" width="31.85546875" style="45" customWidth="1"/>
    <col min="7182" max="7182" width="39.140625" style="45" customWidth="1"/>
    <col min="7183" max="7183" width="53" style="45" bestFit="1" customWidth="1"/>
    <col min="7184" max="7184" width="33.42578125" style="45" bestFit="1" customWidth="1"/>
    <col min="7185" max="7185" width="28.140625" style="45" customWidth="1"/>
    <col min="7186" max="7190" width="6.7109375" style="45" customWidth="1"/>
    <col min="7191" max="7191" width="1.7109375" style="45" customWidth="1"/>
    <col min="7192" max="7415" width="9.140625" style="45"/>
    <col min="7416" max="7416" width="16" style="45" customWidth="1"/>
    <col min="7417" max="7417" width="27.7109375" style="45" customWidth="1"/>
    <col min="7418" max="7418" width="65.7109375" style="45" customWidth="1"/>
    <col min="7419" max="7419" width="21.85546875" style="45" bestFit="1" customWidth="1"/>
    <col min="7420" max="7420" width="30.140625" style="45" customWidth="1"/>
    <col min="7421" max="7421" width="62" style="45" customWidth="1"/>
    <col min="7422" max="7422" width="44" style="45" customWidth="1"/>
    <col min="7423" max="7423" width="43.140625" style="45" customWidth="1"/>
    <col min="7424" max="7424" width="45" style="45" customWidth="1"/>
    <col min="7425" max="7425" width="35.5703125" style="45" customWidth="1"/>
    <col min="7426" max="7426" width="37.140625" style="45" customWidth="1"/>
    <col min="7427" max="7427" width="76.7109375" style="45" customWidth="1"/>
    <col min="7428" max="7428" width="37.7109375" style="45" customWidth="1"/>
    <col min="7429" max="7429" width="37.85546875" style="45" customWidth="1"/>
    <col min="7430" max="7430" width="39.85546875" style="45" customWidth="1"/>
    <col min="7431" max="7431" width="53.140625" style="45" customWidth="1"/>
    <col min="7432" max="7432" width="35.28515625" style="45" customWidth="1"/>
    <col min="7433" max="7433" width="31" style="45" customWidth="1"/>
    <col min="7434" max="7434" width="29.140625" style="45" customWidth="1"/>
    <col min="7435" max="7435" width="30.140625" style="45" customWidth="1"/>
    <col min="7436" max="7436" width="49.140625" style="45" customWidth="1"/>
    <col min="7437" max="7437" width="31.85546875" style="45" customWidth="1"/>
    <col min="7438" max="7438" width="39.140625" style="45" customWidth="1"/>
    <col min="7439" max="7439" width="53" style="45" bestFit="1" customWidth="1"/>
    <col min="7440" max="7440" width="33.42578125" style="45" bestFit="1" customWidth="1"/>
    <col min="7441" max="7441" width="28.140625" style="45" customWidth="1"/>
    <col min="7442" max="7446" width="6.7109375" style="45" customWidth="1"/>
    <col min="7447" max="7447" width="1.7109375" style="45" customWidth="1"/>
    <col min="7448" max="7671" width="9.140625" style="45"/>
    <col min="7672" max="7672" width="16" style="45" customWidth="1"/>
    <col min="7673" max="7673" width="27.7109375" style="45" customWidth="1"/>
    <col min="7674" max="7674" width="65.7109375" style="45" customWidth="1"/>
    <col min="7675" max="7675" width="21.85546875" style="45" bestFit="1" customWidth="1"/>
    <col min="7676" max="7676" width="30.140625" style="45" customWidth="1"/>
    <col min="7677" max="7677" width="62" style="45" customWidth="1"/>
    <col min="7678" max="7678" width="44" style="45" customWidth="1"/>
    <col min="7679" max="7679" width="43.140625" style="45" customWidth="1"/>
    <col min="7680" max="7680" width="45" style="45" customWidth="1"/>
    <col min="7681" max="7681" width="35.5703125" style="45" customWidth="1"/>
    <col min="7682" max="7682" width="37.140625" style="45" customWidth="1"/>
    <col min="7683" max="7683" width="76.7109375" style="45" customWidth="1"/>
    <col min="7684" max="7684" width="37.7109375" style="45" customWidth="1"/>
    <col min="7685" max="7685" width="37.85546875" style="45" customWidth="1"/>
    <col min="7686" max="7686" width="39.85546875" style="45" customWidth="1"/>
    <col min="7687" max="7687" width="53.140625" style="45" customWidth="1"/>
    <col min="7688" max="7688" width="35.28515625" style="45" customWidth="1"/>
    <col min="7689" max="7689" width="31" style="45" customWidth="1"/>
    <col min="7690" max="7690" width="29.140625" style="45" customWidth="1"/>
    <col min="7691" max="7691" width="30.140625" style="45" customWidth="1"/>
    <col min="7692" max="7692" width="49.140625" style="45" customWidth="1"/>
    <col min="7693" max="7693" width="31.85546875" style="45" customWidth="1"/>
    <col min="7694" max="7694" width="39.140625" style="45" customWidth="1"/>
    <col min="7695" max="7695" width="53" style="45" bestFit="1" customWidth="1"/>
    <col min="7696" max="7696" width="33.42578125" style="45" bestFit="1" customWidth="1"/>
    <col min="7697" max="7697" width="28.140625" style="45" customWidth="1"/>
    <col min="7698" max="7702" width="6.7109375" style="45" customWidth="1"/>
    <col min="7703" max="7703" width="1.7109375" style="45" customWidth="1"/>
    <col min="7704" max="7927" width="9.140625" style="45"/>
    <col min="7928" max="7928" width="16" style="45" customWidth="1"/>
    <col min="7929" max="7929" width="27.7109375" style="45" customWidth="1"/>
    <col min="7930" max="7930" width="65.7109375" style="45" customWidth="1"/>
    <col min="7931" max="7931" width="21.85546875" style="45" bestFit="1" customWidth="1"/>
    <col min="7932" max="7932" width="30.140625" style="45" customWidth="1"/>
    <col min="7933" max="7933" width="62" style="45" customWidth="1"/>
    <col min="7934" max="7934" width="44" style="45" customWidth="1"/>
    <col min="7935" max="7935" width="43.140625" style="45" customWidth="1"/>
    <col min="7936" max="7936" width="45" style="45" customWidth="1"/>
    <col min="7937" max="7937" width="35.5703125" style="45" customWidth="1"/>
    <col min="7938" max="7938" width="37.140625" style="45" customWidth="1"/>
    <col min="7939" max="7939" width="76.7109375" style="45" customWidth="1"/>
    <col min="7940" max="7940" width="37.7109375" style="45" customWidth="1"/>
    <col min="7941" max="7941" width="37.85546875" style="45" customWidth="1"/>
    <col min="7942" max="7942" width="39.85546875" style="45" customWidth="1"/>
    <col min="7943" max="7943" width="53.140625" style="45" customWidth="1"/>
    <col min="7944" max="7944" width="35.28515625" style="45" customWidth="1"/>
    <col min="7945" max="7945" width="31" style="45" customWidth="1"/>
    <col min="7946" max="7946" width="29.140625" style="45" customWidth="1"/>
    <col min="7947" max="7947" width="30.140625" style="45" customWidth="1"/>
    <col min="7948" max="7948" width="49.140625" style="45" customWidth="1"/>
    <col min="7949" max="7949" width="31.85546875" style="45" customWidth="1"/>
    <col min="7950" max="7950" width="39.140625" style="45" customWidth="1"/>
    <col min="7951" max="7951" width="53" style="45" bestFit="1" customWidth="1"/>
    <col min="7952" max="7952" width="33.42578125" style="45" bestFit="1" customWidth="1"/>
    <col min="7953" max="7953" width="28.140625" style="45" customWidth="1"/>
    <col min="7954" max="7958" width="6.7109375" style="45" customWidth="1"/>
    <col min="7959" max="7959" width="1.7109375" style="45" customWidth="1"/>
    <col min="7960" max="8183" width="9.140625" style="45"/>
    <col min="8184" max="8184" width="16" style="45" customWidth="1"/>
    <col min="8185" max="8185" width="27.7109375" style="45" customWidth="1"/>
    <col min="8186" max="8186" width="65.7109375" style="45" customWidth="1"/>
    <col min="8187" max="8187" width="21.85546875" style="45" bestFit="1" customWidth="1"/>
    <col min="8188" max="8188" width="30.140625" style="45" customWidth="1"/>
    <col min="8189" max="8189" width="62" style="45" customWidth="1"/>
    <col min="8190" max="8190" width="44" style="45" customWidth="1"/>
    <col min="8191" max="8191" width="43.140625" style="45" customWidth="1"/>
    <col min="8192" max="8192" width="45" style="45" customWidth="1"/>
    <col min="8193" max="8193" width="35.5703125" style="45" customWidth="1"/>
    <col min="8194" max="8194" width="37.140625" style="45" customWidth="1"/>
    <col min="8195" max="8195" width="76.7109375" style="45" customWidth="1"/>
    <col min="8196" max="8196" width="37.7109375" style="45" customWidth="1"/>
    <col min="8197" max="8197" width="37.85546875" style="45" customWidth="1"/>
    <col min="8198" max="8198" width="39.85546875" style="45" customWidth="1"/>
    <col min="8199" max="8199" width="53.140625" style="45" customWidth="1"/>
    <col min="8200" max="8200" width="35.28515625" style="45" customWidth="1"/>
    <col min="8201" max="8201" width="31" style="45" customWidth="1"/>
    <col min="8202" max="8202" width="29.140625" style="45" customWidth="1"/>
    <col min="8203" max="8203" width="30.140625" style="45" customWidth="1"/>
    <col min="8204" max="8204" width="49.140625" style="45" customWidth="1"/>
    <col min="8205" max="8205" width="31.85546875" style="45" customWidth="1"/>
    <col min="8206" max="8206" width="39.140625" style="45" customWidth="1"/>
    <col min="8207" max="8207" width="53" style="45" bestFit="1" customWidth="1"/>
    <col min="8208" max="8208" width="33.42578125" style="45" bestFit="1" customWidth="1"/>
    <col min="8209" max="8209" width="28.140625" style="45" customWidth="1"/>
    <col min="8210" max="8214" width="6.7109375" style="45" customWidth="1"/>
    <col min="8215" max="8215" width="1.7109375" style="45" customWidth="1"/>
    <col min="8216" max="8439" width="9.140625" style="45"/>
    <col min="8440" max="8440" width="16" style="45" customWidth="1"/>
    <col min="8441" max="8441" width="27.7109375" style="45" customWidth="1"/>
    <col min="8442" max="8442" width="65.7109375" style="45" customWidth="1"/>
    <col min="8443" max="8443" width="21.85546875" style="45" bestFit="1" customWidth="1"/>
    <col min="8444" max="8444" width="30.140625" style="45" customWidth="1"/>
    <col min="8445" max="8445" width="62" style="45" customWidth="1"/>
    <col min="8446" max="8446" width="44" style="45" customWidth="1"/>
    <col min="8447" max="8447" width="43.140625" style="45" customWidth="1"/>
    <col min="8448" max="8448" width="45" style="45" customWidth="1"/>
    <col min="8449" max="8449" width="35.5703125" style="45" customWidth="1"/>
    <col min="8450" max="8450" width="37.140625" style="45" customWidth="1"/>
    <col min="8451" max="8451" width="76.7109375" style="45" customWidth="1"/>
    <col min="8452" max="8452" width="37.7109375" style="45" customWidth="1"/>
    <col min="8453" max="8453" width="37.85546875" style="45" customWidth="1"/>
    <col min="8454" max="8454" width="39.85546875" style="45" customWidth="1"/>
    <col min="8455" max="8455" width="53.140625" style="45" customWidth="1"/>
    <col min="8456" max="8456" width="35.28515625" style="45" customWidth="1"/>
    <col min="8457" max="8457" width="31" style="45" customWidth="1"/>
    <col min="8458" max="8458" width="29.140625" style="45" customWidth="1"/>
    <col min="8459" max="8459" width="30.140625" style="45" customWidth="1"/>
    <col min="8460" max="8460" width="49.140625" style="45" customWidth="1"/>
    <col min="8461" max="8461" width="31.85546875" style="45" customWidth="1"/>
    <col min="8462" max="8462" width="39.140625" style="45" customWidth="1"/>
    <col min="8463" max="8463" width="53" style="45" bestFit="1" customWidth="1"/>
    <col min="8464" max="8464" width="33.42578125" style="45" bestFit="1" customWidth="1"/>
    <col min="8465" max="8465" width="28.140625" style="45" customWidth="1"/>
    <col min="8466" max="8470" width="6.7109375" style="45" customWidth="1"/>
    <col min="8471" max="8471" width="1.7109375" style="45" customWidth="1"/>
    <col min="8472" max="8695" width="9.140625" style="45"/>
    <col min="8696" max="8696" width="16" style="45" customWidth="1"/>
    <col min="8697" max="8697" width="27.7109375" style="45" customWidth="1"/>
    <col min="8698" max="8698" width="65.7109375" style="45" customWidth="1"/>
    <col min="8699" max="8699" width="21.85546875" style="45" bestFit="1" customWidth="1"/>
    <col min="8700" max="8700" width="30.140625" style="45" customWidth="1"/>
    <col min="8701" max="8701" width="62" style="45" customWidth="1"/>
    <col min="8702" max="8702" width="44" style="45" customWidth="1"/>
    <col min="8703" max="8703" width="43.140625" style="45" customWidth="1"/>
    <col min="8704" max="8704" width="45" style="45" customWidth="1"/>
    <col min="8705" max="8705" width="35.5703125" style="45" customWidth="1"/>
    <col min="8706" max="8706" width="37.140625" style="45" customWidth="1"/>
    <col min="8707" max="8707" width="76.7109375" style="45" customWidth="1"/>
    <col min="8708" max="8708" width="37.7109375" style="45" customWidth="1"/>
    <col min="8709" max="8709" width="37.85546875" style="45" customWidth="1"/>
    <col min="8710" max="8710" width="39.85546875" style="45" customWidth="1"/>
    <col min="8711" max="8711" width="53.140625" style="45" customWidth="1"/>
    <col min="8712" max="8712" width="35.28515625" style="45" customWidth="1"/>
    <col min="8713" max="8713" width="31" style="45" customWidth="1"/>
    <col min="8714" max="8714" width="29.140625" style="45" customWidth="1"/>
    <col min="8715" max="8715" width="30.140625" style="45" customWidth="1"/>
    <col min="8716" max="8716" width="49.140625" style="45" customWidth="1"/>
    <col min="8717" max="8717" width="31.85546875" style="45" customWidth="1"/>
    <col min="8718" max="8718" width="39.140625" style="45" customWidth="1"/>
    <col min="8719" max="8719" width="53" style="45" bestFit="1" customWidth="1"/>
    <col min="8720" max="8720" width="33.42578125" style="45" bestFit="1" customWidth="1"/>
    <col min="8721" max="8721" width="28.140625" style="45" customWidth="1"/>
    <col min="8722" max="8726" width="6.7109375" style="45" customWidth="1"/>
    <col min="8727" max="8727" width="1.7109375" style="45" customWidth="1"/>
    <col min="8728" max="8951" width="9.140625" style="45"/>
    <col min="8952" max="8952" width="16" style="45" customWidth="1"/>
    <col min="8953" max="8953" width="27.7109375" style="45" customWidth="1"/>
    <col min="8954" max="8954" width="65.7109375" style="45" customWidth="1"/>
    <col min="8955" max="8955" width="21.85546875" style="45" bestFit="1" customWidth="1"/>
    <col min="8956" max="8956" width="30.140625" style="45" customWidth="1"/>
    <col min="8957" max="8957" width="62" style="45" customWidth="1"/>
    <col min="8958" max="8958" width="44" style="45" customWidth="1"/>
    <col min="8959" max="8959" width="43.140625" style="45" customWidth="1"/>
    <col min="8960" max="8960" width="45" style="45" customWidth="1"/>
    <col min="8961" max="8961" width="35.5703125" style="45" customWidth="1"/>
    <col min="8962" max="8962" width="37.140625" style="45" customWidth="1"/>
    <col min="8963" max="8963" width="76.7109375" style="45" customWidth="1"/>
    <col min="8964" max="8964" width="37.7109375" style="45" customWidth="1"/>
    <col min="8965" max="8965" width="37.85546875" style="45" customWidth="1"/>
    <col min="8966" max="8966" width="39.85546875" style="45" customWidth="1"/>
    <col min="8967" max="8967" width="53.140625" style="45" customWidth="1"/>
    <col min="8968" max="8968" width="35.28515625" style="45" customWidth="1"/>
    <col min="8969" max="8969" width="31" style="45" customWidth="1"/>
    <col min="8970" max="8970" width="29.140625" style="45" customWidth="1"/>
    <col min="8971" max="8971" width="30.140625" style="45" customWidth="1"/>
    <col min="8972" max="8972" width="49.140625" style="45" customWidth="1"/>
    <col min="8973" max="8973" width="31.85546875" style="45" customWidth="1"/>
    <col min="8974" max="8974" width="39.140625" style="45" customWidth="1"/>
    <col min="8975" max="8975" width="53" style="45" bestFit="1" customWidth="1"/>
    <col min="8976" max="8976" width="33.42578125" style="45" bestFit="1" customWidth="1"/>
    <col min="8977" max="8977" width="28.140625" style="45" customWidth="1"/>
    <col min="8978" max="8982" width="6.7109375" style="45" customWidth="1"/>
    <col min="8983" max="8983" width="1.7109375" style="45" customWidth="1"/>
    <col min="8984" max="9207" width="9.140625" style="45"/>
    <col min="9208" max="9208" width="16" style="45" customWidth="1"/>
    <col min="9209" max="9209" width="27.7109375" style="45" customWidth="1"/>
    <col min="9210" max="9210" width="65.7109375" style="45" customWidth="1"/>
    <col min="9211" max="9211" width="21.85546875" style="45" bestFit="1" customWidth="1"/>
    <col min="9212" max="9212" width="30.140625" style="45" customWidth="1"/>
    <col min="9213" max="9213" width="62" style="45" customWidth="1"/>
    <col min="9214" max="9214" width="44" style="45" customWidth="1"/>
    <col min="9215" max="9215" width="43.140625" style="45" customWidth="1"/>
    <col min="9216" max="9216" width="45" style="45" customWidth="1"/>
    <col min="9217" max="9217" width="35.5703125" style="45" customWidth="1"/>
    <col min="9218" max="9218" width="37.140625" style="45" customWidth="1"/>
    <col min="9219" max="9219" width="76.7109375" style="45" customWidth="1"/>
    <col min="9220" max="9220" width="37.7109375" style="45" customWidth="1"/>
    <col min="9221" max="9221" width="37.85546875" style="45" customWidth="1"/>
    <col min="9222" max="9222" width="39.85546875" style="45" customWidth="1"/>
    <col min="9223" max="9223" width="53.140625" style="45" customWidth="1"/>
    <col min="9224" max="9224" width="35.28515625" style="45" customWidth="1"/>
    <col min="9225" max="9225" width="31" style="45" customWidth="1"/>
    <col min="9226" max="9226" width="29.140625" style="45" customWidth="1"/>
    <col min="9227" max="9227" width="30.140625" style="45" customWidth="1"/>
    <col min="9228" max="9228" width="49.140625" style="45" customWidth="1"/>
    <col min="9229" max="9229" width="31.85546875" style="45" customWidth="1"/>
    <col min="9230" max="9230" width="39.140625" style="45" customWidth="1"/>
    <col min="9231" max="9231" width="53" style="45" bestFit="1" customWidth="1"/>
    <col min="9232" max="9232" width="33.42578125" style="45" bestFit="1" customWidth="1"/>
    <col min="9233" max="9233" width="28.140625" style="45" customWidth="1"/>
    <col min="9234" max="9238" width="6.7109375" style="45" customWidth="1"/>
    <col min="9239" max="9239" width="1.7109375" style="45" customWidth="1"/>
    <col min="9240" max="9463" width="9.140625" style="45"/>
    <col min="9464" max="9464" width="16" style="45" customWidth="1"/>
    <col min="9465" max="9465" width="27.7109375" style="45" customWidth="1"/>
    <col min="9466" max="9466" width="65.7109375" style="45" customWidth="1"/>
    <col min="9467" max="9467" width="21.85546875" style="45" bestFit="1" customWidth="1"/>
    <col min="9468" max="9468" width="30.140625" style="45" customWidth="1"/>
    <col min="9469" max="9469" width="62" style="45" customWidth="1"/>
    <col min="9470" max="9470" width="44" style="45" customWidth="1"/>
    <col min="9471" max="9471" width="43.140625" style="45" customWidth="1"/>
    <col min="9472" max="9472" width="45" style="45" customWidth="1"/>
    <col min="9473" max="9473" width="35.5703125" style="45" customWidth="1"/>
    <col min="9474" max="9474" width="37.140625" style="45" customWidth="1"/>
    <col min="9475" max="9475" width="76.7109375" style="45" customWidth="1"/>
    <col min="9476" max="9476" width="37.7109375" style="45" customWidth="1"/>
    <col min="9477" max="9477" width="37.85546875" style="45" customWidth="1"/>
    <col min="9478" max="9478" width="39.85546875" style="45" customWidth="1"/>
    <col min="9479" max="9479" width="53.140625" style="45" customWidth="1"/>
    <col min="9480" max="9480" width="35.28515625" style="45" customWidth="1"/>
    <col min="9481" max="9481" width="31" style="45" customWidth="1"/>
    <col min="9482" max="9482" width="29.140625" style="45" customWidth="1"/>
    <col min="9483" max="9483" width="30.140625" style="45" customWidth="1"/>
    <col min="9484" max="9484" width="49.140625" style="45" customWidth="1"/>
    <col min="9485" max="9485" width="31.85546875" style="45" customWidth="1"/>
    <col min="9486" max="9486" width="39.140625" style="45" customWidth="1"/>
    <col min="9487" max="9487" width="53" style="45" bestFit="1" customWidth="1"/>
    <col min="9488" max="9488" width="33.42578125" style="45" bestFit="1" customWidth="1"/>
    <col min="9489" max="9489" width="28.140625" style="45" customWidth="1"/>
    <col min="9490" max="9494" width="6.7109375" style="45" customWidth="1"/>
    <col min="9495" max="9495" width="1.7109375" style="45" customWidth="1"/>
    <col min="9496" max="9719" width="9.140625" style="45"/>
    <col min="9720" max="9720" width="16" style="45" customWidth="1"/>
    <col min="9721" max="9721" width="27.7109375" style="45" customWidth="1"/>
    <col min="9722" max="9722" width="65.7109375" style="45" customWidth="1"/>
    <col min="9723" max="9723" width="21.85546875" style="45" bestFit="1" customWidth="1"/>
    <col min="9724" max="9724" width="30.140625" style="45" customWidth="1"/>
    <col min="9725" max="9725" width="62" style="45" customWidth="1"/>
    <col min="9726" max="9726" width="44" style="45" customWidth="1"/>
    <col min="9727" max="9727" width="43.140625" style="45" customWidth="1"/>
    <col min="9728" max="9728" width="45" style="45" customWidth="1"/>
    <col min="9729" max="9729" width="35.5703125" style="45" customWidth="1"/>
    <col min="9730" max="9730" width="37.140625" style="45" customWidth="1"/>
    <col min="9731" max="9731" width="76.7109375" style="45" customWidth="1"/>
    <col min="9732" max="9732" width="37.7109375" style="45" customWidth="1"/>
    <col min="9733" max="9733" width="37.85546875" style="45" customWidth="1"/>
    <col min="9734" max="9734" width="39.85546875" style="45" customWidth="1"/>
    <col min="9735" max="9735" width="53.140625" style="45" customWidth="1"/>
    <col min="9736" max="9736" width="35.28515625" style="45" customWidth="1"/>
    <col min="9737" max="9737" width="31" style="45" customWidth="1"/>
    <col min="9738" max="9738" width="29.140625" style="45" customWidth="1"/>
    <col min="9739" max="9739" width="30.140625" style="45" customWidth="1"/>
    <col min="9740" max="9740" width="49.140625" style="45" customWidth="1"/>
    <col min="9741" max="9741" width="31.85546875" style="45" customWidth="1"/>
    <col min="9742" max="9742" width="39.140625" style="45" customWidth="1"/>
    <col min="9743" max="9743" width="53" style="45" bestFit="1" customWidth="1"/>
    <col min="9744" max="9744" width="33.42578125" style="45" bestFit="1" customWidth="1"/>
    <col min="9745" max="9745" width="28.140625" style="45" customWidth="1"/>
    <col min="9746" max="9750" width="6.7109375" style="45" customWidth="1"/>
    <col min="9751" max="9751" width="1.7109375" style="45" customWidth="1"/>
    <col min="9752" max="9975" width="9.140625" style="45"/>
    <col min="9976" max="9976" width="16" style="45" customWidth="1"/>
    <col min="9977" max="9977" width="27.7109375" style="45" customWidth="1"/>
    <col min="9978" max="9978" width="65.7109375" style="45" customWidth="1"/>
    <col min="9979" max="9979" width="21.85546875" style="45" bestFit="1" customWidth="1"/>
    <col min="9980" max="9980" width="30.140625" style="45" customWidth="1"/>
    <col min="9981" max="9981" width="62" style="45" customWidth="1"/>
    <col min="9982" max="9982" width="44" style="45" customWidth="1"/>
    <col min="9983" max="9983" width="43.140625" style="45" customWidth="1"/>
    <col min="9984" max="9984" width="45" style="45" customWidth="1"/>
    <col min="9985" max="9985" width="35.5703125" style="45" customWidth="1"/>
    <col min="9986" max="9986" width="37.140625" style="45" customWidth="1"/>
    <col min="9987" max="9987" width="76.7109375" style="45" customWidth="1"/>
    <col min="9988" max="9988" width="37.7109375" style="45" customWidth="1"/>
    <col min="9989" max="9989" width="37.85546875" style="45" customWidth="1"/>
    <col min="9990" max="9990" width="39.85546875" style="45" customWidth="1"/>
    <col min="9991" max="9991" width="53.140625" style="45" customWidth="1"/>
    <col min="9992" max="9992" width="35.28515625" style="45" customWidth="1"/>
    <col min="9993" max="9993" width="31" style="45" customWidth="1"/>
    <col min="9994" max="9994" width="29.140625" style="45" customWidth="1"/>
    <col min="9995" max="9995" width="30.140625" style="45" customWidth="1"/>
    <col min="9996" max="9996" width="49.140625" style="45" customWidth="1"/>
    <col min="9997" max="9997" width="31.85546875" style="45" customWidth="1"/>
    <col min="9998" max="9998" width="39.140625" style="45" customWidth="1"/>
    <col min="9999" max="9999" width="53" style="45" bestFit="1" customWidth="1"/>
    <col min="10000" max="10000" width="33.42578125" style="45" bestFit="1" customWidth="1"/>
    <col min="10001" max="10001" width="28.140625" style="45" customWidth="1"/>
    <col min="10002" max="10006" width="6.7109375" style="45" customWidth="1"/>
    <col min="10007" max="10007" width="1.7109375" style="45" customWidth="1"/>
    <col min="10008" max="10231" width="9.140625" style="45"/>
    <col min="10232" max="10232" width="16" style="45" customWidth="1"/>
    <col min="10233" max="10233" width="27.7109375" style="45" customWidth="1"/>
    <col min="10234" max="10234" width="65.7109375" style="45" customWidth="1"/>
    <col min="10235" max="10235" width="21.85546875" style="45" bestFit="1" customWidth="1"/>
    <col min="10236" max="10236" width="30.140625" style="45" customWidth="1"/>
    <col min="10237" max="10237" width="62" style="45" customWidth="1"/>
    <col min="10238" max="10238" width="44" style="45" customWidth="1"/>
    <col min="10239" max="10239" width="43.140625" style="45" customWidth="1"/>
    <col min="10240" max="10240" width="45" style="45" customWidth="1"/>
    <col min="10241" max="10241" width="35.5703125" style="45" customWidth="1"/>
    <col min="10242" max="10242" width="37.140625" style="45" customWidth="1"/>
    <col min="10243" max="10243" width="76.7109375" style="45" customWidth="1"/>
    <col min="10244" max="10244" width="37.7109375" style="45" customWidth="1"/>
    <col min="10245" max="10245" width="37.85546875" style="45" customWidth="1"/>
    <col min="10246" max="10246" width="39.85546875" style="45" customWidth="1"/>
    <col min="10247" max="10247" width="53.140625" style="45" customWidth="1"/>
    <col min="10248" max="10248" width="35.28515625" style="45" customWidth="1"/>
    <col min="10249" max="10249" width="31" style="45" customWidth="1"/>
    <col min="10250" max="10250" width="29.140625" style="45" customWidth="1"/>
    <col min="10251" max="10251" width="30.140625" style="45" customWidth="1"/>
    <col min="10252" max="10252" width="49.140625" style="45" customWidth="1"/>
    <col min="10253" max="10253" width="31.85546875" style="45" customWidth="1"/>
    <col min="10254" max="10254" width="39.140625" style="45" customWidth="1"/>
    <col min="10255" max="10255" width="53" style="45" bestFit="1" customWidth="1"/>
    <col min="10256" max="10256" width="33.42578125" style="45" bestFit="1" customWidth="1"/>
    <col min="10257" max="10257" width="28.140625" style="45" customWidth="1"/>
    <col min="10258" max="10262" width="6.7109375" style="45" customWidth="1"/>
    <col min="10263" max="10263" width="1.7109375" style="45" customWidth="1"/>
    <col min="10264" max="10487" width="9.140625" style="45"/>
    <col min="10488" max="10488" width="16" style="45" customWidth="1"/>
    <col min="10489" max="10489" width="27.7109375" style="45" customWidth="1"/>
    <col min="10490" max="10490" width="65.7109375" style="45" customWidth="1"/>
    <col min="10491" max="10491" width="21.85546875" style="45" bestFit="1" customWidth="1"/>
    <col min="10492" max="10492" width="30.140625" style="45" customWidth="1"/>
    <col min="10493" max="10493" width="62" style="45" customWidth="1"/>
    <col min="10494" max="10494" width="44" style="45" customWidth="1"/>
    <col min="10495" max="10495" width="43.140625" style="45" customWidth="1"/>
    <col min="10496" max="10496" width="45" style="45" customWidth="1"/>
    <col min="10497" max="10497" width="35.5703125" style="45" customWidth="1"/>
    <col min="10498" max="10498" width="37.140625" style="45" customWidth="1"/>
    <col min="10499" max="10499" width="76.7109375" style="45" customWidth="1"/>
    <col min="10500" max="10500" width="37.7109375" style="45" customWidth="1"/>
    <col min="10501" max="10501" width="37.85546875" style="45" customWidth="1"/>
    <col min="10502" max="10502" width="39.85546875" style="45" customWidth="1"/>
    <col min="10503" max="10503" width="53.140625" style="45" customWidth="1"/>
    <col min="10504" max="10504" width="35.28515625" style="45" customWidth="1"/>
    <col min="10505" max="10505" width="31" style="45" customWidth="1"/>
    <col min="10506" max="10506" width="29.140625" style="45" customWidth="1"/>
    <col min="10507" max="10507" width="30.140625" style="45" customWidth="1"/>
    <col min="10508" max="10508" width="49.140625" style="45" customWidth="1"/>
    <col min="10509" max="10509" width="31.85546875" style="45" customWidth="1"/>
    <col min="10510" max="10510" width="39.140625" style="45" customWidth="1"/>
    <col min="10511" max="10511" width="53" style="45" bestFit="1" customWidth="1"/>
    <col min="10512" max="10512" width="33.42578125" style="45" bestFit="1" customWidth="1"/>
    <col min="10513" max="10513" width="28.140625" style="45" customWidth="1"/>
    <col min="10514" max="10518" width="6.7109375" style="45" customWidth="1"/>
    <col min="10519" max="10519" width="1.7109375" style="45" customWidth="1"/>
    <col min="10520" max="10743" width="9.140625" style="45"/>
    <col min="10744" max="10744" width="16" style="45" customWidth="1"/>
    <col min="10745" max="10745" width="27.7109375" style="45" customWidth="1"/>
    <col min="10746" max="10746" width="65.7109375" style="45" customWidth="1"/>
    <col min="10747" max="10747" width="21.85546875" style="45" bestFit="1" customWidth="1"/>
    <col min="10748" max="10748" width="30.140625" style="45" customWidth="1"/>
    <col min="10749" max="10749" width="62" style="45" customWidth="1"/>
    <col min="10750" max="10750" width="44" style="45" customWidth="1"/>
    <col min="10751" max="10751" width="43.140625" style="45" customWidth="1"/>
    <col min="10752" max="10752" width="45" style="45" customWidth="1"/>
    <col min="10753" max="10753" width="35.5703125" style="45" customWidth="1"/>
    <col min="10754" max="10754" width="37.140625" style="45" customWidth="1"/>
    <col min="10755" max="10755" width="76.7109375" style="45" customWidth="1"/>
    <col min="10756" max="10756" width="37.7109375" style="45" customWidth="1"/>
    <col min="10757" max="10757" width="37.85546875" style="45" customWidth="1"/>
    <col min="10758" max="10758" width="39.85546875" style="45" customWidth="1"/>
    <col min="10759" max="10759" width="53.140625" style="45" customWidth="1"/>
    <col min="10760" max="10760" width="35.28515625" style="45" customWidth="1"/>
    <col min="10761" max="10761" width="31" style="45" customWidth="1"/>
    <col min="10762" max="10762" width="29.140625" style="45" customWidth="1"/>
    <col min="10763" max="10763" width="30.140625" style="45" customWidth="1"/>
    <col min="10764" max="10764" width="49.140625" style="45" customWidth="1"/>
    <col min="10765" max="10765" width="31.85546875" style="45" customWidth="1"/>
    <col min="10766" max="10766" width="39.140625" style="45" customWidth="1"/>
    <col min="10767" max="10767" width="53" style="45" bestFit="1" customWidth="1"/>
    <col min="10768" max="10768" width="33.42578125" style="45" bestFit="1" customWidth="1"/>
    <col min="10769" max="10769" width="28.140625" style="45" customWidth="1"/>
    <col min="10770" max="10774" width="6.7109375" style="45" customWidth="1"/>
    <col min="10775" max="10775" width="1.7109375" style="45" customWidth="1"/>
    <col min="10776" max="10999" width="9.140625" style="45"/>
    <col min="11000" max="11000" width="16" style="45" customWidth="1"/>
    <col min="11001" max="11001" width="27.7109375" style="45" customWidth="1"/>
    <col min="11002" max="11002" width="65.7109375" style="45" customWidth="1"/>
    <col min="11003" max="11003" width="21.85546875" style="45" bestFit="1" customWidth="1"/>
    <col min="11004" max="11004" width="30.140625" style="45" customWidth="1"/>
    <col min="11005" max="11005" width="62" style="45" customWidth="1"/>
    <col min="11006" max="11006" width="44" style="45" customWidth="1"/>
    <col min="11007" max="11007" width="43.140625" style="45" customWidth="1"/>
    <col min="11008" max="11008" width="45" style="45" customWidth="1"/>
    <col min="11009" max="11009" width="35.5703125" style="45" customWidth="1"/>
    <col min="11010" max="11010" width="37.140625" style="45" customWidth="1"/>
    <col min="11011" max="11011" width="76.7109375" style="45" customWidth="1"/>
    <col min="11012" max="11012" width="37.7109375" style="45" customWidth="1"/>
    <col min="11013" max="11013" width="37.85546875" style="45" customWidth="1"/>
    <col min="11014" max="11014" width="39.85546875" style="45" customWidth="1"/>
    <col min="11015" max="11015" width="53.140625" style="45" customWidth="1"/>
    <col min="11016" max="11016" width="35.28515625" style="45" customWidth="1"/>
    <col min="11017" max="11017" width="31" style="45" customWidth="1"/>
    <col min="11018" max="11018" width="29.140625" style="45" customWidth="1"/>
    <col min="11019" max="11019" width="30.140625" style="45" customWidth="1"/>
    <col min="11020" max="11020" width="49.140625" style="45" customWidth="1"/>
    <col min="11021" max="11021" width="31.85546875" style="45" customWidth="1"/>
    <col min="11022" max="11022" width="39.140625" style="45" customWidth="1"/>
    <col min="11023" max="11023" width="53" style="45" bestFit="1" customWidth="1"/>
    <col min="11024" max="11024" width="33.42578125" style="45" bestFit="1" customWidth="1"/>
    <col min="11025" max="11025" width="28.140625" style="45" customWidth="1"/>
    <col min="11026" max="11030" width="6.7109375" style="45" customWidth="1"/>
    <col min="11031" max="11031" width="1.7109375" style="45" customWidth="1"/>
    <col min="11032" max="11255" width="9.140625" style="45"/>
    <col min="11256" max="11256" width="16" style="45" customWidth="1"/>
    <col min="11257" max="11257" width="27.7109375" style="45" customWidth="1"/>
    <col min="11258" max="11258" width="65.7109375" style="45" customWidth="1"/>
    <col min="11259" max="11259" width="21.85546875" style="45" bestFit="1" customWidth="1"/>
    <col min="11260" max="11260" width="30.140625" style="45" customWidth="1"/>
    <col min="11261" max="11261" width="62" style="45" customWidth="1"/>
    <col min="11262" max="11262" width="44" style="45" customWidth="1"/>
    <col min="11263" max="11263" width="43.140625" style="45" customWidth="1"/>
    <col min="11264" max="11264" width="45" style="45" customWidth="1"/>
    <col min="11265" max="11265" width="35.5703125" style="45" customWidth="1"/>
    <col min="11266" max="11266" width="37.140625" style="45" customWidth="1"/>
    <col min="11267" max="11267" width="76.7109375" style="45" customWidth="1"/>
    <col min="11268" max="11268" width="37.7109375" style="45" customWidth="1"/>
    <col min="11269" max="11269" width="37.85546875" style="45" customWidth="1"/>
    <col min="11270" max="11270" width="39.85546875" style="45" customWidth="1"/>
    <col min="11271" max="11271" width="53.140625" style="45" customWidth="1"/>
    <col min="11272" max="11272" width="35.28515625" style="45" customWidth="1"/>
    <col min="11273" max="11273" width="31" style="45" customWidth="1"/>
    <col min="11274" max="11274" width="29.140625" style="45" customWidth="1"/>
    <col min="11275" max="11275" width="30.140625" style="45" customWidth="1"/>
    <col min="11276" max="11276" width="49.140625" style="45" customWidth="1"/>
    <col min="11277" max="11277" width="31.85546875" style="45" customWidth="1"/>
    <col min="11278" max="11278" width="39.140625" style="45" customWidth="1"/>
    <col min="11279" max="11279" width="53" style="45" bestFit="1" customWidth="1"/>
    <col min="11280" max="11280" width="33.42578125" style="45" bestFit="1" customWidth="1"/>
    <col min="11281" max="11281" width="28.140625" style="45" customWidth="1"/>
    <col min="11282" max="11286" width="6.7109375" style="45" customWidth="1"/>
    <col min="11287" max="11287" width="1.7109375" style="45" customWidth="1"/>
    <col min="11288" max="11511" width="9.140625" style="45"/>
    <col min="11512" max="11512" width="16" style="45" customWidth="1"/>
    <col min="11513" max="11513" width="27.7109375" style="45" customWidth="1"/>
    <col min="11514" max="11514" width="65.7109375" style="45" customWidth="1"/>
    <col min="11515" max="11515" width="21.85546875" style="45" bestFit="1" customWidth="1"/>
    <col min="11516" max="11516" width="30.140625" style="45" customWidth="1"/>
    <col min="11517" max="11517" width="62" style="45" customWidth="1"/>
    <col min="11518" max="11518" width="44" style="45" customWidth="1"/>
    <col min="11519" max="11519" width="43.140625" style="45" customWidth="1"/>
    <col min="11520" max="11520" width="45" style="45" customWidth="1"/>
    <col min="11521" max="11521" width="35.5703125" style="45" customWidth="1"/>
    <col min="11522" max="11522" width="37.140625" style="45" customWidth="1"/>
    <col min="11523" max="11523" width="76.7109375" style="45" customWidth="1"/>
    <col min="11524" max="11524" width="37.7109375" style="45" customWidth="1"/>
    <col min="11525" max="11525" width="37.85546875" style="45" customWidth="1"/>
    <col min="11526" max="11526" width="39.85546875" style="45" customWidth="1"/>
    <col min="11527" max="11527" width="53.140625" style="45" customWidth="1"/>
    <col min="11528" max="11528" width="35.28515625" style="45" customWidth="1"/>
    <col min="11529" max="11529" width="31" style="45" customWidth="1"/>
    <col min="11530" max="11530" width="29.140625" style="45" customWidth="1"/>
    <col min="11531" max="11531" width="30.140625" style="45" customWidth="1"/>
    <col min="11532" max="11532" width="49.140625" style="45" customWidth="1"/>
    <col min="11533" max="11533" width="31.85546875" style="45" customWidth="1"/>
    <col min="11534" max="11534" width="39.140625" style="45" customWidth="1"/>
    <col min="11535" max="11535" width="53" style="45" bestFit="1" customWidth="1"/>
    <col min="11536" max="11536" width="33.42578125" style="45" bestFit="1" customWidth="1"/>
    <col min="11537" max="11537" width="28.140625" style="45" customWidth="1"/>
    <col min="11538" max="11542" width="6.7109375" style="45" customWidth="1"/>
    <col min="11543" max="11543" width="1.7109375" style="45" customWidth="1"/>
    <col min="11544" max="11767" width="9.140625" style="45"/>
    <col min="11768" max="11768" width="16" style="45" customWidth="1"/>
    <col min="11769" max="11769" width="27.7109375" style="45" customWidth="1"/>
    <col min="11770" max="11770" width="65.7109375" style="45" customWidth="1"/>
    <col min="11771" max="11771" width="21.85546875" style="45" bestFit="1" customWidth="1"/>
    <col min="11772" max="11772" width="30.140625" style="45" customWidth="1"/>
    <col min="11773" max="11773" width="62" style="45" customWidth="1"/>
    <col min="11774" max="11774" width="44" style="45" customWidth="1"/>
    <col min="11775" max="11775" width="43.140625" style="45" customWidth="1"/>
    <col min="11776" max="11776" width="45" style="45" customWidth="1"/>
    <col min="11777" max="11777" width="35.5703125" style="45" customWidth="1"/>
    <col min="11778" max="11778" width="37.140625" style="45" customWidth="1"/>
    <col min="11779" max="11779" width="76.7109375" style="45" customWidth="1"/>
    <col min="11780" max="11780" width="37.7109375" style="45" customWidth="1"/>
    <col min="11781" max="11781" width="37.85546875" style="45" customWidth="1"/>
    <col min="11782" max="11782" width="39.85546875" style="45" customWidth="1"/>
    <col min="11783" max="11783" width="53.140625" style="45" customWidth="1"/>
    <col min="11784" max="11784" width="35.28515625" style="45" customWidth="1"/>
    <col min="11785" max="11785" width="31" style="45" customWidth="1"/>
    <col min="11786" max="11786" width="29.140625" style="45" customWidth="1"/>
    <col min="11787" max="11787" width="30.140625" style="45" customWidth="1"/>
    <col min="11788" max="11788" width="49.140625" style="45" customWidth="1"/>
    <col min="11789" max="11789" width="31.85546875" style="45" customWidth="1"/>
    <col min="11790" max="11790" width="39.140625" style="45" customWidth="1"/>
    <col min="11791" max="11791" width="53" style="45" bestFit="1" customWidth="1"/>
    <col min="11792" max="11792" width="33.42578125" style="45" bestFit="1" customWidth="1"/>
    <col min="11793" max="11793" width="28.140625" style="45" customWidth="1"/>
    <col min="11794" max="11798" width="6.7109375" style="45" customWidth="1"/>
    <col min="11799" max="11799" width="1.7109375" style="45" customWidth="1"/>
    <col min="11800" max="12023" width="9.140625" style="45"/>
    <col min="12024" max="12024" width="16" style="45" customWidth="1"/>
    <col min="12025" max="12025" width="27.7109375" style="45" customWidth="1"/>
    <col min="12026" max="12026" width="65.7109375" style="45" customWidth="1"/>
    <col min="12027" max="12027" width="21.85546875" style="45" bestFit="1" customWidth="1"/>
    <col min="12028" max="12028" width="30.140625" style="45" customWidth="1"/>
    <col min="12029" max="12029" width="62" style="45" customWidth="1"/>
    <col min="12030" max="12030" width="44" style="45" customWidth="1"/>
    <col min="12031" max="12031" width="43.140625" style="45" customWidth="1"/>
    <col min="12032" max="12032" width="45" style="45" customWidth="1"/>
    <col min="12033" max="12033" width="35.5703125" style="45" customWidth="1"/>
    <col min="12034" max="12034" width="37.140625" style="45" customWidth="1"/>
    <col min="12035" max="12035" width="76.7109375" style="45" customWidth="1"/>
    <col min="12036" max="12036" width="37.7109375" style="45" customWidth="1"/>
    <col min="12037" max="12037" width="37.85546875" style="45" customWidth="1"/>
    <col min="12038" max="12038" width="39.85546875" style="45" customWidth="1"/>
    <col min="12039" max="12039" width="53.140625" style="45" customWidth="1"/>
    <col min="12040" max="12040" width="35.28515625" style="45" customWidth="1"/>
    <col min="12041" max="12041" width="31" style="45" customWidth="1"/>
    <col min="12042" max="12042" width="29.140625" style="45" customWidth="1"/>
    <col min="12043" max="12043" width="30.140625" style="45" customWidth="1"/>
    <col min="12044" max="12044" width="49.140625" style="45" customWidth="1"/>
    <col min="12045" max="12045" width="31.85546875" style="45" customWidth="1"/>
    <col min="12046" max="12046" width="39.140625" style="45" customWidth="1"/>
    <col min="12047" max="12047" width="53" style="45" bestFit="1" customWidth="1"/>
    <col min="12048" max="12048" width="33.42578125" style="45" bestFit="1" customWidth="1"/>
    <col min="12049" max="12049" width="28.140625" style="45" customWidth="1"/>
    <col min="12050" max="12054" width="6.7109375" style="45" customWidth="1"/>
    <col min="12055" max="12055" width="1.7109375" style="45" customWidth="1"/>
    <col min="12056" max="12279" width="9.140625" style="45"/>
    <col min="12280" max="12280" width="16" style="45" customWidth="1"/>
    <col min="12281" max="12281" width="27.7109375" style="45" customWidth="1"/>
    <col min="12282" max="12282" width="65.7109375" style="45" customWidth="1"/>
    <col min="12283" max="12283" width="21.85546875" style="45" bestFit="1" customWidth="1"/>
    <col min="12284" max="12284" width="30.140625" style="45" customWidth="1"/>
    <col min="12285" max="12285" width="62" style="45" customWidth="1"/>
    <col min="12286" max="12286" width="44" style="45" customWidth="1"/>
    <col min="12287" max="12287" width="43.140625" style="45" customWidth="1"/>
    <col min="12288" max="12288" width="45" style="45" customWidth="1"/>
    <col min="12289" max="12289" width="35.5703125" style="45" customWidth="1"/>
    <col min="12290" max="12290" width="37.140625" style="45" customWidth="1"/>
    <col min="12291" max="12291" width="76.7109375" style="45" customWidth="1"/>
    <col min="12292" max="12292" width="37.7109375" style="45" customWidth="1"/>
    <col min="12293" max="12293" width="37.85546875" style="45" customWidth="1"/>
    <col min="12294" max="12294" width="39.85546875" style="45" customWidth="1"/>
    <col min="12295" max="12295" width="53.140625" style="45" customWidth="1"/>
    <col min="12296" max="12296" width="35.28515625" style="45" customWidth="1"/>
    <col min="12297" max="12297" width="31" style="45" customWidth="1"/>
    <col min="12298" max="12298" width="29.140625" style="45" customWidth="1"/>
    <col min="12299" max="12299" width="30.140625" style="45" customWidth="1"/>
    <col min="12300" max="12300" width="49.140625" style="45" customWidth="1"/>
    <col min="12301" max="12301" width="31.85546875" style="45" customWidth="1"/>
    <col min="12302" max="12302" width="39.140625" style="45" customWidth="1"/>
    <col min="12303" max="12303" width="53" style="45" bestFit="1" customWidth="1"/>
    <col min="12304" max="12304" width="33.42578125" style="45" bestFit="1" customWidth="1"/>
    <col min="12305" max="12305" width="28.140625" style="45" customWidth="1"/>
    <col min="12306" max="12310" width="6.7109375" style="45" customWidth="1"/>
    <col min="12311" max="12311" width="1.7109375" style="45" customWidth="1"/>
    <col min="12312" max="12535" width="9.140625" style="45"/>
    <col min="12536" max="12536" width="16" style="45" customWidth="1"/>
    <col min="12537" max="12537" width="27.7109375" style="45" customWidth="1"/>
    <col min="12538" max="12538" width="65.7109375" style="45" customWidth="1"/>
    <col min="12539" max="12539" width="21.85546875" style="45" bestFit="1" customWidth="1"/>
    <col min="12540" max="12540" width="30.140625" style="45" customWidth="1"/>
    <col min="12541" max="12541" width="62" style="45" customWidth="1"/>
    <col min="12542" max="12542" width="44" style="45" customWidth="1"/>
    <col min="12543" max="12543" width="43.140625" style="45" customWidth="1"/>
    <col min="12544" max="12544" width="45" style="45" customWidth="1"/>
    <col min="12545" max="12545" width="35.5703125" style="45" customWidth="1"/>
    <col min="12546" max="12546" width="37.140625" style="45" customWidth="1"/>
    <col min="12547" max="12547" width="76.7109375" style="45" customWidth="1"/>
    <col min="12548" max="12548" width="37.7109375" style="45" customWidth="1"/>
    <col min="12549" max="12549" width="37.85546875" style="45" customWidth="1"/>
    <col min="12550" max="12550" width="39.85546875" style="45" customWidth="1"/>
    <col min="12551" max="12551" width="53.140625" style="45" customWidth="1"/>
    <col min="12552" max="12552" width="35.28515625" style="45" customWidth="1"/>
    <col min="12553" max="12553" width="31" style="45" customWidth="1"/>
    <col min="12554" max="12554" width="29.140625" style="45" customWidth="1"/>
    <col min="12555" max="12555" width="30.140625" style="45" customWidth="1"/>
    <col min="12556" max="12556" width="49.140625" style="45" customWidth="1"/>
    <col min="12557" max="12557" width="31.85546875" style="45" customWidth="1"/>
    <col min="12558" max="12558" width="39.140625" style="45" customWidth="1"/>
    <col min="12559" max="12559" width="53" style="45" bestFit="1" customWidth="1"/>
    <col min="12560" max="12560" width="33.42578125" style="45" bestFit="1" customWidth="1"/>
    <col min="12561" max="12561" width="28.140625" style="45" customWidth="1"/>
    <col min="12562" max="12566" width="6.7109375" style="45" customWidth="1"/>
    <col min="12567" max="12567" width="1.7109375" style="45" customWidth="1"/>
    <col min="12568" max="12791" width="9.140625" style="45"/>
    <col min="12792" max="12792" width="16" style="45" customWidth="1"/>
    <col min="12793" max="12793" width="27.7109375" style="45" customWidth="1"/>
    <col min="12794" max="12794" width="65.7109375" style="45" customWidth="1"/>
    <col min="12795" max="12795" width="21.85546875" style="45" bestFit="1" customWidth="1"/>
    <col min="12796" max="12796" width="30.140625" style="45" customWidth="1"/>
    <col min="12797" max="12797" width="62" style="45" customWidth="1"/>
    <col min="12798" max="12798" width="44" style="45" customWidth="1"/>
    <col min="12799" max="12799" width="43.140625" style="45" customWidth="1"/>
    <col min="12800" max="12800" width="45" style="45" customWidth="1"/>
    <col min="12801" max="12801" width="35.5703125" style="45" customWidth="1"/>
    <col min="12802" max="12802" width="37.140625" style="45" customWidth="1"/>
    <col min="12803" max="12803" width="76.7109375" style="45" customWidth="1"/>
    <col min="12804" max="12804" width="37.7109375" style="45" customWidth="1"/>
    <col min="12805" max="12805" width="37.85546875" style="45" customWidth="1"/>
    <col min="12806" max="12806" width="39.85546875" style="45" customWidth="1"/>
    <col min="12807" max="12807" width="53.140625" style="45" customWidth="1"/>
    <col min="12808" max="12808" width="35.28515625" style="45" customWidth="1"/>
    <col min="12809" max="12809" width="31" style="45" customWidth="1"/>
    <col min="12810" max="12810" width="29.140625" style="45" customWidth="1"/>
    <col min="12811" max="12811" width="30.140625" style="45" customWidth="1"/>
    <col min="12812" max="12812" width="49.140625" style="45" customWidth="1"/>
    <col min="12813" max="12813" width="31.85546875" style="45" customWidth="1"/>
    <col min="12814" max="12814" width="39.140625" style="45" customWidth="1"/>
    <col min="12815" max="12815" width="53" style="45" bestFit="1" customWidth="1"/>
    <col min="12816" max="12816" width="33.42578125" style="45" bestFit="1" customWidth="1"/>
    <col min="12817" max="12817" width="28.140625" style="45" customWidth="1"/>
    <col min="12818" max="12822" width="6.7109375" style="45" customWidth="1"/>
    <col min="12823" max="12823" width="1.7109375" style="45" customWidth="1"/>
    <col min="12824" max="13047" width="9.140625" style="45"/>
    <col min="13048" max="13048" width="16" style="45" customWidth="1"/>
    <col min="13049" max="13049" width="27.7109375" style="45" customWidth="1"/>
    <col min="13050" max="13050" width="65.7109375" style="45" customWidth="1"/>
    <col min="13051" max="13051" width="21.85546875" style="45" bestFit="1" customWidth="1"/>
    <col min="13052" max="13052" width="30.140625" style="45" customWidth="1"/>
    <col min="13053" max="13053" width="62" style="45" customWidth="1"/>
    <col min="13054" max="13054" width="44" style="45" customWidth="1"/>
    <col min="13055" max="13055" width="43.140625" style="45" customWidth="1"/>
    <col min="13056" max="13056" width="45" style="45" customWidth="1"/>
    <col min="13057" max="13057" width="35.5703125" style="45" customWidth="1"/>
    <col min="13058" max="13058" width="37.140625" style="45" customWidth="1"/>
    <col min="13059" max="13059" width="76.7109375" style="45" customWidth="1"/>
    <col min="13060" max="13060" width="37.7109375" style="45" customWidth="1"/>
    <col min="13061" max="13061" width="37.85546875" style="45" customWidth="1"/>
    <col min="13062" max="13062" width="39.85546875" style="45" customWidth="1"/>
    <col min="13063" max="13063" width="53.140625" style="45" customWidth="1"/>
    <col min="13064" max="13064" width="35.28515625" style="45" customWidth="1"/>
    <col min="13065" max="13065" width="31" style="45" customWidth="1"/>
    <col min="13066" max="13066" width="29.140625" style="45" customWidth="1"/>
    <col min="13067" max="13067" width="30.140625" style="45" customWidth="1"/>
    <col min="13068" max="13068" width="49.140625" style="45" customWidth="1"/>
    <col min="13069" max="13069" width="31.85546875" style="45" customWidth="1"/>
    <col min="13070" max="13070" width="39.140625" style="45" customWidth="1"/>
    <col min="13071" max="13071" width="53" style="45" bestFit="1" customWidth="1"/>
    <col min="13072" max="13072" width="33.42578125" style="45" bestFit="1" customWidth="1"/>
    <col min="13073" max="13073" width="28.140625" style="45" customWidth="1"/>
    <col min="13074" max="13078" width="6.7109375" style="45" customWidth="1"/>
    <col min="13079" max="13079" width="1.7109375" style="45" customWidth="1"/>
    <col min="13080" max="13303" width="9.140625" style="45"/>
    <col min="13304" max="13304" width="16" style="45" customWidth="1"/>
    <col min="13305" max="13305" width="27.7109375" style="45" customWidth="1"/>
    <col min="13306" max="13306" width="65.7109375" style="45" customWidth="1"/>
    <col min="13307" max="13307" width="21.85546875" style="45" bestFit="1" customWidth="1"/>
    <col min="13308" max="13308" width="30.140625" style="45" customWidth="1"/>
    <col min="13309" max="13309" width="62" style="45" customWidth="1"/>
    <col min="13310" max="13310" width="44" style="45" customWidth="1"/>
    <col min="13311" max="13311" width="43.140625" style="45" customWidth="1"/>
    <col min="13312" max="13312" width="45" style="45" customWidth="1"/>
    <col min="13313" max="13313" width="35.5703125" style="45" customWidth="1"/>
    <col min="13314" max="13314" width="37.140625" style="45" customWidth="1"/>
    <col min="13315" max="13315" width="76.7109375" style="45" customWidth="1"/>
    <col min="13316" max="13316" width="37.7109375" style="45" customWidth="1"/>
    <col min="13317" max="13317" width="37.85546875" style="45" customWidth="1"/>
    <col min="13318" max="13318" width="39.85546875" style="45" customWidth="1"/>
    <col min="13319" max="13319" width="53.140625" style="45" customWidth="1"/>
    <col min="13320" max="13320" width="35.28515625" style="45" customWidth="1"/>
    <col min="13321" max="13321" width="31" style="45" customWidth="1"/>
    <col min="13322" max="13322" width="29.140625" style="45" customWidth="1"/>
    <col min="13323" max="13323" width="30.140625" style="45" customWidth="1"/>
    <col min="13324" max="13324" width="49.140625" style="45" customWidth="1"/>
    <col min="13325" max="13325" width="31.85546875" style="45" customWidth="1"/>
    <col min="13326" max="13326" width="39.140625" style="45" customWidth="1"/>
    <col min="13327" max="13327" width="53" style="45" bestFit="1" customWidth="1"/>
    <col min="13328" max="13328" width="33.42578125" style="45" bestFit="1" customWidth="1"/>
    <col min="13329" max="13329" width="28.140625" style="45" customWidth="1"/>
    <col min="13330" max="13334" width="6.7109375" style="45" customWidth="1"/>
    <col min="13335" max="13335" width="1.7109375" style="45" customWidth="1"/>
    <col min="13336" max="13559" width="9.140625" style="45"/>
    <col min="13560" max="13560" width="16" style="45" customWidth="1"/>
    <col min="13561" max="13561" width="27.7109375" style="45" customWidth="1"/>
    <col min="13562" max="13562" width="65.7109375" style="45" customWidth="1"/>
    <col min="13563" max="13563" width="21.85546875" style="45" bestFit="1" customWidth="1"/>
    <col min="13564" max="13564" width="30.140625" style="45" customWidth="1"/>
    <col min="13565" max="13565" width="62" style="45" customWidth="1"/>
    <col min="13566" max="13566" width="44" style="45" customWidth="1"/>
    <col min="13567" max="13567" width="43.140625" style="45" customWidth="1"/>
    <col min="13568" max="13568" width="45" style="45" customWidth="1"/>
    <col min="13569" max="13569" width="35.5703125" style="45" customWidth="1"/>
    <col min="13570" max="13570" width="37.140625" style="45" customWidth="1"/>
    <col min="13571" max="13571" width="76.7109375" style="45" customWidth="1"/>
    <col min="13572" max="13572" width="37.7109375" style="45" customWidth="1"/>
    <col min="13573" max="13573" width="37.85546875" style="45" customWidth="1"/>
    <col min="13574" max="13574" width="39.85546875" style="45" customWidth="1"/>
    <col min="13575" max="13575" width="53.140625" style="45" customWidth="1"/>
    <col min="13576" max="13576" width="35.28515625" style="45" customWidth="1"/>
    <col min="13577" max="13577" width="31" style="45" customWidth="1"/>
    <col min="13578" max="13578" width="29.140625" style="45" customWidth="1"/>
    <col min="13579" max="13579" width="30.140625" style="45" customWidth="1"/>
    <col min="13580" max="13580" width="49.140625" style="45" customWidth="1"/>
    <col min="13581" max="13581" width="31.85546875" style="45" customWidth="1"/>
    <col min="13582" max="13582" width="39.140625" style="45" customWidth="1"/>
    <col min="13583" max="13583" width="53" style="45" bestFit="1" customWidth="1"/>
    <col min="13584" max="13584" width="33.42578125" style="45" bestFit="1" customWidth="1"/>
    <col min="13585" max="13585" width="28.140625" style="45" customWidth="1"/>
    <col min="13586" max="13590" width="6.7109375" style="45" customWidth="1"/>
    <col min="13591" max="13591" width="1.7109375" style="45" customWidth="1"/>
    <col min="13592" max="13815" width="9.140625" style="45"/>
    <col min="13816" max="13816" width="16" style="45" customWidth="1"/>
    <col min="13817" max="13817" width="27.7109375" style="45" customWidth="1"/>
    <col min="13818" max="13818" width="65.7109375" style="45" customWidth="1"/>
    <col min="13819" max="13819" width="21.85546875" style="45" bestFit="1" customWidth="1"/>
    <col min="13820" max="13820" width="30.140625" style="45" customWidth="1"/>
    <col min="13821" max="13821" width="62" style="45" customWidth="1"/>
    <col min="13822" max="13822" width="44" style="45" customWidth="1"/>
    <col min="13823" max="13823" width="43.140625" style="45" customWidth="1"/>
    <col min="13824" max="13824" width="45" style="45" customWidth="1"/>
    <col min="13825" max="13825" width="35.5703125" style="45" customWidth="1"/>
    <col min="13826" max="13826" width="37.140625" style="45" customWidth="1"/>
    <col min="13827" max="13827" width="76.7109375" style="45" customWidth="1"/>
    <col min="13828" max="13828" width="37.7109375" style="45" customWidth="1"/>
    <col min="13829" max="13829" width="37.85546875" style="45" customWidth="1"/>
    <col min="13830" max="13830" width="39.85546875" style="45" customWidth="1"/>
    <col min="13831" max="13831" width="53.140625" style="45" customWidth="1"/>
    <col min="13832" max="13832" width="35.28515625" style="45" customWidth="1"/>
    <col min="13833" max="13833" width="31" style="45" customWidth="1"/>
    <col min="13834" max="13834" width="29.140625" style="45" customWidth="1"/>
    <col min="13835" max="13835" width="30.140625" style="45" customWidth="1"/>
    <col min="13836" max="13836" width="49.140625" style="45" customWidth="1"/>
    <col min="13837" max="13837" width="31.85546875" style="45" customWidth="1"/>
    <col min="13838" max="13838" width="39.140625" style="45" customWidth="1"/>
    <col min="13839" max="13839" width="53" style="45" bestFit="1" customWidth="1"/>
    <col min="13840" max="13840" width="33.42578125" style="45" bestFit="1" customWidth="1"/>
    <col min="13841" max="13841" width="28.140625" style="45" customWidth="1"/>
    <col min="13842" max="13846" width="6.7109375" style="45" customWidth="1"/>
    <col min="13847" max="13847" width="1.7109375" style="45" customWidth="1"/>
    <col min="13848" max="14071" width="9.140625" style="45"/>
    <col min="14072" max="14072" width="16" style="45" customWidth="1"/>
    <col min="14073" max="14073" width="27.7109375" style="45" customWidth="1"/>
    <col min="14074" max="14074" width="65.7109375" style="45" customWidth="1"/>
    <col min="14075" max="14075" width="21.85546875" style="45" bestFit="1" customWidth="1"/>
    <col min="14076" max="14076" width="30.140625" style="45" customWidth="1"/>
    <col min="14077" max="14077" width="62" style="45" customWidth="1"/>
    <col min="14078" max="14078" width="44" style="45" customWidth="1"/>
    <col min="14079" max="14079" width="43.140625" style="45" customWidth="1"/>
    <col min="14080" max="14080" width="45" style="45" customWidth="1"/>
    <col min="14081" max="14081" width="35.5703125" style="45" customWidth="1"/>
    <col min="14082" max="14082" width="37.140625" style="45" customWidth="1"/>
    <col min="14083" max="14083" width="76.7109375" style="45" customWidth="1"/>
    <col min="14084" max="14084" width="37.7109375" style="45" customWidth="1"/>
    <col min="14085" max="14085" width="37.85546875" style="45" customWidth="1"/>
    <col min="14086" max="14086" width="39.85546875" style="45" customWidth="1"/>
    <col min="14087" max="14087" width="53.140625" style="45" customWidth="1"/>
    <col min="14088" max="14088" width="35.28515625" style="45" customWidth="1"/>
    <col min="14089" max="14089" width="31" style="45" customWidth="1"/>
    <col min="14090" max="14090" width="29.140625" style="45" customWidth="1"/>
    <col min="14091" max="14091" width="30.140625" style="45" customWidth="1"/>
    <col min="14092" max="14092" width="49.140625" style="45" customWidth="1"/>
    <col min="14093" max="14093" width="31.85546875" style="45" customWidth="1"/>
    <col min="14094" max="14094" width="39.140625" style="45" customWidth="1"/>
    <col min="14095" max="14095" width="53" style="45" bestFit="1" customWidth="1"/>
    <col min="14096" max="14096" width="33.42578125" style="45" bestFit="1" customWidth="1"/>
    <col min="14097" max="14097" width="28.140625" style="45" customWidth="1"/>
    <col min="14098" max="14102" width="6.7109375" style="45" customWidth="1"/>
    <col min="14103" max="14103" width="1.7109375" style="45" customWidth="1"/>
    <col min="14104" max="14327" width="9.140625" style="45"/>
    <col min="14328" max="14328" width="16" style="45" customWidth="1"/>
    <col min="14329" max="14329" width="27.7109375" style="45" customWidth="1"/>
    <col min="14330" max="14330" width="65.7109375" style="45" customWidth="1"/>
    <col min="14331" max="14331" width="21.85546875" style="45" bestFit="1" customWidth="1"/>
    <col min="14332" max="14332" width="30.140625" style="45" customWidth="1"/>
    <col min="14333" max="14333" width="62" style="45" customWidth="1"/>
    <col min="14334" max="14334" width="44" style="45" customWidth="1"/>
    <col min="14335" max="14335" width="43.140625" style="45" customWidth="1"/>
    <col min="14336" max="14336" width="45" style="45" customWidth="1"/>
    <col min="14337" max="14337" width="35.5703125" style="45" customWidth="1"/>
    <col min="14338" max="14338" width="37.140625" style="45" customWidth="1"/>
    <col min="14339" max="14339" width="76.7109375" style="45" customWidth="1"/>
    <col min="14340" max="14340" width="37.7109375" style="45" customWidth="1"/>
    <col min="14341" max="14341" width="37.85546875" style="45" customWidth="1"/>
    <col min="14342" max="14342" width="39.85546875" style="45" customWidth="1"/>
    <col min="14343" max="14343" width="53.140625" style="45" customWidth="1"/>
    <col min="14344" max="14344" width="35.28515625" style="45" customWidth="1"/>
    <col min="14345" max="14345" width="31" style="45" customWidth="1"/>
    <col min="14346" max="14346" width="29.140625" style="45" customWidth="1"/>
    <col min="14347" max="14347" width="30.140625" style="45" customWidth="1"/>
    <col min="14348" max="14348" width="49.140625" style="45" customWidth="1"/>
    <col min="14349" max="14349" width="31.85546875" style="45" customWidth="1"/>
    <col min="14350" max="14350" width="39.140625" style="45" customWidth="1"/>
    <col min="14351" max="14351" width="53" style="45" bestFit="1" customWidth="1"/>
    <col min="14352" max="14352" width="33.42578125" style="45" bestFit="1" customWidth="1"/>
    <col min="14353" max="14353" width="28.140625" style="45" customWidth="1"/>
    <col min="14354" max="14358" width="6.7109375" style="45" customWidth="1"/>
    <col min="14359" max="14359" width="1.7109375" style="45" customWidth="1"/>
    <col min="14360" max="14583" width="9.140625" style="45"/>
    <col min="14584" max="14584" width="16" style="45" customWidth="1"/>
    <col min="14585" max="14585" width="27.7109375" style="45" customWidth="1"/>
    <col min="14586" max="14586" width="65.7109375" style="45" customWidth="1"/>
    <col min="14587" max="14587" width="21.85546875" style="45" bestFit="1" customWidth="1"/>
    <col min="14588" max="14588" width="30.140625" style="45" customWidth="1"/>
    <col min="14589" max="14589" width="62" style="45" customWidth="1"/>
    <col min="14590" max="14590" width="44" style="45" customWidth="1"/>
    <col min="14591" max="14591" width="43.140625" style="45" customWidth="1"/>
    <col min="14592" max="14592" width="45" style="45" customWidth="1"/>
    <col min="14593" max="14593" width="35.5703125" style="45" customWidth="1"/>
    <col min="14594" max="14594" width="37.140625" style="45" customWidth="1"/>
    <col min="14595" max="14595" width="76.7109375" style="45" customWidth="1"/>
    <col min="14596" max="14596" width="37.7109375" style="45" customWidth="1"/>
    <col min="14597" max="14597" width="37.85546875" style="45" customWidth="1"/>
    <col min="14598" max="14598" width="39.85546875" style="45" customWidth="1"/>
    <col min="14599" max="14599" width="53.140625" style="45" customWidth="1"/>
    <col min="14600" max="14600" width="35.28515625" style="45" customWidth="1"/>
    <col min="14601" max="14601" width="31" style="45" customWidth="1"/>
    <col min="14602" max="14602" width="29.140625" style="45" customWidth="1"/>
    <col min="14603" max="14603" width="30.140625" style="45" customWidth="1"/>
    <col min="14604" max="14604" width="49.140625" style="45" customWidth="1"/>
    <col min="14605" max="14605" width="31.85546875" style="45" customWidth="1"/>
    <col min="14606" max="14606" width="39.140625" style="45" customWidth="1"/>
    <col min="14607" max="14607" width="53" style="45" bestFit="1" customWidth="1"/>
    <col min="14608" max="14608" width="33.42578125" style="45" bestFit="1" customWidth="1"/>
    <col min="14609" max="14609" width="28.140625" style="45" customWidth="1"/>
    <col min="14610" max="14614" width="6.7109375" style="45" customWidth="1"/>
    <col min="14615" max="14615" width="1.7109375" style="45" customWidth="1"/>
    <col min="14616" max="14839" width="9.140625" style="45"/>
    <col min="14840" max="14840" width="16" style="45" customWidth="1"/>
    <col min="14841" max="14841" width="27.7109375" style="45" customWidth="1"/>
    <col min="14842" max="14842" width="65.7109375" style="45" customWidth="1"/>
    <col min="14843" max="14843" width="21.85546875" style="45" bestFit="1" customWidth="1"/>
    <col min="14844" max="14844" width="30.140625" style="45" customWidth="1"/>
    <col min="14845" max="14845" width="62" style="45" customWidth="1"/>
    <col min="14846" max="14846" width="44" style="45" customWidth="1"/>
    <col min="14847" max="14847" width="43.140625" style="45" customWidth="1"/>
    <col min="14848" max="14848" width="45" style="45" customWidth="1"/>
    <col min="14849" max="14849" width="35.5703125" style="45" customWidth="1"/>
    <col min="14850" max="14850" width="37.140625" style="45" customWidth="1"/>
    <col min="14851" max="14851" width="76.7109375" style="45" customWidth="1"/>
    <col min="14852" max="14852" width="37.7109375" style="45" customWidth="1"/>
    <col min="14853" max="14853" width="37.85546875" style="45" customWidth="1"/>
    <col min="14854" max="14854" width="39.85546875" style="45" customWidth="1"/>
    <col min="14855" max="14855" width="53.140625" style="45" customWidth="1"/>
    <col min="14856" max="14856" width="35.28515625" style="45" customWidth="1"/>
    <col min="14857" max="14857" width="31" style="45" customWidth="1"/>
    <col min="14858" max="14858" width="29.140625" style="45" customWidth="1"/>
    <col min="14859" max="14859" width="30.140625" style="45" customWidth="1"/>
    <col min="14860" max="14860" width="49.140625" style="45" customWidth="1"/>
    <col min="14861" max="14861" width="31.85546875" style="45" customWidth="1"/>
    <col min="14862" max="14862" width="39.140625" style="45" customWidth="1"/>
    <col min="14863" max="14863" width="53" style="45" bestFit="1" customWidth="1"/>
    <col min="14864" max="14864" width="33.42578125" style="45" bestFit="1" customWidth="1"/>
    <col min="14865" max="14865" width="28.140625" style="45" customWidth="1"/>
    <col min="14866" max="14870" width="6.7109375" style="45" customWidth="1"/>
    <col min="14871" max="14871" width="1.7109375" style="45" customWidth="1"/>
    <col min="14872" max="15095" width="9.140625" style="45"/>
    <col min="15096" max="15096" width="16" style="45" customWidth="1"/>
    <col min="15097" max="15097" width="27.7109375" style="45" customWidth="1"/>
    <col min="15098" max="15098" width="65.7109375" style="45" customWidth="1"/>
    <col min="15099" max="15099" width="21.85546875" style="45" bestFit="1" customWidth="1"/>
    <col min="15100" max="15100" width="30.140625" style="45" customWidth="1"/>
    <col min="15101" max="15101" width="62" style="45" customWidth="1"/>
    <col min="15102" max="15102" width="44" style="45" customWidth="1"/>
    <col min="15103" max="15103" width="43.140625" style="45" customWidth="1"/>
    <col min="15104" max="15104" width="45" style="45" customWidth="1"/>
    <col min="15105" max="15105" width="35.5703125" style="45" customWidth="1"/>
    <col min="15106" max="15106" width="37.140625" style="45" customWidth="1"/>
    <col min="15107" max="15107" width="76.7109375" style="45" customWidth="1"/>
    <col min="15108" max="15108" width="37.7109375" style="45" customWidth="1"/>
    <col min="15109" max="15109" width="37.85546875" style="45" customWidth="1"/>
    <col min="15110" max="15110" width="39.85546875" style="45" customWidth="1"/>
    <col min="15111" max="15111" width="53.140625" style="45" customWidth="1"/>
    <col min="15112" max="15112" width="35.28515625" style="45" customWidth="1"/>
    <col min="15113" max="15113" width="31" style="45" customWidth="1"/>
    <col min="15114" max="15114" width="29.140625" style="45" customWidth="1"/>
    <col min="15115" max="15115" width="30.140625" style="45" customWidth="1"/>
    <col min="15116" max="15116" width="49.140625" style="45" customWidth="1"/>
    <col min="15117" max="15117" width="31.85546875" style="45" customWidth="1"/>
    <col min="15118" max="15118" width="39.140625" style="45" customWidth="1"/>
    <col min="15119" max="15119" width="53" style="45" bestFit="1" customWidth="1"/>
    <col min="15120" max="15120" width="33.42578125" style="45" bestFit="1" customWidth="1"/>
    <col min="15121" max="15121" width="28.140625" style="45" customWidth="1"/>
    <col min="15122" max="15126" width="6.7109375" style="45" customWidth="1"/>
    <col min="15127" max="15127" width="1.7109375" style="45" customWidth="1"/>
    <col min="15128" max="15351" width="9.140625" style="45"/>
    <col min="15352" max="15352" width="16" style="45" customWidth="1"/>
    <col min="15353" max="15353" width="27.7109375" style="45" customWidth="1"/>
    <col min="15354" max="15354" width="65.7109375" style="45" customWidth="1"/>
    <col min="15355" max="15355" width="21.85546875" style="45" bestFit="1" customWidth="1"/>
    <col min="15356" max="15356" width="30.140625" style="45" customWidth="1"/>
    <col min="15357" max="15357" width="62" style="45" customWidth="1"/>
    <col min="15358" max="15358" width="44" style="45" customWidth="1"/>
    <col min="15359" max="15359" width="43.140625" style="45" customWidth="1"/>
    <col min="15360" max="15360" width="45" style="45" customWidth="1"/>
    <col min="15361" max="15361" width="35.5703125" style="45" customWidth="1"/>
    <col min="15362" max="15362" width="37.140625" style="45" customWidth="1"/>
    <col min="15363" max="15363" width="76.7109375" style="45" customWidth="1"/>
    <col min="15364" max="15364" width="37.7109375" style="45" customWidth="1"/>
    <col min="15365" max="15365" width="37.85546875" style="45" customWidth="1"/>
    <col min="15366" max="15366" width="39.85546875" style="45" customWidth="1"/>
    <col min="15367" max="15367" width="53.140625" style="45" customWidth="1"/>
    <col min="15368" max="15368" width="35.28515625" style="45" customWidth="1"/>
    <col min="15369" max="15369" width="31" style="45" customWidth="1"/>
    <col min="15370" max="15370" width="29.140625" style="45" customWidth="1"/>
    <col min="15371" max="15371" width="30.140625" style="45" customWidth="1"/>
    <col min="15372" max="15372" width="49.140625" style="45" customWidth="1"/>
    <col min="15373" max="15373" width="31.85546875" style="45" customWidth="1"/>
    <col min="15374" max="15374" width="39.140625" style="45" customWidth="1"/>
    <col min="15375" max="15375" width="53" style="45" bestFit="1" customWidth="1"/>
    <col min="15376" max="15376" width="33.42578125" style="45" bestFit="1" customWidth="1"/>
    <col min="15377" max="15377" width="28.140625" style="45" customWidth="1"/>
    <col min="15378" max="15382" width="6.7109375" style="45" customWidth="1"/>
    <col min="15383" max="15383" width="1.7109375" style="45" customWidth="1"/>
    <col min="15384" max="15607" width="9.140625" style="45"/>
    <col min="15608" max="15608" width="16" style="45" customWidth="1"/>
    <col min="15609" max="15609" width="27.7109375" style="45" customWidth="1"/>
    <col min="15610" max="15610" width="65.7109375" style="45" customWidth="1"/>
    <col min="15611" max="15611" width="21.85546875" style="45" bestFit="1" customWidth="1"/>
    <col min="15612" max="15612" width="30.140625" style="45" customWidth="1"/>
    <col min="15613" max="15613" width="62" style="45" customWidth="1"/>
    <col min="15614" max="15614" width="44" style="45" customWidth="1"/>
    <col min="15615" max="15615" width="43.140625" style="45" customWidth="1"/>
    <col min="15616" max="15616" width="45" style="45" customWidth="1"/>
    <col min="15617" max="15617" width="35.5703125" style="45" customWidth="1"/>
    <col min="15618" max="15618" width="37.140625" style="45" customWidth="1"/>
    <col min="15619" max="15619" width="76.7109375" style="45" customWidth="1"/>
    <col min="15620" max="15620" width="37.7109375" style="45" customWidth="1"/>
    <col min="15621" max="15621" width="37.85546875" style="45" customWidth="1"/>
    <col min="15622" max="15622" width="39.85546875" style="45" customWidth="1"/>
    <col min="15623" max="15623" width="53.140625" style="45" customWidth="1"/>
    <col min="15624" max="15624" width="35.28515625" style="45" customWidth="1"/>
    <col min="15625" max="15625" width="31" style="45" customWidth="1"/>
    <col min="15626" max="15626" width="29.140625" style="45" customWidth="1"/>
    <col min="15627" max="15627" width="30.140625" style="45" customWidth="1"/>
    <col min="15628" max="15628" width="49.140625" style="45" customWidth="1"/>
    <col min="15629" max="15629" width="31.85546875" style="45" customWidth="1"/>
    <col min="15630" max="15630" width="39.140625" style="45" customWidth="1"/>
    <col min="15631" max="15631" width="53" style="45" bestFit="1" customWidth="1"/>
    <col min="15632" max="15632" width="33.42578125" style="45" bestFit="1" customWidth="1"/>
    <col min="15633" max="15633" width="28.140625" style="45" customWidth="1"/>
    <col min="15634" max="15638" width="6.7109375" style="45" customWidth="1"/>
    <col min="15639" max="15639" width="1.7109375" style="45" customWidth="1"/>
    <col min="15640" max="15863" width="9.140625" style="45"/>
    <col min="15864" max="15864" width="16" style="45" customWidth="1"/>
    <col min="15865" max="15865" width="27.7109375" style="45" customWidth="1"/>
    <col min="15866" max="15866" width="65.7109375" style="45" customWidth="1"/>
    <col min="15867" max="15867" width="21.85546875" style="45" bestFit="1" customWidth="1"/>
    <col min="15868" max="15868" width="30.140625" style="45" customWidth="1"/>
    <col min="15869" max="15869" width="62" style="45" customWidth="1"/>
    <col min="15870" max="15870" width="44" style="45" customWidth="1"/>
    <col min="15871" max="15871" width="43.140625" style="45" customWidth="1"/>
    <col min="15872" max="15872" width="45" style="45" customWidth="1"/>
    <col min="15873" max="15873" width="35.5703125" style="45" customWidth="1"/>
    <col min="15874" max="15874" width="37.140625" style="45" customWidth="1"/>
    <col min="15875" max="15875" width="76.7109375" style="45" customWidth="1"/>
    <col min="15876" max="15876" width="37.7109375" style="45" customWidth="1"/>
    <col min="15877" max="15877" width="37.85546875" style="45" customWidth="1"/>
    <col min="15878" max="15878" width="39.85546875" style="45" customWidth="1"/>
    <col min="15879" max="15879" width="53.140625" style="45" customWidth="1"/>
    <col min="15880" max="15880" width="35.28515625" style="45" customWidth="1"/>
    <col min="15881" max="15881" width="31" style="45" customWidth="1"/>
    <col min="15882" max="15882" width="29.140625" style="45" customWidth="1"/>
    <col min="15883" max="15883" width="30.140625" style="45" customWidth="1"/>
    <col min="15884" max="15884" width="49.140625" style="45" customWidth="1"/>
    <col min="15885" max="15885" width="31.85546875" style="45" customWidth="1"/>
    <col min="15886" max="15886" width="39.140625" style="45" customWidth="1"/>
    <col min="15887" max="15887" width="53" style="45" bestFit="1" customWidth="1"/>
    <col min="15888" max="15888" width="33.42578125" style="45" bestFit="1" customWidth="1"/>
    <col min="15889" max="15889" width="28.140625" style="45" customWidth="1"/>
    <col min="15890" max="15894" width="6.7109375" style="45" customWidth="1"/>
    <col min="15895" max="15895" width="1.7109375" style="45" customWidth="1"/>
    <col min="15896" max="16119" width="9.140625" style="45"/>
    <col min="16120" max="16120" width="16" style="45" customWidth="1"/>
    <col min="16121" max="16121" width="27.7109375" style="45" customWidth="1"/>
    <col min="16122" max="16122" width="65.7109375" style="45" customWidth="1"/>
    <col min="16123" max="16123" width="21.85546875" style="45" bestFit="1" customWidth="1"/>
    <col min="16124" max="16124" width="30.140625" style="45" customWidth="1"/>
    <col min="16125" max="16125" width="62" style="45" customWidth="1"/>
    <col min="16126" max="16126" width="44" style="45" customWidth="1"/>
    <col min="16127" max="16127" width="43.140625" style="45" customWidth="1"/>
    <col min="16128" max="16128" width="45" style="45" customWidth="1"/>
    <col min="16129" max="16129" width="35.5703125" style="45" customWidth="1"/>
    <col min="16130" max="16130" width="37.140625" style="45" customWidth="1"/>
    <col min="16131" max="16131" width="76.7109375" style="45" customWidth="1"/>
    <col min="16132" max="16132" width="37.7109375" style="45" customWidth="1"/>
    <col min="16133" max="16133" width="37.85546875" style="45" customWidth="1"/>
    <col min="16134" max="16134" width="39.85546875" style="45" customWidth="1"/>
    <col min="16135" max="16135" width="53.140625" style="45" customWidth="1"/>
    <col min="16136" max="16136" width="35.28515625" style="45" customWidth="1"/>
    <col min="16137" max="16137" width="31" style="45" customWidth="1"/>
    <col min="16138" max="16138" width="29.140625" style="45" customWidth="1"/>
    <col min="16139" max="16139" width="30.140625" style="45" customWidth="1"/>
    <col min="16140" max="16140" width="49.140625" style="45" customWidth="1"/>
    <col min="16141" max="16141" width="31.85546875" style="45" customWidth="1"/>
    <col min="16142" max="16142" width="39.140625" style="45" customWidth="1"/>
    <col min="16143" max="16143" width="53" style="45" bestFit="1" customWidth="1"/>
    <col min="16144" max="16144" width="33.42578125" style="45" bestFit="1" customWidth="1"/>
    <col min="16145" max="16145" width="28.140625" style="45" customWidth="1"/>
    <col min="16146" max="16150" width="6.7109375" style="45" customWidth="1"/>
    <col min="16151" max="16151" width="1.7109375" style="45" customWidth="1"/>
    <col min="16152" max="16384" width="9.140625" style="45"/>
  </cols>
  <sheetData>
    <row r="1" spans="1:23" ht="30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60.75" customHeight="1" x14ac:dyDescent="0.25">
      <c r="A2" s="1"/>
      <c r="B2" s="352"/>
      <c r="C2" s="353"/>
      <c r="D2" s="353"/>
      <c r="E2" s="354"/>
      <c r="F2" s="358" t="s">
        <v>125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  <c r="S2" s="359"/>
      <c r="T2" s="359"/>
      <c r="U2" s="360"/>
      <c r="V2" s="364">
        <f>'33kV (Main)'!V2</f>
        <v>0</v>
      </c>
      <c r="W2" s="365"/>
    </row>
    <row r="3" spans="1:23" ht="65.25" customHeight="1" x14ac:dyDescent="0.25">
      <c r="A3" s="1"/>
      <c r="B3" s="355"/>
      <c r="C3" s="356"/>
      <c r="D3" s="356"/>
      <c r="E3" s="357"/>
      <c r="F3" s="361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3"/>
      <c r="V3" s="267" t="s">
        <v>0</v>
      </c>
      <c r="W3" s="146"/>
    </row>
    <row r="4" spans="1:23" ht="60.75" customHeight="1" x14ac:dyDescent="0.25">
      <c r="A4" s="1"/>
      <c r="B4" s="2"/>
      <c r="C4" s="1"/>
      <c r="D4" s="1"/>
      <c r="E4" s="1"/>
      <c r="F4" s="1"/>
      <c r="G4" s="3"/>
      <c r="H4" s="4"/>
      <c r="I4" s="3"/>
      <c r="J4" s="1"/>
      <c r="K4" s="3"/>
      <c r="L4" s="3"/>
      <c r="M4" s="1"/>
      <c r="N4" s="1"/>
      <c r="O4" s="1"/>
      <c r="P4" s="1"/>
      <c r="Q4" s="1"/>
      <c r="R4" s="3"/>
      <c r="S4" s="3"/>
      <c r="T4" s="1"/>
      <c r="U4" s="1"/>
      <c r="V4" s="268" t="s">
        <v>130</v>
      </c>
      <c r="W4" s="146"/>
    </row>
    <row r="5" spans="1:23" ht="60" customHeight="1" x14ac:dyDescent="0.25">
      <c r="A5" s="1"/>
      <c r="B5" s="5" t="s">
        <v>1</v>
      </c>
      <c r="C5" s="3"/>
      <c r="D5" s="3"/>
      <c r="E5" s="3"/>
      <c r="F5" s="3"/>
      <c r="G5" s="6"/>
      <c r="H5" s="7"/>
      <c r="I5" s="3"/>
      <c r="J5" s="4" t="s">
        <v>7</v>
      </c>
      <c r="K5" s="3"/>
      <c r="L5" s="1"/>
      <c r="M5" s="3"/>
      <c r="N5" s="3"/>
      <c r="O5" s="1"/>
      <c r="P5" s="1"/>
      <c r="Q5" s="1"/>
      <c r="R5" s="4" t="s">
        <v>3</v>
      </c>
      <c r="S5" s="1"/>
      <c r="T5" s="1"/>
      <c r="U5" s="1"/>
      <c r="V5" s="1"/>
      <c r="W5" s="8"/>
    </row>
    <row r="6" spans="1:23" ht="65.099999999999994" customHeight="1" x14ac:dyDescent="0.25">
      <c r="A6" s="1"/>
      <c r="B6" s="9" t="s">
        <v>2</v>
      </c>
      <c r="C6" s="7"/>
      <c r="D6" s="259">
        <f>'33kV (Main)'!D6</f>
        <v>0</v>
      </c>
      <c r="E6" s="6"/>
      <c r="F6" s="1"/>
      <c r="G6" s="51"/>
      <c r="H6" s="7"/>
      <c r="I6" s="1"/>
      <c r="J6" s="7" t="s">
        <v>82</v>
      </c>
      <c r="K6" s="3"/>
      <c r="L6" s="269">
        <f>'33kV (Main)'!L6</f>
        <v>0</v>
      </c>
      <c r="M6" s="256">
        <f>'33kV (Main)'!M6</f>
        <v>0</v>
      </c>
      <c r="N6" s="1"/>
      <c r="O6" s="1"/>
      <c r="P6" s="1"/>
      <c r="Q6" s="1"/>
      <c r="R6" s="3" t="s">
        <v>4</v>
      </c>
      <c r="S6" s="11"/>
      <c r="T6" s="1"/>
      <c r="U6" s="265">
        <f>'33kV (Main)'!U6</f>
        <v>0</v>
      </c>
      <c r="V6" s="1"/>
      <c r="W6" s="52"/>
    </row>
    <row r="7" spans="1:23" ht="65.099999999999994" customHeight="1" x14ac:dyDescent="0.25">
      <c r="A7" s="1"/>
      <c r="B7" s="9" t="s">
        <v>83</v>
      </c>
      <c r="C7" s="7"/>
      <c r="D7" s="259">
        <f>'33kV (Main)'!D7</f>
        <v>0</v>
      </c>
      <c r="E7" s="51"/>
      <c r="F7" s="1"/>
      <c r="G7" s="1"/>
      <c r="H7" s="7"/>
      <c r="I7" s="1"/>
      <c r="J7" s="7" t="s">
        <v>9</v>
      </c>
      <c r="K7" s="1"/>
      <c r="L7" s="271">
        <f>'33kV (Main)'!L7</f>
        <v>0</v>
      </c>
      <c r="M7" s="272"/>
      <c r="N7" s="1"/>
      <c r="O7" s="1"/>
      <c r="P7" s="1"/>
      <c r="Q7" s="1"/>
      <c r="R7" s="3" t="s">
        <v>5</v>
      </c>
      <c r="S7" s="11"/>
      <c r="T7" s="1"/>
      <c r="U7" s="266">
        <f>'33kV (Main)'!U7</f>
        <v>0</v>
      </c>
      <c r="V7" s="1"/>
      <c r="W7" s="52"/>
    </row>
    <row r="8" spans="1:23" ht="65.099999999999994" customHeight="1" x14ac:dyDescent="0.25">
      <c r="A8" s="1"/>
      <c r="B8" s="9" t="s">
        <v>84</v>
      </c>
      <c r="C8" s="7"/>
      <c r="D8" s="303">
        <f>'33kV (Main)'!D8</f>
        <v>0</v>
      </c>
      <c r="E8" s="14"/>
      <c r="F8" s="1"/>
      <c r="G8" s="1"/>
      <c r="H8" s="7"/>
      <c r="I8" s="1"/>
      <c r="J8" s="7" t="s">
        <v>10</v>
      </c>
      <c r="K8" s="1"/>
      <c r="L8" s="271">
        <f>'33kV (Main)'!L8</f>
        <v>0</v>
      </c>
      <c r="M8" s="272"/>
      <c r="N8" s="1"/>
      <c r="O8" s="1"/>
      <c r="P8" s="1"/>
      <c r="Q8" s="1"/>
      <c r="R8" s="3" t="s">
        <v>6</v>
      </c>
      <c r="S8" s="11"/>
      <c r="T8" s="1"/>
      <c r="U8" s="264">
        <f>'33kV (Main)'!U8</f>
        <v>0</v>
      </c>
      <c r="V8" s="1"/>
      <c r="W8" s="52"/>
    </row>
    <row r="9" spans="1:23" ht="65.099999999999994" customHeight="1" x14ac:dyDescent="0.25">
      <c r="A9" s="1"/>
      <c r="B9" s="12" t="s">
        <v>85</v>
      </c>
      <c r="C9" s="1"/>
      <c r="D9" s="262">
        <f>'33kV (Main)'!D9</f>
        <v>0</v>
      </c>
      <c r="E9" s="15"/>
      <c r="F9" s="1"/>
      <c r="G9" s="3"/>
      <c r="H9" s="7"/>
      <c r="I9" s="3"/>
      <c r="J9" s="7" t="s">
        <v>86</v>
      </c>
      <c r="K9" s="1"/>
      <c r="L9" s="271">
        <f>'33kV (Main)'!L9</f>
        <v>0</v>
      </c>
      <c r="M9" s="272"/>
      <c r="N9" s="1"/>
      <c r="O9" s="1"/>
      <c r="P9" s="1"/>
      <c r="Q9" s="1"/>
      <c r="R9" s="3"/>
      <c r="S9" s="3"/>
      <c r="T9" s="1"/>
      <c r="U9" s="1"/>
      <c r="V9" s="1"/>
      <c r="W9" s="8"/>
    </row>
    <row r="10" spans="1:23" ht="65.099999999999994" customHeight="1" x14ac:dyDescent="0.25">
      <c r="A10" s="1"/>
      <c r="B10" s="48"/>
      <c r="C10" s="3"/>
      <c r="D10" s="3"/>
      <c r="E10" s="7"/>
      <c r="F10" s="1"/>
      <c r="G10" s="7"/>
      <c r="H10" s="7"/>
      <c r="I10" s="3"/>
      <c r="J10" s="7" t="s">
        <v>8</v>
      </c>
      <c r="K10" s="3"/>
      <c r="L10" s="260">
        <f>'33kV (Main)'!L10</f>
        <v>0</v>
      </c>
      <c r="M10" s="270"/>
      <c r="N10" s="1"/>
      <c r="O10" s="1"/>
      <c r="P10" s="1"/>
      <c r="Q10" s="1"/>
      <c r="R10" s="3"/>
      <c r="S10" s="1"/>
      <c r="T10" s="1"/>
      <c r="U10" s="1"/>
      <c r="V10" s="1"/>
      <c r="W10" s="8"/>
    </row>
    <row r="11" spans="1:23" ht="65.099999999999994" customHeight="1" x14ac:dyDescent="0.25">
      <c r="A11" s="1"/>
      <c r="B11" s="9"/>
      <c r="C11" s="3"/>
      <c r="D11" s="1"/>
      <c r="E11" s="32"/>
      <c r="F11" s="47"/>
      <c r="G11" s="1"/>
      <c r="H11" s="7"/>
      <c r="I11" s="3"/>
      <c r="J11" s="7" t="s">
        <v>19</v>
      </c>
      <c r="K11" s="3"/>
      <c r="L11" s="263">
        <f>'33kV (Main)'!L11</f>
        <v>0</v>
      </c>
      <c r="M11" s="270"/>
      <c r="N11" s="3"/>
      <c r="O11" s="1"/>
      <c r="P11" s="3"/>
      <c r="Q11" s="1"/>
      <c r="R11" s="1"/>
      <c r="S11" s="7"/>
      <c r="T11" s="7"/>
      <c r="U11" s="7"/>
      <c r="V11" s="1"/>
      <c r="W11" s="8"/>
    </row>
    <row r="12" spans="1:23" ht="12.75" customHeight="1" x14ac:dyDescent="0.25">
      <c r="A12" s="1"/>
      <c r="B12" s="54"/>
      <c r="C12" s="3"/>
      <c r="D12" s="1"/>
      <c r="E12" s="32"/>
      <c r="F12" s="47"/>
      <c r="G12" s="1"/>
      <c r="H12" s="7"/>
      <c r="I12" s="3"/>
      <c r="J12" s="7"/>
      <c r="K12" s="3"/>
      <c r="L12" s="32"/>
      <c r="M12" s="32"/>
      <c r="N12" s="7"/>
      <c r="O12" s="3"/>
      <c r="P12" s="3"/>
      <c r="Q12" s="1"/>
      <c r="R12" s="1"/>
      <c r="S12" s="7"/>
      <c r="T12" s="7"/>
      <c r="U12" s="7"/>
      <c r="V12" s="1"/>
      <c r="W12" s="8"/>
    </row>
    <row r="13" spans="1:23" ht="59.25" customHeight="1" x14ac:dyDescent="0.25">
      <c r="A13" s="1"/>
      <c r="B13" s="366" t="s">
        <v>114</v>
      </c>
      <c r="C13" s="351" t="s">
        <v>115</v>
      </c>
      <c r="D13" s="351" t="s">
        <v>116</v>
      </c>
      <c r="E13" s="351" t="s">
        <v>113</v>
      </c>
      <c r="F13" s="351" t="s">
        <v>87</v>
      </c>
      <c r="G13" s="351" t="s">
        <v>88</v>
      </c>
      <c r="H13" s="351" t="s">
        <v>89</v>
      </c>
      <c r="I13" s="351" t="s">
        <v>117</v>
      </c>
      <c r="J13" s="351" t="s">
        <v>118</v>
      </c>
      <c r="K13" s="351" t="s">
        <v>119</v>
      </c>
      <c r="L13" s="372" t="s">
        <v>31</v>
      </c>
      <c r="M13" s="372"/>
      <c r="N13" s="372"/>
      <c r="O13" s="372"/>
      <c r="P13" s="372"/>
      <c r="Q13" s="372"/>
      <c r="R13" s="373" t="s">
        <v>11</v>
      </c>
      <c r="S13" s="373"/>
      <c r="T13" s="367" t="s">
        <v>12</v>
      </c>
      <c r="U13" s="368"/>
      <c r="V13" s="368"/>
      <c r="W13" s="369"/>
    </row>
    <row r="14" spans="1:23" ht="103.5" customHeight="1" x14ac:dyDescent="0.25">
      <c r="A14" s="1"/>
      <c r="B14" s="366"/>
      <c r="C14" s="351"/>
      <c r="D14" s="351"/>
      <c r="E14" s="351"/>
      <c r="F14" s="351"/>
      <c r="G14" s="351"/>
      <c r="H14" s="351"/>
      <c r="I14" s="351"/>
      <c r="J14" s="351"/>
      <c r="K14" s="351"/>
      <c r="L14" s="123" t="s">
        <v>90</v>
      </c>
      <c r="M14" s="123" t="s">
        <v>91</v>
      </c>
      <c r="N14" s="123" t="s">
        <v>92</v>
      </c>
      <c r="O14" s="123" t="s">
        <v>93</v>
      </c>
      <c r="P14" s="123" t="s">
        <v>94</v>
      </c>
      <c r="Q14" s="128" t="s">
        <v>95</v>
      </c>
      <c r="R14" s="123" t="s">
        <v>14</v>
      </c>
      <c r="S14" s="123" t="s">
        <v>15</v>
      </c>
      <c r="T14" s="123" t="s">
        <v>16</v>
      </c>
      <c r="U14" s="123" t="s">
        <v>96</v>
      </c>
      <c r="V14" s="370" t="s">
        <v>95</v>
      </c>
      <c r="W14" s="371"/>
    </row>
    <row r="15" spans="1:23" ht="69.95" customHeight="1" x14ac:dyDescent="0.25">
      <c r="A15" s="1"/>
      <c r="B15" s="332">
        <v>17</v>
      </c>
      <c r="C15" s="332"/>
      <c r="D15" s="339"/>
      <c r="E15" s="332"/>
      <c r="F15" s="348"/>
      <c r="G15" s="348"/>
      <c r="H15" s="348"/>
      <c r="I15" s="348"/>
      <c r="J15" s="132" t="s">
        <v>97</v>
      </c>
      <c r="K15" s="131" t="s">
        <v>98</v>
      </c>
      <c r="L15" s="145"/>
      <c r="M15" s="145"/>
      <c r="N15" s="145" t="str">
        <f>IF(M15="","",M15-L15)</f>
        <v/>
      </c>
      <c r="O15" s="145" t="str">
        <f t="shared" ref="O15:O62" si="0">IF(M15="","",((L15+M15)/2))</f>
        <v/>
      </c>
      <c r="P15" s="16"/>
      <c r="Q15" s="130"/>
      <c r="R15" s="124"/>
      <c r="S15" s="123" t="str">
        <f>IF(R15&lt;&gt;"", 0, "")</f>
        <v/>
      </c>
      <c r="T15" s="124"/>
      <c r="U15" s="123"/>
      <c r="V15" s="291"/>
      <c r="W15" s="292"/>
    </row>
    <row r="16" spans="1:23" ht="69.95" customHeight="1" x14ac:dyDescent="0.25">
      <c r="A16" s="1"/>
      <c r="B16" s="333"/>
      <c r="C16" s="333"/>
      <c r="D16" s="342"/>
      <c r="E16" s="333"/>
      <c r="F16" s="349"/>
      <c r="G16" s="349"/>
      <c r="H16" s="349"/>
      <c r="I16" s="349"/>
      <c r="J16" s="124"/>
      <c r="K16" s="131" t="s">
        <v>99</v>
      </c>
      <c r="L16" s="145"/>
      <c r="M16" s="304"/>
      <c r="N16" s="145" t="str">
        <f t="shared" ref="N16:N62" si="1">IF(M16="","",M16-L16)</f>
        <v/>
      </c>
      <c r="O16" s="145" t="str">
        <f t="shared" si="0"/>
        <v/>
      </c>
      <c r="P16" s="16"/>
      <c r="Q16" s="148"/>
      <c r="R16" s="124"/>
      <c r="S16" s="123" t="str">
        <f>IF(R16&lt;&gt;"", 0, "")</f>
        <v/>
      </c>
      <c r="T16" s="124"/>
      <c r="U16" s="123"/>
      <c r="V16" s="293"/>
      <c r="W16" s="62"/>
    </row>
    <row r="17" spans="1:23" ht="69.95" customHeight="1" x14ac:dyDescent="0.25">
      <c r="A17" s="1"/>
      <c r="B17" s="333"/>
      <c r="C17" s="333"/>
      <c r="D17" s="342"/>
      <c r="E17" s="333"/>
      <c r="F17" s="349"/>
      <c r="G17" s="349"/>
      <c r="H17" s="349"/>
      <c r="I17" s="349"/>
      <c r="J17" s="132" t="s">
        <v>100</v>
      </c>
      <c r="K17" s="131" t="s">
        <v>101</v>
      </c>
      <c r="L17" s="145"/>
      <c r="M17" s="304"/>
      <c r="N17" s="145" t="str">
        <f t="shared" si="1"/>
        <v/>
      </c>
      <c r="O17" s="145" t="str">
        <f t="shared" si="0"/>
        <v/>
      </c>
      <c r="P17" s="16"/>
      <c r="Q17" s="148"/>
      <c r="R17" s="31"/>
      <c r="S17" s="129"/>
      <c r="T17" s="124"/>
      <c r="U17" s="123"/>
      <c r="V17" s="293"/>
      <c r="W17" s="62"/>
    </row>
    <row r="18" spans="1:23" ht="69.95" customHeight="1" x14ac:dyDescent="0.25">
      <c r="A18" s="1"/>
      <c r="B18" s="333"/>
      <c r="C18" s="333"/>
      <c r="D18" s="342"/>
      <c r="E18" s="333"/>
      <c r="F18" s="349"/>
      <c r="G18" s="349"/>
      <c r="H18" s="349"/>
      <c r="I18" s="349"/>
      <c r="J18" s="124" t="str">
        <f>IF(J16="","","0.0")</f>
        <v/>
      </c>
      <c r="K18" s="131" t="s">
        <v>102</v>
      </c>
      <c r="L18" s="145"/>
      <c r="M18" s="304"/>
      <c r="N18" s="145" t="str">
        <f t="shared" si="1"/>
        <v/>
      </c>
      <c r="O18" s="145" t="str">
        <f t="shared" si="0"/>
        <v/>
      </c>
      <c r="P18" s="16"/>
      <c r="Q18" s="148"/>
      <c r="R18" s="124"/>
      <c r="S18" s="123" t="str">
        <f>IF(R18&lt;&gt;"", 0, "")</f>
        <v/>
      </c>
      <c r="T18" s="124"/>
      <c r="U18" s="123"/>
      <c r="V18" s="293"/>
      <c r="W18" s="62"/>
    </row>
    <row r="19" spans="1:23" ht="69.95" customHeight="1" x14ac:dyDescent="0.25">
      <c r="A19" s="1"/>
      <c r="B19" s="333"/>
      <c r="C19" s="333"/>
      <c r="D19" s="342"/>
      <c r="E19" s="333"/>
      <c r="F19" s="349"/>
      <c r="G19" s="349"/>
      <c r="H19" s="349"/>
      <c r="I19" s="349"/>
      <c r="J19" s="43"/>
      <c r="K19" s="131" t="s">
        <v>111</v>
      </c>
      <c r="L19" s="145"/>
      <c r="M19" s="304"/>
      <c r="N19" s="145" t="str">
        <f t="shared" si="1"/>
        <v/>
      </c>
      <c r="O19" s="145" t="str">
        <f t="shared" si="0"/>
        <v/>
      </c>
      <c r="P19" s="16"/>
      <c r="Q19" s="148"/>
      <c r="R19" s="31"/>
      <c r="S19" s="129"/>
      <c r="T19" s="124"/>
      <c r="U19" s="123"/>
      <c r="V19" s="293"/>
      <c r="W19" s="62"/>
    </row>
    <row r="20" spans="1:23" ht="69.95" customHeight="1" x14ac:dyDescent="0.25">
      <c r="A20" s="1"/>
      <c r="B20" s="334"/>
      <c r="C20" s="334"/>
      <c r="D20" s="345"/>
      <c r="E20" s="334"/>
      <c r="F20" s="350"/>
      <c r="G20" s="350"/>
      <c r="H20" s="350"/>
      <c r="I20" s="350"/>
      <c r="J20" s="43"/>
      <c r="K20" s="131" t="s">
        <v>112</v>
      </c>
      <c r="L20" s="145"/>
      <c r="M20" s="145"/>
      <c r="N20" s="145" t="str">
        <f t="shared" si="1"/>
        <v/>
      </c>
      <c r="O20" s="145" t="str">
        <f t="shared" si="0"/>
        <v/>
      </c>
      <c r="P20" s="16"/>
      <c r="Q20" s="149"/>
      <c r="R20" s="31"/>
      <c r="S20" s="129"/>
      <c r="T20" s="124"/>
      <c r="U20" s="123"/>
      <c r="V20" s="294"/>
      <c r="W20" s="295"/>
    </row>
    <row r="21" spans="1:23" ht="69.95" customHeight="1" x14ac:dyDescent="0.25">
      <c r="A21" s="1"/>
      <c r="B21" s="332">
        <v>18</v>
      </c>
      <c r="C21" s="332"/>
      <c r="D21" s="339"/>
      <c r="E21" s="332"/>
      <c r="F21" s="348"/>
      <c r="G21" s="348"/>
      <c r="H21" s="348"/>
      <c r="I21" s="348"/>
      <c r="J21" s="132" t="s">
        <v>97</v>
      </c>
      <c r="K21" s="131" t="s">
        <v>98</v>
      </c>
      <c r="L21" s="145"/>
      <c r="M21" s="145"/>
      <c r="N21" s="145" t="str">
        <f t="shared" si="1"/>
        <v/>
      </c>
      <c r="O21" s="145" t="str">
        <f t="shared" si="0"/>
        <v/>
      </c>
      <c r="P21" s="16"/>
      <c r="Q21" s="153"/>
      <c r="R21" s="124"/>
      <c r="S21" s="123" t="str">
        <f t="shared" ref="S21:S22" si="2">IF(R21&lt;&gt;"", 0, "")</f>
        <v/>
      </c>
      <c r="T21" s="124"/>
      <c r="U21" s="123"/>
      <c r="V21" s="291"/>
      <c r="W21" s="292"/>
    </row>
    <row r="22" spans="1:23" ht="69.95" customHeight="1" x14ac:dyDescent="0.25">
      <c r="A22" s="1"/>
      <c r="B22" s="333"/>
      <c r="C22" s="333"/>
      <c r="D22" s="342"/>
      <c r="E22" s="333"/>
      <c r="F22" s="349"/>
      <c r="G22" s="349"/>
      <c r="H22" s="349"/>
      <c r="I22" s="349"/>
      <c r="J22" s="124"/>
      <c r="K22" s="131" t="s">
        <v>99</v>
      </c>
      <c r="L22" s="145"/>
      <c r="M22" s="304"/>
      <c r="N22" s="145" t="str">
        <f t="shared" si="1"/>
        <v/>
      </c>
      <c r="O22" s="145" t="str">
        <f t="shared" si="0"/>
        <v/>
      </c>
      <c r="P22" s="16"/>
      <c r="Q22" s="154"/>
      <c r="R22" s="124"/>
      <c r="S22" s="123" t="str">
        <f t="shared" si="2"/>
        <v/>
      </c>
      <c r="T22" s="124"/>
      <c r="U22" s="123"/>
      <c r="V22" s="293"/>
      <c r="W22" s="62"/>
    </row>
    <row r="23" spans="1:23" ht="69.95" customHeight="1" x14ac:dyDescent="0.25">
      <c r="A23" s="1"/>
      <c r="B23" s="333"/>
      <c r="C23" s="333"/>
      <c r="D23" s="342"/>
      <c r="E23" s="333"/>
      <c r="F23" s="349"/>
      <c r="G23" s="349"/>
      <c r="H23" s="349"/>
      <c r="I23" s="349"/>
      <c r="J23" s="132" t="s">
        <v>100</v>
      </c>
      <c r="K23" s="131" t="s">
        <v>101</v>
      </c>
      <c r="L23" s="145"/>
      <c r="M23" s="304"/>
      <c r="N23" s="145" t="str">
        <f t="shared" si="1"/>
        <v/>
      </c>
      <c r="O23" s="145" t="str">
        <f t="shared" si="0"/>
        <v/>
      </c>
      <c r="P23" s="16"/>
      <c r="Q23" s="154"/>
      <c r="R23" s="31"/>
      <c r="S23" s="129"/>
      <c r="T23" s="124"/>
      <c r="U23" s="123"/>
      <c r="V23" s="293"/>
      <c r="W23" s="62"/>
    </row>
    <row r="24" spans="1:23" ht="69.95" customHeight="1" x14ac:dyDescent="0.25">
      <c r="A24" s="1"/>
      <c r="B24" s="333"/>
      <c r="C24" s="333"/>
      <c r="D24" s="342"/>
      <c r="E24" s="333"/>
      <c r="F24" s="349"/>
      <c r="G24" s="349"/>
      <c r="H24" s="349"/>
      <c r="I24" s="349"/>
      <c r="J24" s="124" t="str">
        <f>IF(J22="","","0.0")</f>
        <v/>
      </c>
      <c r="K24" s="131" t="s">
        <v>102</v>
      </c>
      <c r="L24" s="145"/>
      <c r="M24" s="304"/>
      <c r="N24" s="145" t="str">
        <f t="shared" si="1"/>
        <v/>
      </c>
      <c r="O24" s="145" t="str">
        <f t="shared" si="0"/>
        <v/>
      </c>
      <c r="P24" s="16"/>
      <c r="Q24" s="154"/>
      <c r="R24" s="124"/>
      <c r="S24" s="123" t="str">
        <f>IF(R24&lt;&gt;"", 0, "")</f>
        <v/>
      </c>
      <c r="T24" s="124"/>
      <c r="U24" s="123"/>
      <c r="V24" s="293"/>
      <c r="W24" s="62"/>
    </row>
    <row r="25" spans="1:23" ht="69.95" customHeight="1" x14ac:dyDescent="0.25">
      <c r="A25" s="1"/>
      <c r="B25" s="333"/>
      <c r="C25" s="333"/>
      <c r="D25" s="342"/>
      <c r="E25" s="333"/>
      <c r="F25" s="349"/>
      <c r="G25" s="349"/>
      <c r="H25" s="349"/>
      <c r="I25" s="349"/>
      <c r="J25" s="43"/>
      <c r="K25" s="131" t="s">
        <v>111</v>
      </c>
      <c r="L25" s="145"/>
      <c r="M25" s="304"/>
      <c r="N25" s="145" t="str">
        <f t="shared" si="1"/>
        <v/>
      </c>
      <c r="O25" s="145" t="str">
        <f t="shared" si="0"/>
        <v/>
      </c>
      <c r="P25" s="16"/>
      <c r="Q25" s="154"/>
      <c r="R25" s="31"/>
      <c r="S25" s="129"/>
      <c r="T25" s="124"/>
      <c r="U25" s="123"/>
      <c r="V25" s="293"/>
      <c r="W25" s="62"/>
    </row>
    <row r="26" spans="1:23" ht="69.95" customHeight="1" x14ac:dyDescent="0.25">
      <c r="A26" s="1"/>
      <c r="B26" s="334"/>
      <c r="C26" s="334"/>
      <c r="D26" s="345"/>
      <c r="E26" s="334"/>
      <c r="F26" s="350"/>
      <c r="G26" s="350"/>
      <c r="H26" s="350"/>
      <c r="I26" s="350"/>
      <c r="J26" s="43"/>
      <c r="K26" s="131" t="s">
        <v>112</v>
      </c>
      <c r="L26" s="145"/>
      <c r="M26" s="145"/>
      <c r="N26" s="145" t="str">
        <f t="shared" si="1"/>
        <v/>
      </c>
      <c r="O26" s="145" t="str">
        <f t="shared" si="0"/>
        <v/>
      </c>
      <c r="P26" s="16"/>
      <c r="Q26" s="155"/>
      <c r="R26" s="31"/>
      <c r="S26" s="129"/>
      <c r="T26" s="124"/>
      <c r="U26" s="123"/>
      <c r="V26" s="294"/>
      <c r="W26" s="295"/>
    </row>
    <row r="27" spans="1:23" ht="69.95" customHeight="1" x14ac:dyDescent="0.25">
      <c r="A27" s="1"/>
      <c r="B27" s="332">
        <v>19</v>
      </c>
      <c r="C27" s="332"/>
      <c r="D27" s="339"/>
      <c r="E27" s="332"/>
      <c r="F27" s="348"/>
      <c r="G27" s="348"/>
      <c r="H27" s="348"/>
      <c r="I27" s="348"/>
      <c r="J27" s="132" t="s">
        <v>97</v>
      </c>
      <c r="K27" s="131" t="s">
        <v>98</v>
      </c>
      <c r="L27" s="145"/>
      <c r="M27" s="145"/>
      <c r="N27" s="145" t="str">
        <f t="shared" si="1"/>
        <v/>
      </c>
      <c r="O27" s="145" t="str">
        <f t="shared" si="0"/>
        <v/>
      </c>
      <c r="P27" s="16"/>
      <c r="Q27" s="153"/>
      <c r="R27" s="124"/>
      <c r="S27" s="123" t="str">
        <f t="shared" ref="S27:S28" si="3">IF(R27&lt;&gt;"", 0, "")</f>
        <v/>
      </c>
      <c r="T27" s="124"/>
      <c r="U27" s="123"/>
      <c r="V27" s="291"/>
      <c r="W27" s="292"/>
    </row>
    <row r="28" spans="1:23" ht="69.95" customHeight="1" x14ac:dyDescent="0.25">
      <c r="A28" s="1"/>
      <c r="B28" s="333"/>
      <c r="C28" s="333"/>
      <c r="D28" s="342"/>
      <c r="E28" s="333"/>
      <c r="F28" s="349"/>
      <c r="G28" s="349"/>
      <c r="H28" s="349"/>
      <c r="I28" s="349"/>
      <c r="J28" s="124"/>
      <c r="K28" s="131" t="s">
        <v>99</v>
      </c>
      <c r="L28" s="145"/>
      <c r="M28" s="304"/>
      <c r="N28" s="145" t="str">
        <f t="shared" si="1"/>
        <v/>
      </c>
      <c r="O28" s="145" t="str">
        <f t="shared" si="0"/>
        <v/>
      </c>
      <c r="P28" s="16"/>
      <c r="Q28" s="154"/>
      <c r="R28" s="124"/>
      <c r="S28" s="123" t="str">
        <f t="shared" si="3"/>
        <v/>
      </c>
      <c r="T28" s="124"/>
      <c r="U28" s="123"/>
      <c r="V28" s="293"/>
      <c r="W28" s="62"/>
    </row>
    <row r="29" spans="1:23" ht="69.95" customHeight="1" x14ac:dyDescent="0.25">
      <c r="A29" s="1"/>
      <c r="B29" s="333"/>
      <c r="C29" s="333"/>
      <c r="D29" s="342"/>
      <c r="E29" s="333"/>
      <c r="F29" s="349"/>
      <c r="G29" s="349"/>
      <c r="H29" s="349"/>
      <c r="I29" s="349"/>
      <c r="J29" s="132" t="s">
        <v>100</v>
      </c>
      <c r="K29" s="131" t="s">
        <v>101</v>
      </c>
      <c r="L29" s="145"/>
      <c r="M29" s="304"/>
      <c r="N29" s="145" t="str">
        <f t="shared" si="1"/>
        <v/>
      </c>
      <c r="O29" s="145" t="str">
        <f t="shared" si="0"/>
        <v/>
      </c>
      <c r="P29" s="16"/>
      <c r="Q29" s="154"/>
      <c r="R29" s="31"/>
      <c r="S29" s="129"/>
      <c r="T29" s="124"/>
      <c r="U29" s="123"/>
      <c r="V29" s="293"/>
      <c r="W29" s="62"/>
    </row>
    <row r="30" spans="1:23" ht="69.95" customHeight="1" x14ac:dyDescent="0.25">
      <c r="A30" s="1"/>
      <c r="B30" s="333"/>
      <c r="C30" s="333"/>
      <c r="D30" s="342"/>
      <c r="E30" s="333"/>
      <c r="F30" s="349"/>
      <c r="G30" s="349"/>
      <c r="H30" s="349"/>
      <c r="I30" s="349"/>
      <c r="J30" s="124" t="str">
        <f>IF(J28="","","0.0")</f>
        <v/>
      </c>
      <c r="K30" s="131" t="s">
        <v>102</v>
      </c>
      <c r="L30" s="145"/>
      <c r="M30" s="304"/>
      <c r="N30" s="145" t="str">
        <f t="shared" si="1"/>
        <v/>
      </c>
      <c r="O30" s="145" t="str">
        <f t="shared" si="0"/>
        <v/>
      </c>
      <c r="P30" s="16"/>
      <c r="Q30" s="154"/>
      <c r="R30" s="124"/>
      <c r="S30" s="123" t="str">
        <f>IF(R30&lt;&gt;"", 0, "")</f>
        <v/>
      </c>
      <c r="T30" s="124"/>
      <c r="U30" s="123"/>
      <c r="V30" s="293"/>
      <c r="W30" s="62"/>
    </row>
    <row r="31" spans="1:23" ht="69.95" customHeight="1" x14ac:dyDescent="0.25">
      <c r="A31" s="1"/>
      <c r="B31" s="333"/>
      <c r="C31" s="333"/>
      <c r="D31" s="342"/>
      <c r="E31" s="333"/>
      <c r="F31" s="349"/>
      <c r="G31" s="349"/>
      <c r="H31" s="349"/>
      <c r="I31" s="349"/>
      <c r="J31" s="43"/>
      <c r="K31" s="131" t="s">
        <v>111</v>
      </c>
      <c r="L31" s="145"/>
      <c r="M31" s="304"/>
      <c r="N31" s="145" t="str">
        <f t="shared" si="1"/>
        <v/>
      </c>
      <c r="O31" s="145" t="str">
        <f t="shared" si="0"/>
        <v/>
      </c>
      <c r="P31" s="16"/>
      <c r="Q31" s="154"/>
      <c r="R31" s="31"/>
      <c r="S31" s="129"/>
      <c r="T31" s="124"/>
      <c r="U31" s="123"/>
      <c r="V31" s="293"/>
      <c r="W31" s="62"/>
    </row>
    <row r="32" spans="1:23" ht="69.95" customHeight="1" x14ac:dyDescent="0.25">
      <c r="A32" s="1"/>
      <c r="B32" s="334"/>
      <c r="C32" s="334"/>
      <c r="D32" s="345"/>
      <c r="E32" s="334"/>
      <c r="F32" s="350"/>
      <c r="G32" s="350"/>
      <c r="H32" s="350"/>
      <c r="I32" s="350"/>
      <c r="J32" s="43"/>
      <c r="K32" s="131" t="s">
        <v>112</v>
      </c>
      <c r="L32" s="145"/>
      <c r="M32" s="145"/>
      <c r="N32" s="145" t="str">
        <f t="shared" si="1"/>
        <v/>
      </c>
      <c r="O32" s="145" t="str">
        <f t="shared" si="0"/>
        <v/>
      </c>
      <c r="P32" s="16"/>
      <c r="Q32" s="155"/>
      <c r="R32" s="31"/>
      <c r="S32" s="129"/>
      <c r="T32" s="124"/>
      <c r="U32" s="123"/>
      <c r="V32" s="294"/>
      <c r="W32" s="295"/>
    </row>
    <row r="33" spans="1:23" ht="69.95" customHeight="1" x14ac:dyDescent="0.25">
      <c r="A33" s="1"/>
      <c r="B33" s="332">
        <v>20</v>
      </c>
      <c r="C33" s="332"/>
      <c r="D33" s="339"/>
      <c r="E33" s="332"/>
      <c r="F33" s="348"/>
      <c r="G33" s="348"/>
      <c r="H33" s="348"/>
      <c r="I33" s="348"/>
      <c r="J33" s="132" t="s">
        <v>97</v>
      </c>
      <c r="K33" s="131" t="s">
        <v>98</v>
      </c>
      <c r="L33" s="145"/>
      <c r="M33" s="145"/>
      <c r="N33" s="145" t="str">
        <f t="shared" si="1"/>
        <v/>
      </c>
      <c r="O33" s="145" t="str">
        <f t="shared" si="0"/>
        <v/>
      </c>
      <c r="P33" s="16"/>
      <c r="Q33" s="153"/>
      <c r="R33" s="124"/>
      <c r="S33" s="123" t="str">
        <f t="shared" ref="S33:S34" si="4">IF(R33&lt;&gt;"", 0, "")</f>
        <v/>
      </c>
      <c r="T33" s="124"/>
      <c r="U33" s="123"/>
      <c r="V33" s="291"/>
      <c r="W33" s="292"/>
    </row>
    <row r="34" spans="1:23" ht="69.95" customHeight="1" x14ac:dyDescent="0.25">
      <c r="A34" s="1"/>
      <c r="B34" s="333"/>
      <c r="C34" s="333"/>
      <c r="D34" s="342"/>
      <c r="E34" s="333"/>
      <c r="F34" s="349"/>
      <c r="G34" s="349"/>
      <c r="H34" s="349"/>
      <c r="I34" s="349"/>
      <c r="J34" s="124"/>
      <c r="K34" s="131" t="s">
        <v>99</v>
      </c>
      <c r="L34" s="145"/>
      <c r="M34" s="304"/>
      <c r="N34" s="145" t="str">
        <f t="shared" si="1"/>
        <v/>
      </c>
      <c r="O34" s="145" t="str">
        <f t="shared" si="0"/>
        <v/>
      </c>
      <c r="P34" s="16"/>
      <c r="Q34" s="154"/>
      <c r="R34" s="124"/>
      <c r="S34" s="123" t="str">
        <f t="shared" si="4"/>
        <v/>
      </c>
      <c r="T34" s="124"/>
      <c r="U34" s="123"/>
      <c r="V34" s="293"/>
      <c r="W34" s="62"/>
    </row>
    <row r="35" spans="1:23" ht="69.95" customHeight="1" x14ac:dyDescent="0.25">
      <c r="A35" s="1"/>
      <c r="B35" s="333"/>
      <c r="C35" s="333"/>
      <c r="D35" s="342"/>
      <c r="E35" s="333"/>
      <c r="F35" s="349"/>
      <c r="G35" s="349"/>
      <c r="H35" s="349"/>
      <c r="I35" s="349"/>
      <c r="J35" s="132" t="s">
        <v>100</v>
      </c>
      <c r="K35" s="131" t="s">
        <v>101</v>
      </c>
      <c r="L35" s="145"/>
      <c r="M35" s="304"/>
      <c r="N35" s="145" t="str">
        <f t="shared" si="1"/>
        <v/>
      </c>
      <c r="O35" s="145" t="str">
        <f t="shared" si="0"/>
        <v/>
      </c>
      <c r="P35" s="16"/>
      <c r="Q35" s="154"/>
      <c r="R35" s="31"/>
      <c r="S35" s="129"/>
      <c r="T35" s="124"/>
      <c r="U35" s="123"/>
      <c r="V35" s="293"/>
      <c r="W35" s="62"/>
    </row>
    <row r="36" spans="1:23" ht="69.95" customHeight="1" x14ac:dyDescent="0.25">
      <c r="A36" s="1"/>
      <c r="B36" s="333"/>
      <c r="C36" s="333"/>
      <c r="D36" s="342"/>
      <c r="E36" s="333"/>
      <c r="F36" s="349"/>
      <c r="G36" s="349"/>
      <c r="H36" s="349"/>
      <c r="I36" s="349"/>
      <c r="J36" s="124" t="str">
        <f>IF(J34="","","0.0")</f>
        <v/>
      </c>
      <c r="K36" s="131" t="s">
        <v>102</v>
      </c>
      <c r="L36" s="145"/>
      <c r="M36" s="304"/>
      <c r="N36" s="145" t="str">
        <f t="shared" si="1"/>
        <v/>
      </c>
      <c r="O36" s="145" t="str">
        <f t="shared" si="0"/>
        <v/>
      </c>
      <c r="P36" s="16"/>
      <c r="Q36" s="154"/>
      <c r="R36" s="124"/>
      <c r="S36" s="123" t="str">
        <f>IF(R36&lt;&gt;"", 0, "")</f>
        <v/>
      </c>
      <c r="T36" s="124"/>
      <c r="U36" s="123"/>
      <c r="V36" s="293"/>
      <c r="W36" s="62"/>
    </row>
    <row r="37" spans="1:23" ht="69.95" customHeight="1" x14ac:dyDescent="0.25">
      <c r="A37" s="1"/>
      <c r="B37" s="333"/>
      <c r="C37" s="333"/>
      <c r="D37" s="342"/>
      <c r="E37" s="333"/>
      <c r="F37" s="349"/>
      <c r="G37" s="349"/>
      <c r="H37" s="349"/>
      <c r="I37" s="349"/>
      <c r="J37" s="43"/>
      <c r="K37" s="131" t="s">
        <v>111</v>
      </c>
      <c r="L37" s="145"/>
      <c r="M37" s="304"/>
      <c r="N37" s="145" t="str">
        <f t="shared" si="1"/>
        <v/>
      </c>
      <c r="O37" s="145" t="str">
        <f t="shared" si="0"/>
        <v/>
      </c>
      <c r="P37" s="16"/>
      <c r="Q37" s="154"/>
      <c r="R37" s="31"/>
      <c r="S37" s="129"/>
      <c r="T37" s="124"/>
      <c r="U37" s="123"/>
      <c r="V37" s="293"/>
      <c r="W37" s="62"/>
    </row>
    <row r="38" spans="1:23" ht="69.95" customHeight="1" x14ac:dyDescent="0.25">
      <c r="A38" s="1"/>
      <c r="B38" s="334"/>
      <c r="C38" s="334"/>
      <c r="D38" s="345"/>
      <c r="E38" s="334"/>
      <c r="F38" s="350"/>
      <c r="G38" s="350"/>
      <c r="H38" s="350"/>
      <c r="I38" s="350"/>
      <c r="J38" s="43"/>
      <c r="K38" s="131" t="s">
        <v>112</v>
      </c>
      <c r="L38" s="145"/>
      <c r="M38" s="145"/>
      <c r="N38" s="145" t="str">
        <f t="shared" si="1"/>
        <v/>
      </c>
      <c r="O38" s="145" t="str">
        <f t="shared" si="0"/>
        <v/>
      </c>
      <c r="P38" s="16"/>
      <c r="Q38" s="155"/>
      <c r="R38" s="31"/>
      <c r="S38" s="129"/>
      <c r="T38" s="124"/>
      <c r="U38" s="123"/>
      <c r="V38" s="294"/>
      <c r="W38" s="295"/>
    </row>
    <row r="39" spans="1:23" ht="69.95" customHeight="1" x14ac:dyDescent="0.25">
      <c r="A39" s="1"/>
      <c r="B39" s="332">
        <v>21</v>
      </c>
      <c r="C39" s="332"/>
      <c r="D39" s="339"/>
      <c r="E39" s="332"/>
      <c r="F39" s="348"/>
      <c r="G39" s="348"/>
      <c r="H39" s="348"/>
      <c r="I39" s="348"/>
      <c r="J39" s="132" t="s">
        <v>97</v>
      </c>
      <c r="K39" s="131" t="s">
        <v>98</v>
      </c>
      <c r="L39" s="145"/>
      <c r="M39" s="145"/>
      <c r="N39" s="145" t="str">
        <f t="shared" si="1"/>
        <v/>
      </c>
      <c r="O39" s="145" t="str">
        <f t="shared" si="0"/>
        <v/>
      </c>
      <c r="P39" s="16"/>
      <c r="Q39" s="153"/>
      <c r="R39" s="124"/>
      <c r="S39" s="123" t="str">
        <f t="shared" ref="S39:S40" si="5">IF(R39&lt;&gt;"", 0, "")</f>
        <v/>
      </c>
      <c r="T39" s="124"/>
      <c r="U39" s="123"/>
      <c r="V39" s="291"/>
      <c r="W39" s="292"/>
    </row>
    <row r="40" spans="1:23" ht="69.95" customHeight="1" x14ac:dyDescent="0.25">
      <c r="A40" s="1"/>
      <c r="B40" s="333"/>
      <c r="C40" s="333"/>
      <c r="D40" s="342"/>
      <c r="E40" s="333"/>
      <c r="F40" s="349"/>
      <c r="G40" s="349"/>
      <c r="H40" s="349"/>
      <c r="I40" s="349"/>
      <c r="J40" s="124"/>
      <c r="K40" s="131" t="s">
        <v>99</v>
      </c>
      <c r="L40" s="145"/>
      <c r="M40" s="304"/>
      <c r="N40" s="145" t="str">
        <f t="shared" si="1"/>
        <v/>
      </c>
      <c r="O40" s="145" t="str">
        <f t="shared" si="0"/>
        <v/>
      </c>
      <c r="P40" s="16"/>
      <c r="Q40" s="154"/>
      <c r="R40" s="124"/>
      <c r="S40" s="123" t="str">
        <f t="shared" si="5"/>
        <v/>
      </c>
      <c r="T40" s="124"/>
      <c r="U40" s="123"/>
      <c r="V40" s="293"/>
      <c r="W40" s="62"/>
    </row>
    <row r="41" spans="1:23" ht="69.95" customHeight="1" x14ac:dyDescent="0.25">
      <c r="A41" s="1"/>
      <c r="B41" s="333"/>
      <c r="C41" s="333"/>
      <c r="D41" s="342"/>
      <c r="E41" s="333"/>
      <c r="F41" s="349"/>
      <c r="G41" s="349"/>
      <c r="H41" s="349"/>
      <c r="I41" s="349"/>
      <c r="J41" s="132" t="s">
        <v>100</v>
      </c>
      <c r="K41" s="131" t="s">
        <v>101</v>
      </c>
      <c r="L41" s="145"/>
      <c r="M41" s="304"/>
      <c r="N41" s="145" t="str">
        <f t="shared" si="1"/>
        <v/>
      </c>
      <c r="O41" s="145" t="str">
        <f t="shared" si="0"/>
        <v/>
      </c>
      <c r="P41" s="16"/>
      <c r="Q41" s="154"/>
      <c r="R41" s="31"/>
      <c r="S41" s="129"/>
      <c r="T41" s="124"/>
      <c r="U41" s="123"/>
      <c r="V41" s="293"/>
      <c r="W41" s="62"/>
    </row>
    <row r="42" spans="1:23" ht="69.95" customHeight="1" x14ac:dyDescent="0.25">
      <c r="A42" s="1"/>
      <c r="B42" s="333"/>
      <c r="C42" s="333"/>
      <c r="D42" s="342"/>
      <c r="E42" s="333"/>
      <c r="F42" s="349"/>
      <c r="G42" s="349"/>
      <c r="H42" s="349"/>
      <c r="I42" s="349"/>
      <c r="J42" s="124" t="str">
        <f>IF(J40="","","0.0")</f>
        <v/>
      </c>
      <c r="K42" s="131" t="s">
        <v>102</v>
      </c>
      <c r="L42" s="145"/>
      <c r="M42" s="304"/>
      <c r="N42" s="145" t="str">
        <f t="shared" si="1"/>
        <v/>
      </c>
      <c r="O42" s="145" t="str">
        <f t="shared" si="0"/>
        <v/>
      </c>
      <c r="P42" s="16"/>
      <c r="Q42" s="154"/>
      <c r="R42" s="124"/>
      <c r="S42" s="123" t="str">
        <f>IF(R42&lt;&gt;"", 0, "")</f>
        <v/>
      </c>
      <c r="T42" s="124"/>
      <c r="U42" s="123"/>
      <c r="V42" s="293"/>
      <c r="W42" s="62"/>
    </row>
    <row r="43" spans="1:23" ht="69.95" customHeight="1" x14ac:dyDescent="0.25">
      <c r="A43" s="1"/>
      <c r="B43" s="333"/>
      <c r="C43" s="333"/>
      <c r="D43" s="342"/>
      <c r="E43" s="333"/>
      <c r="F43" s="349"/>
      <c r="G43" s="349"/>
      <c r="H43" s="349"/>
      <c r="I43" s="349"/>
      <c r="J43" s="43"/>
      <c r="K43" s="131" t="s">
        <v>111</v>
      </c>
      <c r="L43" s="145"/>
      <c r="M43" s="304"/>
      <c r="N43" s="145" t="str">
        <f t="shared" si="1"/>
        <v/>
      </c>
      <c r="O43" s="145" t="str">
        <f t="shared" si="0"/>
        <v/>
      </c>
      <c r="P43" s="16"/>
      <c r="Q43" s="154"/>
      <c r="R43" s="31"/>
      <c r="S43" s="129"/>
      <c r="T43" s="124"/>
      <c r="U43" s="123"/>
      <c r="V43" s="293"/>
      <c r="W43" s="62"/>
    </row>
    <row r="44" spans="1:23" ht="69.95" customHeight="1" x14ac:dyDescent="0.25">
      <c r="A44" s="1"/>
      <c r="B44" s="334"/>
      <c r="C44" s="334"/>
      <c r="D44" s="345"/>
      <c r="E44" s="334"/>
      <c r="F44" s="350"/>
      <c r="G44" s="350"/>
      <c r="H44" s="350"/>
      <c r="I44" s="350"/>
      <c r="J44" s="43"/>
      <c r="K44" s="131" t="s">
        <v>112</v>
      </c>
      <c r="L44" s="145"/>
      <c r="M44" s="145"/>
      <c r="N44" s="145" t="str">
        <f t="shared" si="1"/>
        <v/>
      </c>
      <c r="O44" s="145" t="str">
        <f t="shared" si="0"/>
        <v/>
      </c>
      <c r="P44" s="16"/>
      <c r="Q44" s="155"/>
      <c r="R44" s="31"/>
      <c r="S44" s="129"/>
      <c r="T44" s="124"/>
      <c r="U44" s="123"/>
      <c r="V44" s="294"/>
      <c r="W44" s="295"/>
    </row>
    <row r="45" spans="1:23" ht="69.95" customHeight="1" x14ac:dyDescent="0.25">
      <c r="A45" s="1"/>
      <c r="B45" s="332">
        <v>22</v>
      </c>
      <c r="C45" s="332"/>
      <c r="D45" s="339"/>
      <c r="E45" s="332"/>
      <c r="F45" s="348"/>
      <c r="G45" s="348"/>
      <c r="H45" s="348"/>
      <c r="I45" s="348"/>
      <c r="J45" s="132" t="s">
        <v>97</v>
      </c>
      <c r="K45" s="131" t="s">
        <v>98</v>
      </c>
      <c r="L45" s="145"/>
      <c r="M45" s="145"/>
      <c r="N45" s="145" t="str">
        <f t="shared" si="1"/>
        <v/>
      </c>
      <c r="O45" s="145" t="str">
        <f t="shared" si="0"/>
        <v/>
      </c>
      <c r="P45" s="16"/>
      <c r="Q45" s="153"/>
      <c r="R45" s="124"/>
      <c r="S45" s="123" t="str">
        <f t="shared" ref="S45:S46" si="6">IF(R45&lt;&gt;"", 0, "")</f>
        <v/>
      </c>
      <c r="T45" s="124"/>
      <c r="U45" s="123"/>
      <c r="V45" s="291"/>
      <c r="W45" s="292"/>
    </row>
    <row r="46" spans="1:23" ht="69.95" customHeight="1" x14ac:dyDescent="0.25">
      <c r="A46" s="1"/>
      <c r="B46" s="333"/>
      <c r="C46" s="333"/>
      <c r="D46" s="342"/>
      <c r="E46" s="333"/>
      <c r="F46" s="349"/>
      <c r="G46" s="349"/>
      <c r="H46" s="349"/>
      <c r="I46" s="349"/>
      <c r="J46" s="124"/>
      <c r="K46" s="131" t="s">
        <v>99</v>
      </c>
      <c r="L46" s="145"/>
      <c r="M46" s="304"/>
      <c r="N46" s="145" t="str">
        <f t="shared" si="1"/>
        <v/>
      </c>
      <c r="O46" s="145" t="str">
        <f t="shared" si="0"/>
        <v/>
      </c>
      <c r="P46" s="16"/>
      <c r="Q46" s="154"/>
      <c r="R46" s="124"/>
      <c r="S46" s="123" t="str">
        <f t="shared" si="6"/>
        <v/>
      </c>
      <c r="T46" s="124"/>
      <c r="U46" s="123"/>
      <c r="V46" s="293"/>
      <c r="W46" s="62"/>
    </row>
    <row r="47" spans="1:23" ht="69.95" customHeight="1" x14ac:dyDescent="0.25">
      <c r="A47" s="1"/>
      <c r="B47" s="333"/>
      <c r="C47" s="333"/>
      <c r="D47" s="342"/>
      <c r="E47" s="333"/>
      <c r="F47" s="349"/>
      <c r="G47" s="349"/>
      <c r="H47" s="349"/>
      <c r="I47" s="349"/>
      <c r="J47" s="132" t="s">
        <v>100</v>
      </c>
      <c r="K47" s="131" t="s">
        <v>101</v>
      </c>
      <c r="L47" s="145"/>
      <c r="M47" s="304"/>
      <c r="N47" s="145" t="str">
        <f t="shared" si="1"/>
        <v/>
      </c>
      <c r="O47" s="145" t="str">
        <f t="shared" si="0"/>
        <v/>
      </c>
      <c r="P47" s="16"/>
      <c r="Q47" s="154"/>
      <c r="R47" s="31"/>
      <c r="S47" s="129"/>
      <c r="T47" s="124"/>
      <c r="U47" s="123"/>
      <c r="V47" s="293"/>
      <c r="W47" s="62"/>
    </row>
    <row r="48" spans="1:23" ht="69.95" customHeight="1" x14ac:dyDescent="0.25">
      <c r="A48" s="1"/>
      <c r="B48" s="333"/>
      <c r="C48" s="333"/>
      <c r="D48" s="342"/>
      <c r="E48" s="333"/>
      <c r="F48" s="349"/>
      <c r="G48" s="349"/>
      <c r="H48" s="349"/>
      <c r="I48" s="349"/>
      <c r="J48" s="124" t="str">
        <f>IF(J46="","","0.0")</f>
        <v/>
      </c>
      <c r="K48" s="131" t="s">
        <v>102</v>
      </c>
      <c r="L48" s="145"/>
      <c r="M48" s="304"/>
      <c r="N48" s="145" t="str">
        <f t="shared" si="1"/>
        <v/>
      </c>
      <c r="O48" s="145" t="str">
        <f t="shared" si="0"/>
        <v/>
      </c>
      <c r="P48" s="16"/>
      <c r="Q48" s="154"/>
      <c r="R48" s="124"/>
      <c r="S48" s="123" t="str">
        <f>IF(R48&lt;&gt;"", 0, "")</f>
        <v/>
      </c>
      <c r="T48" s="124"/>
      <c r="U48" s="123"/>
      <c r="V48" s="293"/>
      <c r="W48" s="62"/>
    </row>
    <row r="49" spans="1:23" ht="69.95" customHeight="1" x14ac:dyDescent="0.25">
      <c r="A49" s="1"/>
      <c r="B49" s="333"/>
      <c r="C49" s="333"/>
      <c r="D49" s="342"/>
      <c r="E49" s="333"/>
      <c r="F49" s="349"/>
      <c r="G49" s="349"/>
      <c r="H49" s="349"/>
      <c r="I49" s="349"/>
      <c r="J49" s="43"/>
      <c r="K49" s="131" t="s">
        <v>111</v>
      </c>
      <c r="L49" s="145"/>
      <c r="M49" s="304"/>
      <c r="N49" s="145" t="str">
        <f t="shared" si="1"/>
        <v/>
      </c>
      <c r="O49" s="145" t="str">
        <f t="shared" si="0"/>
        <v/>
      </c>
      <c r="P49" s="16"/>
      <c r="Q49" s="154"/>
      <c r="R49" s="31"/>
      <c r="S49" s="129"/>
      <c r="T49" s="124"/>
      <c r="U49" s="123"/>
      <c r="V49" s="293"/>
      <c r="W49" s="62"/>
    </row>
    <row r="50" spans="1:23" ht="69.95" customHeight="1" x14ac:dyDescent="0.25">
      <c r="A50" s="1"/>
      <c r="B50" s="334"/>
      <c r="C50" s="334"/>
      <c r="D50" s="345"/>
      <c r="E50" s="334"/>
      <c r="F50" s="350"/>
      <c r="G50" s="350"/>
      <c r="H50" s="350"/>
      <c r="I50" s="350"/>
      <c r="J50" s="43"/>
      <c r="K50" s="131" t="s">
        <v>112</v>
      </c>
      <c r="L50" s="145"/>
      <c r="M50" s="145"/>
      <c r="N50" s="145" t="str">
        <f t="shared" si="1"/>
        <v/>
      </c>
      <c r="O50" s="145" t="str">
        <f t="shared" si="0"/>
        <v/>
      </c>
      <c r="P50" s="16"/>
      <c r="Q50" s="155"/>
      <c r="R50" s="31"/>
      <c r="S50" s="129"/>
      <c r="T50" s="124"/>
      <c r="U50" s="123"/>
      <c r="V50" s="294"/>
      <c r="W50" s="295"/>
    </row>
    <row r="51" spans="1:23" ht="69.95" customHeight="1" x14ac:dyDescent="0.25">
      <c r="A51" s="1"/>
      <c r="B51" s="332">
        <v>23</v>
      </c>
      <c r="C51" s="332"/>
      <c r="D51" s="339"/>
      <c r="E51" s="332"/>
      <c r="F51" s="348"/>
      <c r="G51" s="348"/>
      <c r="H51" s="348"/>
      <c r="I51" s="348"/>
      <c r="J51" s="132" t="s">
        <v>97</v>
      </c>
      <c r="K51" s="131" t="s">
        <v>98</v>
      </c>
      <c r="L51" s="145"/>
      <c r="M51" s="145"/>
      <c r="N51" s="145" t="str">
        <f t="shared" si="1"/>
        <v/>
      </c>
      <c r="O51" s="145" t="str">
        <f t="shared" si="0"/>
        <v/>
      </c>
      <c r="P51" s="16"/>
      <c r="Q51" s="153"/>
      <c r="R51" s="124"/>
      <c r="S51" s="123" t="str">
        <f t="shared" ref="S51:S52" si="7">IF(R51&lt;&gt;"", 0, "")</f>
        <v/>
      </c>
      <c r="T51" s="124"/>
      <c r="U51" s="123"/>
      <c r="V51" s="291"/>
      <c r="W51" s="292"/>
    </row>
    <row r="52" spans="1:23" ht="69.95" customHeight="1" x14ac:dyDescent="0.25">
      <c r="A52" s="1"/>
      <c r="B52" s="333"/>
      <c r="C52" s="333"/>
      <c r="D52" s="342"/>
      <c r="E52" s="333"/>
      <c r="F52" s="349"/>
      <c r="G52" s="349"/>
      <c r="H52" s="349"/>
      <c r="I52" s="349"/>
      <c r="J52" s="124"/>
      <c r="K52" s="131" t="s">
        <v>99</v>
      </c>
      <c r="L52" s="145"/>
      <c r="M52" s="304"/>
      <c r="N52" s="145" t="str">
        <f t="shared" si="1"/>
        <v/>
      </c>
      <c r="O52" s="145" t="str">
        <f t="shared" si="0"/>
        <v/>
      </c>
      <c r="P52" s="16"/>
      <c r="Q52" s="154"/>
      <c r="R52" s="124"/>
      <c r="S52" s="123" t="str">
        <f t="shared" si="7"/>
        <v/>
      </c>
      <c r="T52" s="124"/>
      <c r="U52" s="123"/>
      <c r="V52" s="293"/>
      <c r="W52" s="62"/>
    </row>
    <row r="53" spans="1:23" ht="69.95" customHeight="1" x14ac:dyDescent="0.25">
      <c r="A53" s="1"/>
      <c r="B53" s="333"/>
      <c r="C53" s="333"/>
      <c r="D53" s="342"/>
      <c r="E53" s="333"/>
      <c r="F53" s="349"/>
      <c r="G53" s="349"/>
      <c r="H53" s="349"/>
      <c r="I53" s="349"/>
      <c r="J53" s="132" t="s">
        <v>100</v>
      </c>
      <c r="K53" s="131" t="s">
        <v>101</v>
      </c>
      <c r="L53" s="145"/>
      <c r="M53" s="304"/>
      <c r="N53" s="145" t="str">
        <f t="shared" si="1"/>
        <v/>
      </c>
      <c r="O53" s="145" t="str">
        <f t="shared" si="0"/>
        <v/>
      </c>
      <c r="P53" s="16"/>
      <c r="Q53" s="154"/>
      <c r="R53" s="31"/>
      <c r="S53" s="129"/>
      <c r="T53" s="124"/>
      <c r="U53" s="123"/>
      <c r="V53" s="293"/>
      <c r="W53" s="62"/>
    </row>
    <row r="54" spans="1:23" ht="69.95" customHeight="1" x14ac:dyDescent="0.25">
      <c r="A54" s="1"/>
      <c r="B54" s="333"/>
      <c r="C54" s="333"/>
      <c r="D54" s="342"/>
      <c r="E54" s="333"/>
      <c r="F54" s="349"/>
      <c r="G54" s="349"/>
      <c r="H54" s="349"/>
      <c r="I54" s="349"/>
      <c r="J54" s="124" t="str">
        <f>IF(J52="","","0.0")</f>
        <v/>
      </c>
      <c r="K54" s="131" t="s">
        <v>102</v>
      </c>
      <c r="L54" s="145"/>
      <c r="M54" s="304"/>
      <c r="N54" s="145" t="str">
        <f t="shared" si="1"/>
        <v/>
      </c>
      <c r="O54" s="145" t="str">
        <f t="shared" si="0"/>
        <v/>
      </c>
      <c r="P54" s="16"/>
      <c r="Q54" s="154"/>
      <c r="R54" s="124"/>
      <c r="S54" s="123" t="str">
        <f>IF(R54&lt;&gt;"", 0, "")</f>
        <v/>
      </c>
      <c r="T54" s="124"/>
      <c r="U54" s="123"/>
      <c r="V54" s="293"/>
      <c r="W54" s="62"/>
    </row>
    <row r="55" spans="1:23" ht="69.95" customHeight="1" x14ac:dyDescent="0.25">
      <c r="A55" s="1"/>
      <c r="B55" s="333"/>
      <c r="C55" s="333"/>
      <c r="D55" s="342"/>
      <c r="E55" s="333"/>
      <c r="F55" s="349"/>
      <c r="G55" s="349"/>
      <c r="H55" s="349"/>
      <c r="I55" s="349"/>
      <c r="J55" s="43"/>
      <c r="K55" s="131" t="s">
        <v>111</v>
      </c>
      <c r="L55" s="145"/>
      <c r="M55" s="304"/>
      <c r="N55" s="145" t="str">
        <f t="shared" si="1"/>
        <v/>
      </c>
      <c r="O55" s="145" t="str">
        <f t="shared" si="0"/>
        <v/>
      </c>
      <c r="P55" s="16"/>
      <c r="Q55" s="154"/>
      <c r="R55" s="31"/>
      <c r="S55" s="129"/>
      <c r="T55" s="124"/>
      <c r="U55" s="123"/>
      <c r="V55" s="293"/>
      <c r="W55" s="62"/>
    </row>
    <row r="56" spans="1:23" ht="69.95" customHeight="1" x14ac:dyDescent="0.25">
      <c r="A56" s="1"/>
      <c r="B56" s="334"/>
      <c r="C56" s="334"/>
      <c r="D56" s="345"/>
      <c r="E56" s="334"/>
      <c r="F56" s="350"/>
      <c r="G56" s="350"/>
      <c r="H56" s="350"/>
      <c r="I56" s="350"/>
      <c r="J56" s="43"/>
      <c r="K56" s="131" t="s">
        <v>112</v>
      </c>
      <c r="L56" s="145"/>
      <c r="M56" s="145"/>
      <c r="N56" s="145" t="str">
        <f t="shared" si="1"/>
        <v/>
      </c>
      <c r="O56" s="145" t="str">
        <f t="shared" si="0"/>
        <v/>
      </c>
      <c r="P56" s="16"/>
      <c r="Q56" s="155"/>
      <c r="R56" s="31"/>
      <c r="S56" s="129"/>
      <c r="T56" s="124"/>
      <c r="U56" s="123"/>
      <c r="V56" s="294"/>
      <c r="W56" s="295"/>
    </row>
    <row r="57" spans="1:23" ht="69.95" customHeight="1" x14ac:dyDescent="0.25">
      <c r="A57" s="1"/>
      <c r="B57" s="332">
        <v>24</v>
      </c>
      <c r="C57" s="332"/>
      <c r="D57" s="339"/>
      <c r="E57" s="332"/>
      <c r="F57" s="348"/>
      <c r="G57" s="348"/>
      <c r="H57" s="348"/>
      <c r="I57" s="348"/>
      <c r="J57" s="132" t="s">
        <v>97</v>
      </c>
      <c r="K57" s="131" t="s">
        <v>98</v>
      </c>
      <c r="L57" s="145"/>
      <c r="M57" s="145"/>
      <c r="N57" s="145" t="str">
        <f t="shared" si="1"/>
        <v/>
      </c>
      <c r="O57" s="145" t="str">
        <f t="shared" si="0"/>
        <v/>
      </c>
      <c r="P57" s="16"/>
      <c r="Q57" s="153"/>
      <c r="R57" s="124"/>
      <c r="S57" s="123" t="str">
        <f t="shared" ref="S57:S58" si="8">IF(R57&lt;&gt;"", 0, "")</f>
        <v/>
      </c>
      <c r="T57" s="124"/>
      <c r="U57" s="123"/>
      <c r="V57" s="291"/>
      <c r="W57" s="292"/>
    </row>
    <row r="58" spans="1:23" ht="69.95" customHeight="1" x14ac:dyDescent="0.25">
      <c r="A58" s="1"/>
      <c r="B58" s="333"/>
      <c r="C58" s="333"/>
      <c r="D58" s="342"/>
      <c r="E58" s="333"/>
      <c r="F58" s="349"/>
      <c r="G58" s="349"/>
      <c r="H58" s="349"/>
      <c r="I58" s="349"/>
      <c r="J58" s="124"/>
      <c r="K58" s="131" t="s">
        <v>99</v>
      </c>
      <c r="L58" s="145"/>
      <c r="M58" s="304"/>
      <c r="N58" s="145" t="str">
        <f t="shared" si="1"/>
        <v/>
      </c>
      <c r="O58" s="145" t="str">
        <f t="shared" si="0"/>
        <v/>
      </c>
      <c r="P58" s="16"/>
      <c r="Q58" s="154"/>
      <c r="R58" s="124"/>
      <c r="S58" s="123" t="str">
        <f t="shared" si="8"/>
        <v/>
      </c>
      <c r="T58" s="124"/>
      <c r="U58" s="123"/>
      <c r="V58" s="293"/>
      <c r="W58" s="62"/>
    </row>
    <row r="59" spans="1:23" ht="69.95" customHeight="1" x14ac:dyDescent="0.25">
      <c r="A59" s="1"/>
      <c r="B59" s="333"/>
      <c r="C59" s="333"/>
      <c r="D59" s="342"/>
      <c r="E59" s="333"/>
      <c r="F59" s="349"/>
      <c r="G59" s="349"/>
      <c r="H59" s="349"/>
      <c r="I59" s="349"/>
      <c r="J59" s="132" t="s">
        <v>100</v>
      </c>
      <c r="K59" s="131" t="s">
        <v>101</v>
      </c>
      <c r="L59" s="145"/>
      <c r="M59" s="304"/>
      <c r="N59" s="145" t="str">
        <f t="shared" si="1"/>
        <v/>
      </c>
      <c r="O59" s="145" t="str">
        <f t="shared" si="0"/>
        <v/>
      </c>
      <c r="P59" s="16"/>
      <c r="Q59" s="154"/>
      <c r="R59" s="31"/>
      <c r="S59" s="129"/>
      <c r="T59" s="124"/>
      <c r="U59" s="123"/>
      <c r="V59" s="293"/>
      <c r="W59" s="62"/>
    </row>
    <row r="60" spans="1:23" ht="69.95" customHeight="1" x14ac:dyDescent="0.25">
      <c r="A60" s="1"/>
      <c r="B60" s="333"/>
      <c r="C60" s="333"/>
      <c r="D60" s="342"/>
      <c r="E60" s="333"/>
      <c r="F60" s="349"/>
      <c r="G60" s="349"/>
      <c r="H60" s="349"/>
      <c r="I60" s="349"/>
      <c r="J60" s="124" t="str">
        <f>IF(J58="","","0.0")</f>
        <v/>
      </c>
      <c r="K60" s="131" t="s">
        <v>102</v>
      </c>
      <c r="L60" s="145"/>
      <c r="M60" s="304"/>
      <c r="N60" s="145" t="str">
        <f t="shared" si="1"/>
        <v/>
      </c>
      <c r="O60" s="145" t="str">
        <f t="shared" si="0"/>
        <v/>
      </c>
      <c r="P60" s="16"/>
      <c r="Q60" s="154"/>
      <c r="R60" s="124"/>
      <c r="S60" s="123" t="str">
        <f>IF(R60&lt;&gt;"", 0, "")</f>
        <v/>
      </c>
      <c r="T60" s="124"/>
      <c r="U60" s="123"/>
      <c r="V60" s="293"/>
      <c r="W60" s="62"/>
    </row>
    <row r="61" spans="1:23" ht="69.95" customHeight="1" x14ac:dyDescent="0.25">
      <c r="A61" s="1"/>
      <c r="B61" s="333"/>
      <c r="C61" s="333"/>
      <c r="D61" s="342"/>
      <c r="E61" s="333"/>
      <c r="F61" s="349"/>
      <c r="G61" s="349"/>
      <c r="H61" s="349"/>
      <c r="I61" s="349"/>
      <c r="J61" s="43"/>
      <c r="K61" s="131" t="s">
        <v>111</v>
      </c>
      <c r="L61" s="145"/>
      <c r="M61" s="304"/>
      <c r="N61" s="145" t="str">
        <f t="shared" si="1"/>
        <v/>
      </c>
      <c r="O61" s="145" t="str">
        <f t="shared" si="0"/>
        <v/>
      </c>
      <c r="P61" s="16"/>
      <c r="Q61" s="154"/>
      <c r="R61" s="31"/>
      <c r="S61" s="129"/>
      <c r="T61" s="124"/>
      <c r="U61" s="123"/>
      <c r="V61" s="293"/>
      <c r="W61" s="62"/>
    </row>
    <row r="62" spans="1:23" ht="69.95" customHeight="1" x14ac:dyDescent="0.25">
      <c r="A62" s="1"/>
      <c r="B62" s="333"/>
      <c r="C62" s="333"/>
      <c r="D62" s="342"/>
      <c r="E62" s="334"/>
      <c r="F62" s="350"/>
      <c r="G62" s="350"/>
      <c r="H62" s="350"/>
      <c r="I62" s="349"/>
      <c r="J62" s="43"/>
      <c r="K62" s="131" t="s">
        <v>112</v>
      </c>
      <c r="L62" s="145"/>
      <c r="M62" s="145"/>
      <c r="N62" s="145" t="str">
        <f t="shared" si="1"/>
        <v/>
      </c>
      <c r="O62" s="145" t="str">
        <f t="shared" si="0"/>
        <v/>
      </c>
      <c r="P62" s="16"/>
      <c r="Q62" s="155"/>
      <c r="R62" s="18"/>
      <c r="S62" s="33"/>
      <c r="T62" s="121"/>
      <c r="U62" s="130"/>
      <c r="V62" s="294"/>
      <c r="W62" s="295"/>
    </row>
    <row r="63" spans="1:23" ht="69.95" customHeight="1" x14ac:dyDescent="0.25">
      <c r="A63" s="1"/>
      <c r="B63" s="384"/>
      <c r="C63" s="382"/>
      <c r="D63" s="382"/>
      <c r="E63" s="382"/>
      <c r="F63" s="382"/>
      <c r="G63" s="382"/>
      <c r="H63" s="382"/>
      <c r="I63" s="382"/>
      <c r="J63" s="382"/>
      <c r="K63" s="135"/>
      <c r="L63" s="136"/>
      <c r="M63" s="135"/>
      <c r="N63" s="135"/>
      <c r="O63" s="135"/>
      <c r="P63" s="137"/>
      <c r="Q63" s="376"/>
      <c r="R63" s="138"/>
      <c r="S63" s="138"/>
      <c r="T63" s="138"/>
      <c r="U63" s="138"/>
      <c r="V63" s="382"/>
      <c r="W63" s="383"/>
    </row>
    <row r="64" spans="1:23" ht="69.95" customHeight="1" x14ac:dyDescent="0.25">
      <c r="A64" s="1"/>
      <c r="B64" s="374"/>
      <c r="C64" s="375"/>
      <c r="D64" s="375"/>
      <c r="E64" s="375"/>
      <c r="F64" s="375"/>
      <c r="G64" s="375"/>
      <c r="H64" s="375"/>
      <c r="I64" s="375"/>
      <c r="J64" s="375"/>
      <c r="K64" s="139"/>
      <c r="L64" s="140"/>
      <c r="M64" s="139"/>
      <c r="N64" s="139"/>
      <c r="O64" s="139"/>
      <c r="P64" s="141"/>
      <c r="Q64" s="377"/>
      <c r="R64" s="142"/>
      <c r="S64" s="142"/>
      <c r="T64" s="142"/>
      <c r="U64" s="142"/>
      <c r="V64" s="375"/>
      <c r="W64" s="378"/>
    </row>
    <row r="65" spans="1:23" ht="69.95" customHeight="1" x14ac:dyDescent="0.25">
      <c r="A65" s="1"/>
      <c r="B65" s="374"/>
      <c r="C65" s="375"/>
      <c r="D65" s="375"/>
      <c r="E65" s="375"/>
      <c r="F65" s="375"/>
      <c r="G65" s="375"/>
      <c r="H65" s="375"/>
      <c r="I65" s="375"/>
      <c r="J65" s="375"/>
      <c r="K65" s="139"/>
      <c r="L65" s="140"/>
      <c r="M65" s="139"/>
      <c r="N65" s="139"/>
      <c r="O65" s="139"/>
      <c r="P65" s="141"/>
      <c r="Q65" s="377"/>
      <c r="R65" s="142"/>
      <c r="S65" s="142"/>
      <c r="T65" s="142"/>
      <c r="U65" s="142"/>
      <c r="V65" s="375"/>
      <c r="W65" s="378"/>
    </row>
    <row r="66" spans="1:23" ht="69.95" customHeight="1" x14ac:dyDescent="0.25">
      <c r="A66" s="1"/>
      <c r="B66" s="374"/>
      <c r="C66" s="375"/>
      <c r="D66" s="375"/>
      <c r="E66" s="375"/>
      <c r="F66" s="375"/>
      <c r="G66" s="375"/>
      <c r="H66" s="375"/>
      <c r="I66" s="375"/>
      <c r="J66" s="375"/>
      <c r="K66" s="139"/>
      <c r="L66" s="140"/>
      <c r="M66" s="139"/>
      <c r="N66" s="139"/>
      <c r="O66" s="139"/>
      <c r="P66" s="141"/>
      <c r="Q66" s="377"/>
      <c r="R66" s="142"/>
      <c r="S66" s="142"/>
      <c r="T66" s="142"/>
      <c r="U66" s="142"/>
      <c r="V66" s="375"/>
      <c r="W66" s="378"/>
    </row>
    <row r="67" spans="1:23" ht="69.95" customHeight="1" x14ac:dyDescent="0.25">
      <c r="A67" s="1"/>
      <c r="B67" s="374"/>
      <c r="C67" s="375"/>
      <c r="D67" s="375"/>
      <c r="E67" s="375"/>
      <c r="F67" s="375"/>
      <c r="G67" s="375"/>
      <c r="H67" s="375"/>
      <c r="I67" s="375"/>
      <c r="J67" s="375"/>
      <c r="K67" s="139"/>
      <c r="L67" s="140"/>
      <c r="M67" s="139"/>
      <c r="N67" s="139"/>
      <c r="O67" s="139"/>
      <c r="P67" s="141"/>
      <c r="Q67" s="377"/>
      <c r="R67" s="142"/>
      <c r="S67" s="142"/>
      <c r="T67" s="142"/>
      <c r="U67" s="142"/>
      <c r="V67" s="375"/>
      <c r="W67" s="378"/>
    </row>
    <row r="68" spans="1:23" ht="69.95" customHeight="1" x14ac:dyDescent="0.25">
      <c r="A68" s="1"/>
      <c r="B68" s="374"/>
      <c r="C68" s="375"/>
      <c r="D68" s="375"/>
      <c r="E68" s="375"/>
      <c r="F68" s="375"/>
      <c r="G68" s="375"/>
      <c r="H68" s="375"/>
      <c r="I68" s="375"/>
      <c r="J68" s="375"/>
      <c r="K68" s="139"/>
      <c r="L68" s="140"/>
      <c r="M68" s="139"/>
      <c r="N68" s="139"/>
      <c r="O68" s="139"/>
      <c r="P68" s="141"/>
      <c r="Q68" s="377"/>
      <c r="R68" s="142"/>
      <c r="S68" s="142"/>
      <c r="T68" s="142"/>
      <c r="U68" s="142"/>
      <c r="V68" s="375"/>
      <c r="W68" s="378"/>
    </row>
    <row r="69" spans="1:23" ht="69.95" customHeight="1" x14ac:dyDescent="0.25">
      <c r="A69" s="1"/>
      <c r="B69" s="374"/>
      <c r="C69" s="375"/>
      <c r="D69" s="375"/>
      <c r="E69" s="375"/>
      <c r="F69" s="375"/>
      <c r="G69" s="375"/>
      <c r="H69" s="375"/>
      <c r="I69" s="375"/>
      <c r="J69" s="375"/>
      <c r="K69" s="139"/>
      <c r="L69" s="140"/>
      <c r="M69" s="139"/>
      <c r="N69" s="139"/>
      <c r="O69" s="139"/>
      <c r="P69" s="141"/>
      <c r="Q69" s="377"/>
      <c r="R69" s="142"/>
      <c r="S69" s="142"/>
      <c r="T69" s="142"/>
      <c r="U69" s="142"/>
      <c r="V69" s="375"/>
      <c r="W69" s="378"/>
    </row>
    <row r="70" spans="1:23" ht="69.95" customHeight="1" x14ac:dyDescent="0.25">
      <c r="A70" s="1"/>
      <c r="B70" s="374"/>
      <c r="C70" s="375"/>
      <c r="D70" s="375"/>
      <c r="E70" s="375"/>
      <c r="F70" s="375"/>
      <c r="G70" s="375"/>
      <c r="H70" s="375"/>
      <c r="I70" s="375"/>
      <c r="J70" s="375"/>
      <c r="K70" s="139"/>
      <c r="L70" s="140"/>
      <c r="M70" s="139"/>
      <c r="N70" s="139"/>
      <c r="O70" s="139"/>
      <c r="P70" s="141"/>
      <c r="Q70" s="377"/>
      <c r="R70" s="142"/>
      <c r="S70" s="142"/>
      <c r="T70" s="142"/>
      <c r="U70" s="142"/>
      <c r="V70" s="375"/>
      <c r="W70" s="378"/>
    </row>
    <row r="71" spans="1:23" ht="69.95" customHeight="1" x14ac:dyDescent="0.25">
      <c r="A71" s="1"/>
      <c r="B71" s="374"/>
      <c r="C71" s="375"/>
      <c r="D71" s="375"/>
      <c r="E71" s="375"/>
      <c r="F71" s="375"/>
      <c r="G71" s="375"/>
      <c r="H71" s="375"/>
      <c r="I71" s="375"/>
      <c r="J71" s="375"/>
      <c r="K71" s="139"/>
      <c r="L71" s="140"/>
      <c r="M71" s="139"/>
      <c r="N71" s="139"/>
      <c r="O71" s="139"/>
      <c r="P71" s="141"/>
      <c r="Q71" s="377"/>
      <c r="R71" s="142"/>
      <c r="S71" s="142"/>
      <c r="T71" s="142"/>
      <c r="U71" s="142"/>
      <c r="V71" s="375"/>
      <c r="W71" s="378"/>
    </row>
    <row r="72" spans="1:23" ht="69.95" customHeight="1" x14ac:dyDescent="0.25">
      <c r="A72" s="1"/>
      <c r="B72" s="374"/>
      <c r="C72" s="375"/>
      <c r="D72" s="375"/>
      <c r="E72" s="375"/>
      <c r="F72" s="375"/>
      <c r="G72" s="375"/>
      <c r="H72" s="375"/>
      <c r="I72" s="375"/>
      <c r="J72" s="375"/>
      <c r="K72" s="139"/>
      <c r="L72" s="140"/>
      <c r="M72" s="139"/>
      <c r="N72" s="139"/>
      <c r="O72" s="139"/>
      <c r="P72" s="141"/>
      <c r="Q72" s="377"/>
      <c r="R72" s="142"/>
      <c r="S72" s="142"/>
      <c r="T72" s="142"/>
      <c r="U72" s="142"/>
      <c r="V72" s="375"/>
      <c r="W72" s="378"/>
    </row>
    <row r="73" spans="1:23" ht="69.95" customHeight="1" x14ac:dyDescent="0.25">
      <c r="A73" s="1"/>
      <c r="B73" s="374"/>
      <c r="C73" s="375"/>
      <c r="D73" s="375"/>
      <c r="E73" s="375"/>
      <c r="F73" s="375"/>
      <c r="G73" s="375"/>
      <c r="H73" s="375"/>
      <c r="I73" s="375"/>
      <c r="J73" s="375"/>
      <c r="K73" s="139"/>
      <c r="L73" s="140"/>
      <c r="M73" s="139"/>
      <c r="N73" s="139"/>
      <c r="O73" s="139"/>
      <c r="P73" s="141"/>
      <c r="Q73" s="377"/>
      <c r="R73" s="142"/>
      <c r="S73" s="142"/>
      <c r="T73" s="142"/>
      <c r="U73" s="142"/>
      <c r="V73" s="375"/>
      <c r="W73" s="378"/>
    </row>
    <row r="74" spans="1:23" ht="69.95" customHeight="1" x14ac:dyDescent="0.25">
      <c r="A74" s="1"/>
      <c r="B74" s="374"/>
      <c r="C74" s="375"/>
      <c r="D74" s="375"/>
      <c r="E74" s="375"/>
      <c r="F74" s="375"/>
      <c r="G74" s="375"/>
      <c r="H74" s="375"/>
      <c r="I74" s="375"/>
      <c r="J74" s="375"/>
      <c r="K74" s="139"/>
      <c r="L74" s="140"/>
      <c r="M74" s="139"/>
      <c r="N74" s="139"/>
      <c r="O74" s="139"/>
      <c r="P74" s="141"/>
      <c r="Q74" s="377"/>
      <c r="R74" s="142"/>
      <c r="S74" s="142"/>
      <c r="T74" s="142"/>
      <c r="U74" s="142"/>
      <c r="V74" s="375"/>
      <c r="W74" s="378"/>
    </row>
    <row r="75" spans="1:23" ht="69.95" customHeight="1" x14ac:dyDescent="0.25">
      <c r="A75" s="1"/>
      <c r="B75" s="143"/>
      <c r="C75" s="139"/>
      <c r="D75" s="139"/>
      <c r="E75" s="139"/>
      <c r="F75" s="139"/>
      <c r="G75" s="139"/>
      <c r="H75" s="139"/>
      <c r="I75" s="139"/>
      <c r="J75" s="139"/>
      <c r="K75" s="139"/>
      <c r="L75" s="140"/>
      <c r="M75" s="139"/>
      <c r="N75" s="139"/>
      <c r="O75" s="139"/>
      <c r="P75" s="141"/>
      <c r="Q75" s="140"/>
      <c r="R75" s="142"/>
      <c r="S75" s="142"/>
      <c r="T75" s="142"/>
      <c r="U75" s="142"/>
      <c r="V75" s="139"/>
      <c r="W75" s="144"/>
    </row>
    <row r="76" spans="1:23" ht="39" customHeight="1" x14ac:dyDescent="0.25">
      <c r="A76" s="1"/>
      <c r="B76" s="336"/>
      <c r="C76" s="337"/>
      <c r="D76" s="337"/>
      <c r="E76" s="337"/>
      <c r="F76" s="337"/>
      <c r="G76" s="337"/>
      <c r="H76" s="337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127"/>
    </row>
    <row r="77" spans="1:23" ht="60" customHeight="1" x14ac:dyDescent="0.25">
      <c r="A77" s="1"/>
      <c r="B77" s="21"/>
      <c r="C77" s="323" t="s">
        <v>17</v>
      </c>
      <c r="D77" s="323"/>
      <c r="E77" s="279" t="s">
        <v>194</v>
      </c>
      <c r="F77" s="23"/>
      <c r="G77" s="22"/>
      <c r="H77" s="49"/>
      <c r="I77" s="323" t="s">
        <v>110</v>
      </c>
      <c r="J77" s="323"/>
      <c r="K77" s="323"/>
      <c r="L77" s="331" t="s">
        <v>195</v>
      </c>
      <c r="M77" s="380"/>
      <c r="N77" s="49"/>
      <c r="O77" s="49"/>
      <c r="P77" s="49"/>
      <c r="Q77" s="49"/>
      <c r="R77" s="1"/>
      <c r="S77" s="55"/>
      <c r="T77" s="56"/>
      <c r="U77" s="1"/>
      <c r="V77" s="1"/>
      <c r="W77" s="8"/>
    </row>
    <row r="78" spans="1:23" s="46" customFormat="1" ht="60" customHeight="1" x14ac:dyDescent="0.55000000000000004">
      <c r="A78" s="27"/>
      <c r="B78" s="24"/>
      <c r="C78" s="25"/>
      <c r="D78" s="25"/>
      <c r="E78" s="25"/>
      <c r="F78" s="25"/>
      <c r="G78" s="25"/>
      <c r="H78" s="25"/>
      <c r="I78" s="323"/>
      <c r="J78" s="323"/>
      <c r="K78" s="323"/>
      <c r="L78" s="57"/>
      <c r="M78" s="25"/>
      <c r="N78" s="25"/>
      <c r="O78" s="25"/>
      <c r="P78" s="25"/>
      <c r="Q78" s="26"/>
      <c r="R78" s="58"/>
      <c r="S78" s="27"/>
      <c r="T78" s="27"/>
      <c r="U78" s="30" t="s">
        <v>109</v>
      </c>
      <c r="V78" s="27"/>
      <c r="W78" s="59"/>
    </row>
    <row r="79" spans="1:23" ht="60" customHeight="1" x14ac:dyDescent="0.25">
      <c r="A79" s="1"/>
      <c r="B79" s="21"/>
      <c r="C79" s="323" t="s">
        <v>18</v>
      </c>
      <c r="D79" s="323"/>
      <c r="E79" s="10"/>
      <c r="F79" s="60"/>
      <c r="G79" s="61"/>
      <c r="H79" s="50"/>
      <c r="I79" s="324" t="s">
        <v>18</v>
      </c>
      <c r="J79" s="324"/>
      <c r="K79" s="1"/>
      <c r="L79" s="379"/>
      <c r="M79" s="379"/>
      <c r="N79" s="50"/>
      <c r="O79" s="50"/>
      <c r="P79" s="50"/>
      <c r="Q79" s="50"/>
      <c r="R79" s="1"/>
      <c r="S79" s="1"/>
      <c r="T79" s="1"/>
      <c r="U79" s="1"/>
      <c r="V79" s="3"/>
      <c r="W79" s="62"/>
    </row>
    <row r="80" spans="1:23" s="46" customFormat="1" ht="39" customHeight="1" x14ac:dyDescent="0.55000000000000004">
      <c r="A80" s="27"/>
      <c r="B80" s="28"/>
      <c r="C80" s="25"/>
      <c r="D80" s="25"/>
      <c r="E80" s="25"/>
      <c r="F80" s="25"/>
      <c r="G80" s="25"/>
      <c r="H80" s="25"/>
      <c r="I80" s="25"/>
      <c r="J80" s="29"/>
      <c r="K80" s="25"/>
      <c r="L80" s="26"/>
      <c r="M80" s="26"/>
      <c r="N80" s="26"/>
      <c r="O80" s="26"/>
      <c r="P80" s="26"/>
      <c r="Q80" s="26"/>
      <c r="R80" s="27"/>
      <c r="S80" s="27"/>
      <c r="T80" s="27"/>
      <c r="U80" s="27"/>
      <c r="V80" s="327" t="s">
        <v>122</v>
      </c>
      <c r="W80" s="328"/>
    </row>
    <row r="81" spans="1:23" s="46" customFormat="1" ht="54" customHeight="1" x14ac:dyDescent="0.55000000000000004">
      <c r="A81" s="27"/>
      <c r="B81" s="63"/>
      <c r="C81" s="64"/>
      <c r="D81" s="65"/>
      <c r="E81" s="66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8"/>
      <c r="Q81" s="68"/>
      <c r="R81" s="69"/>
      <c r="S81" s="69"/>
      <c r="T81" s="69"/>
      <c r="U81" s="69"/>
      <c r="V81" s="326"/>
      <c r="W81" s="329"/>
    </row>
  </sheetData>
  <protectedRanges>
    <protectedRange sqref="M16:M19 M22:M25 Q23:Q25 M28:M31 Q29:Q31 M34:M37 Q35:Q37 M40:M43 Q41:Q43 M46:M49 B63:C73 B76:W76 Q47:Q49 E63:O75 M52:M55 Q53:Q55 M58:M61 Q59:Q61 Q63:W75 B15:D62 H15:K62" name="p40ae67166de39ef3f3ec01bbdae900a3"/>
    <protectedRange sqref="U6:U8 S6:S8 W6:W8" name="pc594b6ecd9b303ee1785ffe3b4f4380d_1"/>
    <protectedRange sqref="L11 M7 E11:E12 L6:L7 M9 L8:M8 L12:M12" name="p547f5a980904daf0dfa79ab76f7eb7f1_1"/>
    <protectedRange sqref="E6:E8 D6:D9 G5:G6" name="p915cfce853e1a0fa81a642efe2ca8f86_1"/>
    <protectedRange sqref="C81 S77:T77 U78" name="p62f34c08bc43a732167a4cb2a22494e9"/>
    <protectedRange sqref="H77 J81:K81 H79 E79 E81 E77 M79:Q79 J77 L77:Q77" name="pd76f2506e825e80154285506ac3cb46a_1"/>
    <protectedRange sqref="L9" name="p547f5a980904daf0dfa79ab76f7eb7f1_1_1"/>
    <protectedRange sqref="E15:E20" name="p40ae67166de39ef3f3ec01bbdae900a3_1"/>
    <protectedRange sqref="E21:E26" name="p40ae67166de39ef3f3ec01bbdae900a3_2"/>
    <protectedRange sqref="E27:E32" name="p40ae67166de39ef3f3ec01bbdae900a3_3"/>
    <protectedRange sqref="E33:E38" name="p40ae67166de39ef3f3ec01bbdae900a3_4"/>
    <protectedRange sqref="E39:E44" name="p40ae67166de39ef3f3ec01bbdae900a3_5"/>
    <protectedRange sqref="E45:E50" name="p40ae67166de39ef3f3ec01bbdae900a3_6"/>
    <protectedRange sqref="E51:E56" name="p40ae67166de39ef3f3ec01bbdae900a3_7"/>
    <protectedRange sqref="E57:E62" name="p40ae67166de39ef3f3ec01bbdae900a3_8"/>
    <protectedRange sqref="F15:F62" name="p40ae67166de39ef3f3ec01bbdae900a3_9"/>
    <protectedRange sqref="G15:G62" name="p40ae67166de39ef3f3ec01bbdae900a3_10"/>
    <protectedRange sqref="Q17:Q19" name="p40ae67166de39ef3f3ec01bbdae900a3_11"/>
    <protectedRange sqref="W15:W16 W26:W28 W32:W34 W38:W40 W44:W46 W20:W22 W50:W52 W56:W58 R62:U62 W62 R15:U16 R17:W19 R20:U22 R23:W25 R26:U28 R29:W31 R32:U34 R35:W37 R38:U40 R41:W43 R44:U46 R47:W49 R50:U52 R53:W55 R56:U58 R59:W61" name="p40ae67166de39ef3f3ec01bbdae900a3_12"/>
  </protectedRanges>
  <mergeCells count="98">
    <mergeCell ref="T13:W13"/>
    <mergeCell ref="V14:W14"/>
    <mergeCell ref="B2:E3"/>
    <mergeCell ref="F2:U3"/>
    <mergeCell ref="V2:W2"/>
    <mergeCell ref="B13:B14"/>
    <mergeCell ref="C13:C14"/>
    <mergeCell ref="D13:D14"/>
    <mergeCell ref="E13:E14"/>
    <mergeCell ref="F13:F14"/>
    <mergeCell ref="G13:G14"/>
    <mergeCell ref="H13:H14"/>
    <mergeCell ref="I13:I14"/>
    <mergeCell ref="J13:J14"/>
    <mergeCell ref="K13:K14"/>
    <mergeCell ref="L13:Q13"/>
    <mergeCell ref="R13:S13"/>
    <mergeCell ref="H15:H20"/>
    <mergeCell ref="I15:I20"/>
    <mergeCell ref="B21:B26"/>
    <mergeCell ref="C21:C26"/>
    <mergeCell ref="D21:D26"/>
    <mergeCell ref="E21:E26"/>
    <mergeCell ref="F21:F26"/>
    <mergeCell ref="G21:G26"/>
    <mergeCell ref="H21:H26"/>
    <mergeCell ref="I21:I26"/>
    <mergeCell ref="B15:B20"/>
    <mergeCell ref="C15:C20"/>
    <mergeCell ref="D15:D20"/>
    <mergeCell ref="E15:E20"/>
    <mergeCell ref="F15:F20"/>
    <mergeCell ref="G15:G20"/>
    <mergeCell ref="H27:H32"/>
    <mergeCell ref="I27:I32"/>
    <mergeCell ref="B33:B38"/>
    <mergeCell ref="C33:C38"/>
    <mergeCell ref="D33:D38"/>
    <mergeCell ref="E33:E38"/>
    <mergeCell ref="F33:F38"/>
    <mergeCell ref="G33:G38"/>
    <mergeCell ref="H33:H38"/>
    <mergeCell ref="I33:I38"/>
    <mergeCell ref="B27:B32"/>
    <mergeCell ref="C27:C32"/>
    <mergeCell ref="D27:D32"/>
    <mergeCell ref="E27:E32"/>
    <mergeCell ref="F27:F32"/>
    <mergeCell ref="G27:G32"/>
    <mergeCell ref="H39:H44"/>
    <mergeCell ref="I39:I44"/>
    <mergeCell ref="B45:B50"/>
    <mergeCell ref="C45:C50"/>
    <mergeCell ref="D45:D50"/>
    <mergeCell ref="E45:E50"/>
    <mergeCell ref="F45:F50"/>
    <mergeCell ref="G45:G50"/>
    <mergeCell ref="H45:H50"/>
    <mergeCell ref="I45:I50"/>
    <mergeCell ref="B39:B44"/>
    <mergeCell ref="C39:C44"/>
    <mergeCell ref="D39:D44"/>
    <mergeCell ref="E39:E44"/>
    <mergeCell ref="F39:F44"/>
    <mergeCell ref="G39:G44"/>
    <mergeCell ref="H51:H56"/>
    <mergeCell ref="I51:I56"/>
    <mergeCell ref="B57:B62"/>
    <mergeCell ref="C57:C62"/>
    <mergeCell ref="D57:D62"/>
    <mergeCell ref="E57:E62"/>
    <mergeCell ref="F57:F62"/>
    <mergeCell ref="G57:G62"/>
    <mergeCell ref="H57:H62"/>
    <mergeCell ref="I57:I62"/>
    <mergeCell ref="B51:B56"/>
    <mergeCell ref="C51:C56"/>
    <mergeCell ref="D51:D56"/>
    <mergeCell ref="E51:E56"/>
    <mergeCell ref="F51:F56"/>
    <mergeCell ref="G51:G56"/>
    <mergeCell ref="B63:B68"/>
    <mergeCell ref="C63:J68"/>
    <mergeCell ref="Q63:Q68"/>
    <mergeCell ref="V63:W68"/>
    <mergeCell ref="B69:B74"/>
    <mergeCell ref="C69:J74"/>
    <mergeCell ref="Q69:Q74"/>
    <mergeCell ref="V69:W74"/>
    <mergeCell ref="V80:W80"/>
    <mergeCell ref="V81:W81"/>
    <mergeCell ref="B76:V76"/>
    <mergeCell ref="C77:D77"/>
    <mergeCell ref="I77:K78"/>
    <mergeCell ref="L77:M77"/>
    <mergeCell ref="C79:D79"/>
    <mergeCell ref="I79:J79"/>
    <mergeCell ref="L79:M79"/>
  </mergeCells>
  <conditionalFormatting sqref="W4">
    <cfRule type="cellIs" dxfId="9" priority="1" operator="equal">
      <formula>"DEFECT"</formula>
    </cfRule>
    <cfRule type="cellIs" dxfId="8" priority="2" operator="equal">
      <formula>"MONITOR"</formula>
    </cfRule>
  </conditionalFormatting>
  <dataValidations count="5">
    <dataValidation type="list" allowBlank="1" showInputMessage="1" showErrorMessage="1" sqref="W4" xr:uid="{90077ACD-526B-4645-A092-3B716180E653}">
      <formula1>"NORMAL,DEFECT,MONITOR"</formula1>
    </dataValidation>
    <dataValidation type="list" allowBlank="1" showInputMessage="1" sqref="H15:H62" xr:uid="{6F6C8811-B480-4CD1-9266-E59DC6E09B57}">
      <formula1>"MAIN,RESERVE,N/A"</formula1>
    </dataValidation>
    <dataValidation type="list" allowBlank="1" showInputMessage="1" sqref="G15:G62" xr:uid="{4B22D55C-5A2B-4084-92BC-7B36BAEB10DB}">
      <formula1>"CLOSE,TRIP,N/A"</formula1>
    </dataValidation>
    <dataValidation type="list" allowBlank="1" showInputMessage="1" sqref="F15:F62" xr:uid="{AD3A1C50-ABAF-48D9-9D86-972A64179C1B}">
      <formula1>"SERVICE,TEST,RACK OUT,N/A"</formula1>
    </dataValidation>
    <dataValidation type="list" allowBlank="1" showInputMessage="1" sqref="E15:E62" xr:uid="{44B3DAAC-AAAF-4FEF-9F45-6482F85DB4AE}">
      <formula1>"XLPE,PILC,N/A,NOT ACCESSIBLE"</formula1>
    </dataValidation>
  </dataValidations>
  <pageMargins left="3.937007874015748E-2" right="3.937007874015748E-2" top="0" bottom="0" header="0.31496062992125984" footer="0.31496062992125984"/>
  <pageSetup scale="11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BF5F-A975-4FA4-9079-126B3165E1FB}">
  <sheetPr>
    <tabColor rgb="FF92D050"/>
    <pageSetUpPr fitToPage="1"/>
  </sheetPr>
  <dimension ref="A1:W81"/>
  <sheetViews>
    <sheetView zoomScale="25" zoomScaleNormal="25" workbookViewId="0">
      <selection activeCell="D10" sqref="D10"/>
    </sheetView>
  </sheetViews>
  <sheetFormatPr defaultRowHeight="12.75" customHeight="1" x14ac:dyDescent="0.25"/>
  <cols>
    <col min="1" max="1" width="9.140625" style="45"/>
    <col min="2" max="2" width="22.7109375" style="45" customWidth="1"/>
    <col min="3" max="3" width="63.7109375" style="45" customWidth="1"/>
    <col min="4" max="4" width="110.7109375" style="45" customWidth="1"/>
    <col min="5" max="8" width="50.140625" style="45" customWidth="1"/>
    <col min="9" max="10" width="43" style="45" customWidth="1"/>
    <col min="11" max="11" width="88.42578125" style="45" customWidth="1"/>
    <col min="12" max="16" width="64.7109375" style="45" customWidth="1"/>
    <col min="17" max="17" width="85.85546875" style="45" customWidth="1"/>
    <col min="18" max="20" width="42.85546875" style="45" customWidth="1"/>
    <col min="21" max="21" width="85.5703125" style="45" customWidth="1"/>
    <col min="22" max="22" width="57" style="45" customWidth="1"/>
    <col min="23" max="23" width="42.7109375" style="45" customWidth="1"/>
    <col min="24" max="247" width="9.140625" style="45"/>
    <col min="248" max="248" width="16" style="45" customWidth="1"/>
    <col min="249" max="249" width="27.7109375" style="45" customWidth="1"/>
    <col min="250" max="250" width="65.7109375" style="45" customWidth="1"/>
    <col min="251" max="251" width="21.85546875" style="45" bestFit="1" customWidth="1"/>
    <col min="252" max="252" width="30.140625" style="45" customWidth="1"/>
    <col min="253" max="253" width="62" style="45" customWidth="1"/>
    <col min="254" max="254" width="44" style="45" customWidth="1"/>
    <col min="255" max="255" width="43.140625" style="45" customWidth="1"/>
    <col min="256" max="256" width="45" style="45" customWidth="1"/>
    <col min="257" max="257" width="35.5703125" style="45" customWidth="1"/>
    <col min="258" max="258" width="37.140625" style="45" customWidth="1"/>
    <col min="259" max="259" width="76.7109375" style="45" customWidth="1"/>
    <col min="260" max="260" width="37.7109375" style="45" customWidth="1"/>
    <col min="261" max="261" width="37.85546875" style="45" customWidth="1"/>
    <col min="262" max="262" width="39.85546875" style="45" customWidth="1"/>
    <col min="263" max="263" width="53.140625" style="45" customWidth="1"/>
    <col min="264" max="264" width="35.28515625" style="45" customWidth="1"/>
    <col min="265" max="265" width="31" style="45" customWidth="1"/>
    <col min="266" max="266" width="29.140625" style="45" customWidth="1"/>
    <col min="267" max="267" width="30.140625" style="45" customWidth="1"/>
    <col min="268" max="268" width="49.140625" style="45" customWidth="1"/>
    <col min="269" max="269" width="31.85546875" style="45" customWidth="1"/>
    <col min="270" max="270" width="39.140625" style="45" customWidth="1"/>
    <col min="271" max="271" width="53" style="45" bestFit="1" customWidth="1"/>
    <col min="272" max="272" width="33.42578125" style="45" bestFit="1" customWidth="1"/>
    <col min="273" max="273" width="28.140625" style="45" customWidth="1"/>
    <col min="274" max="278" width="6.7109375" style="45" customWidth="1"/>
    <col min="279" max="279" width="1.7109375" style="45" customWidth="1"/>
    <col min="280" max="503" width="9.140625" style="45"/>
    <col min="504" max="504" width="16" style="45" customWidth="1"/>
    <col min="505" max="505" width="27.7109375" style="45" customWidth="1"/>
    <col min="506" max="506" width="65.7109375" style="45" customWidth="1"/>
    <col min="507" max="507" width="21.85546875" style="45" bestFit="1" customWidth="1"/>
    <col min="508" max="508" width="30.140625" style="45" customWidth="1"/>
    <col min="509" max="509" width="62" style="45" customWidth="1"/>
    <col min="510" max="510" width="44" style="45" customWidth="1"/>
    <col min="511" max="511" width="43.140625" style="45" customWidth="1"/>
    <col min="512" max="512" width="45" style="45" customWidth="1"/>
    <col min="513" max="513" width="35.5703125" style="45" customWidth="1"/>
    <col min="514" max="514" width="37.140625" style="45" customWidth="1"/>
    <col min="515" max="515" width="76.7109375" style="45" customWidth="1"/>
    <col min="516" max="516" width="37.7109375" style="45" customWidth="1"/>
    <col min="517" max="517" width="37.85546875" style="45" customWidth="1"/>
    <col min="518" max="518" width="39.85546875" style="45" customWidth="1"/>
    <col min="519" max="519" width="53.140625" style="45" customWidth="1"/>
    <col min="520" max="520" width="35.28515625" style="45" customWidth="1"/>
    <col min="521" max="521" width="31" style="45" customWidth="1"/>
    <col min="522" max="522" width="29.140625" style="45" customWidth="1"/>
    <col min="523" max="523" width="30.140625" style="45" customWidth="1"/>
    <col min="524" max="524" width="49.140625" style="45" customWidth="1"/>
    <col min="525" max="525" width="31.85546875" style="45" customWidth="1"/>
    <col min="526" max="526" width="39.140625" style="45" customWidth="1"/>
    <col min="527" max="527" width="53" style="45" bestFit="1" customWidth="1"/>
    <col min="528" max="528" width="33.42578125" style="45" bestFit="1" customWidth="1"/>
    <col min="529" max="529" width="28.140625" style="45" customWidth="1"/>
    <col min="530" max="534" width="6.7109375" style="45" customWidth="1"/>
    <col min="535" max="535" width="1.7109375" style="45" customWidth="1"/>
    <col min="536" max="759" width="9.140625" style="45"/>
    <col min="760" max="760" width="16" style="45" customWidth="1"/>
    <col min="761" max="761" width="27.7109375" style="45" customWidth="1"/>
    <col min="762" max="762" width="65.7109375" style="45" customWidth="1"/>
    <col min="763" max="763" width="21.85546875" style="45" bestFit="1" customWidth="1"/>
    <col min="764" max="764" width="30.140625" style="45" customWidth="1"/>
    <col min="765" max="765" width="62" style="45" customWidth="1"/>
    <col min="766" max="766" width="44" style="45" customWidth="1"/>
    <col min="767" max="767" width="43.140625" style="45" customWidth="1"/>
    <col min="768" max="768" width="45" style="45" customWidth="1"/>
    <col min="769" max="769" width="35.5703125" style="45" customWidth="1"/>
    <col min="770" max="770" width="37.140625" style="45" customWidth="1"/>
    <col min="771" max="771" width="76.7109375" style="45" customWidth="1"/>
    <col min="772" max="772" width="37.7109375" style="45" customWidth="1"/>
    <col min="773" max="773" width="37.85546875" style="45" customWidth="1"/>
    <col min="774" max="774" width="39.85546875" style="45" customWidth="1"/>
    <col min="775" max="775" width="53.140625" style="45" customWidth="1"/>
    <col min="776" max="776" width="35.28515625" style="45" customWidth="1"/>
    <col min="777" max="777" width="31" style="45" customWidth="1"/>
    <col min="778" max="778" width="29.140625" style="45" customWidth="1"/>
    <col min="779" max="779" width="30.140625" style="45" customWidth="1"/>
    <col min="780" max="780" width="49.140625" style="45" customWidth="1"/>
    <col min="781" max="781" width="31.85546875" style="45" customWidth="1"/>
    <col min="782" max="782" width="39.140625" style="45" customWidth="1"/>
    <col min="783" max="783" width="53" style="45" bestFit="1" customWidth="1"/>
    <col min="784" max="784" width="33.42578125" style="45" bestFit="1" customWidth="1"/>
    <col min="785" max="785" width="28.140625" style="45" customWidth="1"/>
    <col min="786" max="790" width="6.7109375" style="45" customWidth="1"/>
    <col min="791" max="791" width="1.7109375" style="45" customWidth="1"/>
    <col min="792" max="1015" width="9.140625" style="45"/>
    <col min="1016" max="1016" width="16" style="45" customWidth="1"/>
    <col min="1017" max="1017" width="27.7109375" style="45" customWidth="1"/>
    <col min="1018" max="1018" width="65.7109375" style="45" customWidth="1"/>
    <col min="1019" max="1019" width="21.85546875" style="45" bestFit="1" customWidth="1"/>
    <col min="1020" max="1020" width="30.140625" style="45" customWidth="1"/>
    <col min="1021" max="1021" width="62" style="45" customWidth="1"/>
    <col min="1022" max="1022" width="44" style="45" customWidth="1"/>
    <col min="1023" max="1023" width="43.140625" style="45" customWidth="1"/>
    <col min="1024" max="1024" width="45" style="45" customWidth="1"/>
    <col min="1025" max="1025" width="35.5703125" style="45" customWidth="1"/>
    <col min="1026" max="1026" width="37.140625" style="45" customWidth="1"/>
    <col min="1027" max="1027" width="76.7109375" style="45" customWidth="1"/>
    <col min="1028" max="1028" width="37.7109375" style="45" customWidth="1"/>
    <col min="1029" max="1029" width="37.85546875" style="45" customWidth="1"/>
    <col min="1030" max="1030" width="39.85546875" style="45" customWidth="1"/>
    <col min="1031" max="1031" width="53.140625" style="45" customWidth="1"/>
    <col min="1032" max="1032" width="35.28515625" style="45" customWidth="1"/>
    <col min="1033" max="1033" width="31" style="45" customWidth="1"/>
    <col min="1034" max="1034" width="29.140625" style="45" customWidth="1"/>
    <col min="1035" max="1035" width="30.140625" style="45" customWidth="1"/>
    <col min="1036" max="1036" width="49.140625" style="45" customWidth="1"/>
    <col min="1037" max="1037" width="31.85546875" style="45" customWidth="1"/>
    <col min="1038" max="1038" width="39.140625" style="45" customWidth="1"/>
    <col min="1039" max="1039" width="53" style="45" bestFit="1" customWidth="1"/>
    <col min="1040" max="1040" width="33.42578125" style="45" bestFit="1" customWidth="1"/>
    <col min="1041" max="1041" width="28.140625" style="45" customWidth="1"/>
    <col min="1042" max="1046" width="6.7109375" style="45" customWidth="1"/>
    <col min="1047" max="1047" width="1.7109375" style="45" customWidth="1"/>
    <col min="1048" max="1271" width="9.140625" style="45"/>
    <col min="1272" max="1272" width="16" style="45" customWidth="1"/>
    <col min="1273" max="1273" width="27.7109375" style="45" customWidth="1"/>
    <col min="1274" max="1274" width="65.7109375" style="45" customWidth="1"/>
    <col min="1275" max="1275" width="21.85546875" style="45" bestFit="1" customWidth="1"/>
    <col min="1276" max="1276" width="30.140625" style="45" customWidth="1"/>
    <col min="1277" max="1277" width="62" style="45" customWidth="1"/>
    <col min="1278" max="1278" width="44" style="45" customWidth="1"/>
    <col min="1279" max="1279" width="43.140625" style="45" customWidth="1"/>
    <col min="1280" max="1280" width="45" style="45" customWidth="1"/>
    <col min="1281" max="1281" width="35.5703125" style="45" customWidth="1"/>
    <col min="1282" max="1282" width="37.140625" style="45" customWidth="1"/>
    <col min="1283" max="1283" width="76.7109375" style="45" customWidth="1"/>
    <col min="1284" max="1284" width="37.7109375" style="45" customWidth="1"/>
    <col min="1285" max="1285" width="37.85546875" style="45" customWidth="1"/>
    <col min="1286" max="1286" width="39.85546875" style="45" customWidth="1"/>
    <col min="1287" max="1287" width="53.140625" style="45" customWidth="1"/>
    <col min="1288" max="1288" width="35.28515625" style="45" customWidth="1"/>
    <col min="1289" max="1289" width="31" style="45" customWidth="1"/>
    <col min="1290" max="1290" width="29.140625" style="45" customWidth="1"/>
    <col min="1291" max="1291" width="30.140625" style="45" customWidth="1"/>
    <col min="1292" max="1292" width="49.140625" style="45" customWidth="1"/>
    <col min="1293" max="1293" width="31.85546875" style="45" customWidth="1"/>
    <col min="1294" max="1294" width="39.140625" style="45" customWidth="1"/>
    <col min="1295" max="1295" width="53" style="45" bestFit="1" customWidth="1"/>
    <col min="1296" max="1296" width="33.42578125" style="45" bestFit="1" customWidth="1"/>
    <col min="1297" max="1297" width="28.140625" style="45" customWidth="1"/>
    <col min="1298" max="1302" width="6.7109375" style="45" customWidth="1"/>
    <col min="1303" max="1303" width="1.7109375" style="45" customWidth="1"/>
    <col min="1304" max="1527" width="9.140625" style="45"/>
    <col min="1528" max="1528" width="16" style="45" customWidth="1"/>
    <col min="1529" max="1529" width="27.7109375" style="45" customWidth="1"/>
    <col min="1530" max="1530" width="65.7109375" style="45" customWidth="1"/>
    <col min="1531" max="1531" width="21.85546875" style="45" bestFit="1" customWidth="1"/>
    <col min="1532" max="1532" width="30.140625" style="45" customWidth="1"/>
    <col min="1533" max="1533" width="62" style="45" customWidth="1"/>
    <col min="1534" max="1534" width="44" style="45" customWidth="1"/>
    <col min="1535" max="1535" width="43.140625" style="45" customWidth="1"/>
    <col min="1536" max="1536" width="45" style="45" customWidth="1"/>
    <col min="1537" max="1537" width="35.5703125" style="45" customWidth="1"/>
    <col min="1538" max="1538" width="37.140625" style="45" customWidth="1"/>
    <col min="1539" max="1539" width="76.7109375" style="45" customWidth="1"/>
    <col min="1540" max="1540" width="37.7109375" style="45" customWidth="1"/>
    <col min="1541" max="1541" width="37.85546875" style="45" customWidth="1"/>
    <col min="1542" max="1542" width="39.85546875" style="45" customWidth="1"/>
    <col min="1543" max="1543" width="53.140625" style="45" customWidth="1"/>
    <col min="1544" max="1544" width="35.28515625" style="45" customWidth="1"/>
    <col min="1545" max="1545" width="31" style="45" customWidth="1"/>
    <col min="1546" max="1546" width="29.140625" style="45" customWidth="1"/>
    <col min="1547" max="1547" width="30.140625" style="45" customWidth="1"/>
    <col min="1548" max="1548" width="49.140625" style="45" customWidth="1"/>
    <col min="1549" max="1549" width="31.85546875" style="45" customWidth="1"/>
    <col min="1550" max="1550" width="39.140625" style="45" customWidth="1"/>
    <col min="1551" max="1551" width="53" style="45" bestFit="1" customWidth="1"/>
    <col min="1552" max="1552" width="33.42578125" style="45" bestFit="1" customWidth="1"/>
    <col min="1553" max="1553" width="28.140625" style="45" customWidth="1"/>
    <col min="1554" max="1558" width="6.7109375" style="45" customWidth="1"/>
    <col min="1559" max="1559" width="1.7109375" style="45" customWidth="1"/>
    <col min="1560" max="1783" width="9.140625" style="45"/>
    <col min="1784" max="1784" width="16" style="45" customWidth="1"/>
    <col min="1785" max="1785" width="27.7109375" style="45" customWidth="1"/>
    <col min="1786" max="1786" width="65.7109375" style="45" customWidth="1"/>
    <col min="1787" max="1787" width="21.85546875" style="45" bestFit="1" customWidth="1"/>
    <col min="1788" max="1788" width="30.140625" style="45" customWidth="1"/>
    <col min="1789" max="1789" width="62" style="45" customWidth="1"/>
    <col min="1790" max="1790" width="44" style="45" customWidth="1"/>
    <col min="1791" max="1791" width="43.140625" style="45" customWidth="1"/>
    <col min="1792" max="1792" width="45" style="45" customWidth="1"/>
    <col min="1793" max="1793" width="35.5703125" style="45" customWidth="1"/>
    <col min="1794" max="1794" width="37.140625" style="45" customWidth="1"/>
    <col min="1795" max="1795" width="76.7109375" style="45" customWidth="1"/>
    <col min="1796" max="1796" width="37.7109375" style="45" customWidth="1"/>
    <col min="1797" max="1797" width="37.85546875" style="45" customWidth="1"/>
    <col min="1798" max="1798" width="39.85546875" style="45" customWidth="1"/>
    <col min="1799" max="1799" width="53.140625" style="45" customWidth="1"/>
    <col min="1800" max="1800" width="35.28515625" style="45" customWidth="1"/>
    <col min="1801" max="1801" width="31" style="45" customWidth="1"/>
    <col min="1802" max="1802" width="29.140625" style="45" customWidth="1"/>
    <col min="1803" max="1803" width="30.140625" style="45" customWidth="1"/>
    <col min="1804" max="1804" width="49.140625" style="45" customWidth="1"/>
    <col min="1805" max="1805" width="31.85546875" style="45" customWidth="1"/>
    <col min="1806" max="1806" width="39.140625" style="45" customWidth="1"/>
    <col min="1807" max="1807" width="53" style="45" bestFit="1" customWidth="1"/>
    <col min="1808" max="1808" width="33.42578125" style="45" bestFit="1" customWidth="1"/>
    <col min="1809" max="1809" width="28.140625" style="45" customWidth="1"/>
    <col min="1810" max="1814" width="6.7109375" style="45" customWidth="1"/>
    <col min="1815" max="1815" width="1.7109375" style="45" customWidth="1"/>
    <col min="1816" max="2039" width="9.140625" style="45"/>
    <col min="2040" max="2040" width="16" style="45" customWidth="1"/>
    <col min="2041" max="2041" width="27.7109375" style="45" customWidth="1"/>
    <col min="2042" max="2042" width="65.7109375" style="45" customWidth="1"/>
    <col min="2043" max="2043" width="21.85546875" style="45" bestFit="1" customWidth="1"/>
    <col min="2044" max="2044" width="30.140625" style="45" customWidth="1"/>
    <col min="2045" max="2045" width="62" style="45" customWidth="1"/>
    <col min="2046" max="2046" width="44" style="45" customWidth="1"/>
    <col min="2047" max="2047" width="43.140625" style="45" customWidth="1"/>
    <col min="2048" max="2048" width="45" style="45" customWidth="1"/>
    <col min="2049" max="2049" width="35.5703125" style="45" customWidth="1"/>
    <col min="2050" max="2050" width="37.140625" style="45" customWidth="1"/>
    <col min="2051" max="2051" width="76.7109375" style="45" customWidth="1"/>
    <col min="2052" max="2052" width="37.7109375" style="45" customWidth="1"/>
    <col min="2053" max="2053" width="37.85546875" style="45" customWidth="1"/>
    <col min="2054" max="2054" width="39.85546875" style="45" customWidth="1"/>
    <col min="2055" max="2055" width="53.140625" style="45" customWidth="1"/>
    <col min="2056" max="2056" width="35.28515625" style="45" customWidth="1"/>
    <col min="2057" max="2057" width="31" style="45" customWidth="1"/>
    <col min="2058" max="2058" width="29.140625" style="45" customWidth="1"/>
    <col min="2059" max="2059" width="30.140625" style="45" customWidth="1"/>
    <col min="2060" max="2060" width="49.140625" style="45" customWidth="1"/>
    <col min="2061" max="2061" width="31.85546875" style="45" customWidth="1"/>
    <col min="2062" max="2062" width="39.140625" style="45" customWidth="1"/>
    <col min="2063" max="2063" width="53" style="45" bestFit="1" customWidth="1"/>
    <col min="2064" max="2064" width="33.42578125" style="45" bestFit="1" customWidth="1"/>
    <col min="2065" max="2065" width="28.140625" style="45" customWidth="1"/>
    <col min="2066" max="2070" width="6.7109375" style="45" customWidth="1"/>
    <col min="2071" max="2071" width="1.7109375" style="45" customWidth="1"/>
    <col min="2072" max="2295" width="9.140625" style="45"/>
    <col min="2296" max="2296" width="16" style="45" customWidth="1"/>
    <col min="2297" max="2297" width="27.7109375" style="45" customWidth="1"/>
    <col min="2298" max="2298" width="65.7109375" style="45" customWidth="1"/>
    <col min="2299" max="2299" width="21.85546875" style="45" bestFit="1" customWidth="1"/>
    <col min="2300" max="2300" width="30.140625" style="45" customWidth="1"/>
    <col min="2301" max="2301" width="62" style="45" customWidth="1"/>
    <col min="2302" max="2302" width="44" style="45" customWidth="1"/>
    <col min="2303" max="2303" width="43.140625" style="45" customWidth="1"/>
    <col min="2304" max="2304" width="45" style="45" customWidth="1"/>
    <col min="2305" max="2305" width="35.5703125" style="45" customWidth="1"/>
    <col min="2306" max="2306" width="37.140625" style="45" customWidth="1"/>
    <col min="2307" max="2307" width="76.7109375" style="45" customWidth="1"/>
    <col min="2308" max="2308" width="37.7109375" style="45" customWidth="1"/>
    <col min="2309" max="2309" width="37.85546875" style="45" customWidth="1"/>
    <col min="2310" max="2310" width="39.85546875" style="45" customWidth="1"/>
    <col min="2311" max="2311" width="53.140625" style="45" customWidth="1"/>
    <col min="2312" max="2312" width="35.28515625" style="45" customWidth="1"/>
    <col min="2313" max="2313" width="31" style="45" customWidth="1"/>
    <col min="2314" max="2314" width="29.140625" style="45" customWidth="1"/>
    <col min="2315" max="2315" width="30.140625" style="45" customWidth="1"/>
    <col min="2316" max="2316" width="49.140625" style="45" customWidth="1"/>
    <col min="2317" max="2317" width="31.85546875" style="45" customWidth="1"/>
    <col min="2318" max="2318" width="39.140625" style="45" customWidth="1"/>
    <col min="2319" max="2319" width="53" style="45" bestFit="1" customWidth="1"/>
    <col min="2320" max="2320" width="33.42578125" style="45" bestFit="1" customWidth="1"/>
    <col min="2321" max="2321" width="28.140625" style="45" customWidth="1"/>
    <col min="2322" max="2326" width="6.7109375" style="45" customWidth="1"/>
    <col min="2327" max="2327" width="1.7109375" style="45" customWidth="1"/>
    <col min="2328" max="2551" width="9.140625" style="45"/>
    <col min="2552" max="2552" width="16" style="45" customWidth="1"/>
    <col min="2553" max="2553" width="27.7109375" style="45" customWidth="1"/>
    <col min="2554" max="2554" width="65.7109375" style="45" customWidth="1"/>
    <col min="2555" max="2555" width="21.85546875" style="45" bestFit="1" customWidth="1"/>
    <col min="2556" max="2556" width="30.140625" style="45" customWidth="1"/>
    <col min="2557" max="2557" width="62" style="45" customWidth="1"/>
    <col min="2558" max="2558" width="44" style="45" customWidth="1"/>
    <col min="2559" max="2559" width="43.140625" style="45" customWidth="1"/>
    <col min="2560" max="2560" width="45" style="45" customWidth="1"/>
    <col min="2561" max="2561" width="35.5703125" style="45" customWidth="1"/>
    <col min="2562" max="2562" width="37.140625" style="45" customWidth="1"/>
    <col min="2563" max="2563" width="76.7109375" style="45" customWidth="1"/>
    <col min="2564" max="2564" width="37.7109375" style="45" customWidth="1"/>
    <col min="2565" max="2565" width="37.85546875" style="45" customWidth="1"/>
    <col min="2566" max="2566" width="39.85546875" style="45" customWidth="1"/>
    <col min="2567" max="2567" width="53.140625" style="45" customWidth="1"/>
    <col min="2568" max="2568" width="35.28515625" style="45" customWidth="1"/>
    <col min="2569" max="2569" width="31" style="45" customWidth="1"/>
    <col min="2570" max="2570" width="29.140625" style="45" customWidth="1"/>
    <col min="2571" max="2571" width="30.140625" style="45" customWidth="1"/>
    <col min="2572" max="2572" width="49.140625" style="45" customWidth="1"/>
    <col min="2573" max="2573" width="31.85546875" style="45" customWidth="1"/>
    <col min="2574" max="2574" width="39.140625" style="45" customWidth="1"/>
    <col min="2575" max="2575" width="53" style="45" bestFit="1" customWidth="1"/>
    <col min="2576" max="2576" width="33.42578125" style="45" bestFit="1" customWidth="1"/>
    <col min="2577" max="2577" width="28.140625" style="45" customWidth="1"/>
    <col min="2578" max="2582" width="6.7109375" style="45" customWidth="1"/>
    <col min="2583" max="2583" width="1.7109375" style="45" customWidth="1"/>
    <col min="2584" max="2807" width="9.140625" style="45"/>
    <col min="2808" max="2808" width="16" style="45" customWidth="1"/>
    <col min="2809" max="2809" width="27.7109375" style="45" customWidth="1"/>
    <col min="2810" max="2810" width="65.7109375" style="45" customWidth="1"/>
    <col min="2811" max="2811" width="21.85546875" style="45" bestFit="1" customWidth="1"/>
    <col min="2812" max="2812" width="30.140625" style="45" customWidth="1"/>
    <col min="2813" max="2813" width="62" style="45" customWidth="1"/>
    <col min="2814" max="2814" width="44" style="45" customWidth="1"/>
    <col min="2815" max="2815" width="43.140625" style="45" customWidth="1"/>
    <col min="2816" max="2816" width="45" style="45" customWidth="1"/>
    <col min="2817" max="2817" width="35.5703125" style="45" customWidth="1"/>
    <col min="2818" max="2818" width="37.140625" style="45" customWidth="1"/>
    <col min="2819" max="2819" width="76.7109375" style="45" customWidth="1"/>
    <col min="2820" max="2820" width="37.7109375" style="45" customWidth="1"/>
    <col min="2821" max="2821" width="37.85546875" style="45" customWidth="1"/>
    <col min="2822" max="2822" width="39.85546875" style="45" customWidth="1"/>
    <col min="2823" max="2823" width="53.140625" style="45" customWidth="1"/>
    <col min="2824" max="2824" width="35.28515625" style="45" customWidth="1"/>
    <col min="2825" max="2825" width="31" style="45" customWidth="1"/>
    <col min="2826" max="2826" width="29.140625" style="45" customWidth="1"/>
    <col min="2827" max="2827" width="30.140625" style="45" customWidth="1"/>
    <col min="2828" max="2828" width="49.140625" style="45" customWidth="1"/>
    <col min="2829" max="2829" width="31.85546875" style="45" customWidth="1"/>
    <col min="2830" max="2830" width="39.140625" style="45" customWidth="1"/>
    <col min="2831" max="2831" width="53" style="45" bestFit="1" customWidth="1"/>
    <col min="2832" max="2832" width="33.42578125" style="45" bestFit="1" customWidth="1"/>
    <col min="2833" max="2833" width="28.140625" style="45" customWidth="1"/>
    <col min="2834" max="2838" width="6.7109375" style="45" customWidth="1"/>
    <col min="2839" max="2839" width="1.7109375" style="45" customWidth="1"/>
    <col min="2840" max="3063" width="9.140625" style="45"/>
    <col min="3064" max="3064" width="16" style="45" customWidth="1"/>
    <col min="3065" max="3065" width="27.7109375" style="45" customWidth="1"/>
    <col min="3066" max="3066" width="65.7109375" style="45" customWidth="1"/>
    <col min="3067" max="3067" width="21.85546875" style="45" bestFit="1" customWidth="1"/>
    <col min="3068" max="3068" width="30.140625" style="45" customWidth="1"/>
    <col min="3069" max="3069" width="62" style="45" customWidth="1"/>
    <col min="3070" max="3070" width="44" style="45" customWidth="1"/>
    <col min="3071" max="3071" width="43.140625" style="45" customWidth="1"/>
    <col min="3072" max="3072" width="45" style="45" customWidth="1"/>
    <col min="3073" max="3073" width="35.5703125" style="45" customWidth="1"/>
    <col min="3074" max="3074" width="37.140625" style="45" customWidth="1"/>
    <col min="3075" max="3075" width="76.7109375" style="45" customWidth="1"/>
    <col min="3076" max="3076" width="37.7109375" style="45" customWidth="1"/>
    <col min="3077" max="3077" width="37.85546875" style="45" customWidth="1"/>
    <col min="3078" max="3078" width="39.85546875" style="45" customWidth="1"/>
    <col min="3079" max="3079" width="53.140625" style="45" customWidth="1"/>
    <col min="3080" max="3080" width="35.28515625" style="45" customWidth="1"/>
    <col min="3081" max="3081" width="31" style="45" customWidth="1"/>
    <col min="3082" max="3082" width="29.140625" style="45" customWidth="1"/>
    <col min="3083" max="3083" width="30.140625" style="45" customWidth="1"/>
    <col min="3084" max="3084" width="49.140625" style="45" customWidth="1"/>
    <col min="3085" max="3085" width="31.85546875" style="45" customWidth="1"/>
    <col min="3086" max="3086" width="39.140625" style="45" customWidth="1"/>
    <col min="3087" max="3087" width="53" style="45" bestFit="1" customWidth="1"/>
    <col min="3088" max="3088" width="33.42578125" style="45" bestFit="1" customWidth="1"/>
    <col min="3089" max="3089" width="28.140625" style="45" customWidth="1"/>
    <col min="3090" max="3094" width="6.7109375" style="45" customWidth="1"/>
    <col min="3095" max="3095" width="1.7109375" style="45" customWidth="1"/>
    <col min="3096" max="3319" width="9.140625" style="45"/>
    <col min="3320" max="3320" width="16" style="45" customWidth="1"/>
    <col min="3321" max="3321" width="27.7109375" style="45" customWidth="1"/>
    <col min="3322" max="3322" width="65.7109375" style="45" customWidth="1"/>
    <col min="3323" max="3323" width="21.85546875" style="45" bestFit="1" customWidth="1"/>
    <col min="3324" max="3324" width="30.140625" style="45" customWidth="1"/>
    <col min="3325" max="3325" width="62" style="45" customWidth="1"/>
    <col min="3326" max="3326" width="44" style="45" customWidth="1"/>
    <col min="3327" max="3327" width="43.140625" style="45" customWidth="1"/>
    <col min="3328" max="3328" width="45" style="45" customWidth="1"/>
    <col min="3329" max="3329" width="35.5703125" style="45" customWidth="1"/>
    <col min="3330" max="3330" width="37.140625" style="45" customWidth="1"/>
    <col min="3331" max="3331" width="76.7109375" style="45" customWidth="1"/>
    <col min="3332" max="3332" width="37.7109375" style="45" customWidth="1"/>
    <col min="3333" max="3333" width="37.85546875" style="45" customWidth="1"/>
    <col min="3334" max="3334" width="39.85546875" style="45" customWidth="1"/>
    <col min="3335" max="3335" width="53.140625" style="45" customWidth="1"/>
    <col min="3336" max="3336" width="35.28515625" style="45" customWidth="1"/>
    <col min="3337" max="3337" width="31" style="45" customWidth="1"/>
    <col min="3338" max="3338" width="29.140625" style="45" customWidth="1"/>
    <col min="3339" max="3339" width="30.140625" style="45" customWidth="1"/>
    <col min="3340" max="3340" width="49.140625" style="45" customWidth="1"/>
    <col min="3341" max="3341" width="31.85546875" style="45" customWidth="1"/>
    <col min="3342" max="3342" width="39.140625" style="45" customWidth="1"/>
    <col min="3343" max="3343" width="53" style="45" bestFit="1" customWidth="1"/>
    <col min="3344" max="3344" width="33.42578125" style="45" bestFit="1" customWidth="1"/>
    <col min="3345" max="3345" width="28.140625" style="45" customWidth="1"/>
    <col min="3346" max="3350" width="6.7109375" style="45" customWidth="1"/>
    <col min="3351" max="3351" width="1.7109375" style="45" customWidth="1"/>
    <col min="3352" max="3575" width="9.140625" style="45"/>
    <col min="3576" max="3576" width="16" style="45" customWidth="1"/>
    <col min="3577" max="3577" width="27.7109375" style="45" customWidth="1"/>
    <col min="3578" max="3578" width="65.7109375" style="45" customWidth="1"/>
    <col min="3579" max="3579" width="21.85546875" style="45" bestFit="1" customWidth="1"/>
    <col min="3580" max="3580" width="30.140625" style="45" customWidth="1"/>
    <col min="3581" max="3581" width="62" style="45" customWidth="1"/>
    <col min="3582" max="3582" width="44" style="45" customWidth="1"/>
    <col min="3583" max="3583" width="43.140625" style="45" customWidth="1"/>
    <col min="3584" max="3584" width="45" style="45" customWidth="1"/>
    <col min="3585" max="3585" width="35.5703125" style="45" customWidth="1"/>
    <col min="3586" max="3586" width="37.140625" style="45" customWidth="1"/>
    <col min="3587" max="3587" width="76.7109375" style="45" customWidth="1"/>
    <col min="3588" max="3588" width="37.7109375" style="45" customWidth="1"/>
    <col min="3589" max="3589" width="37.85546875" style="45" customWidth="1"/>
    <col min="3590" max="3590" width="39.85546875" style="45" customWidth="1"/>
    <col min="3591" max="3591" width="53.140625" style="45" customWidth="1"/>
    <col min="3592" max="3592" width="35.28515625" style="45" customWidth="1"/>
    <col min="3593" max="3593" width="31" style="45" customWidth="1"/>
    <col min="3594" max="3594" width="29.140625" style="45" customWidth="1"/>
    <col min="3595" max="3595" width="30.140625" style="45" customWidth="1"/>
    <col min="3596" max="3596" width="49.140625" style="45" customWidth="1"/>
    <col min="3597" max="3597" width="31.85546875" style="45" customWidth="1"/>
    <col min="3598" max="3598" width="39.140625" style="45" customWidth="1"/>
    <col min="3599" max="3599" width="53" style="45" bestFit="1" customWidth="1"/>
    <col min="3600" max="3600" width="33.42578125" style="45" bestFit="1" customWidth="1"/>
    <col min="3601" max="3601" width="28.140625" style="45" customWidth="1"/>
    <col min="3602" max="3606" width="6.7109375" style="45" customWidth="1"/>
    <col min="3607" max="3607" width="1.7109375" style="45" customWidth="1"/>
    <col min="3608" max="3831" width="9.140625" style="45"/>
    <col min="3832" max="3832" width="16" style="45" customWidth="1"/>
    <col min="3833" max="3833" width="27.7109375" style="45" customWidth="1"/>
    <col min="3834" max="3834" width="65.7109375" style="45" customWidth="1"/>
    <col min="3835" max="3835" width="21.85546875" style="45" bestFit="1" customWidth="1"/>
    <col min="3836" max="3836" width="30.140625" style="45" customWidth="1"/>
    <col min="3837" max="3837" width="62" style="45" customWidth="1"/>
    <col min="3838" max="3838" width="44" style="45" customWidth="1"/>
    <col min="3839" max="3839" width="43.140625" style="45" customWidth="1"/>
    <col min="3840" max="3840" width="45" style="45" customWidth="1"/>
    <col min="3841" max="3841" width="35.5703125" style="45" customWidth="1"/>
    <col min="3842" max="3842" width="37.140625" style="45" customWidth="1"/>
    <col min="3843" max="3843" width="76.7109375" style="45" customWidth="1"/>
    <col min="3844" max="3844" width="37.7109375" style="45" customWidth="1"/>
    <col min="3845" max="3845" width="37.85546875" style="45" customWidth="1"/>
    <col min="3846" max="3846" width="39.85546875" style="45" customWidth="1"/>
    <col min="3847" max="3847" width="53.140625" style="45" customWidth="1"/>
    <col min="3848" max="3848" width="35.28515625" style="45" customWidth="1"/>
    <col min="3849" max="3849" width="31" style="45" customWidth="1"/>
    <col min="3850" max="3850" width="29.140625" style="45" customWidth="1"/>
    <col min="3851" max="3851" width="30.140625" style="45" customWidth="1"/>
    <col min="3852" max="3852" width="49.140625" style="45" customWidth="1"/>
    <col min="3853" max="3853" width="31.85546875" style="45" customWidth="1"/>
    <col min="3854" max="3854" width="39.140625" style="45" customWidth="1"/>
    <col min="3855" max="3855" width="53" style="45" bestFit="1" customWidth="1"/>
    <col min="3856" max="3856" width="33.42578125" style="45" bestFit="1" customWidth="1"/>
    <col min="3857" max="3857" width="28.140625" style="45" customWidth="1"/>
    <col min="3858" max="3862" width="6.7109375" style="45" customWidth="1"/>
    <col min="3863" max="3863" width="1.7109375" style="45" customWidth="1"/>
    <col min="3864" max="4087" width="9.140625" style="45"/>
    <col min="4088" max="4088" width="16" style="45" customWidth="1"/>
    <col min="4089" max="4089" width="27.7109375" style="45" customWidth="1"/>
    <col min="4090" max="4090" width="65.7109375" style="45" customWidth="1"/>
    <col min="4091" max="4091" width="21.85546875" style="45" bestFit="1" customWidth="1"/>
    <col min="4092" max="4092" width="30.140625" style="45" customWidth="1"/>
    <col min="4093" max="4093" width="62" style="45" customWidth="1"/>
    <col min="4094" max="4094" width="44" style="45" customWidth="1"/>
    <col min="4095" max="4095" width="43.140625" style="45" customWidth="1"/>
    <col min="4096" max="4096" width="45" style="45" customWidth="1"/>
    <col min="4097" max="4097" width="35.5703125" style="45" customWidth="1"/>
    <col min="4098" max="4098" width="37.140625" style="45" customWidth="1"/>
    <col min="4099" max="4099" width="76.7109375" style="45" customWidth="1"/>
    <col min="4100" max="4100" width="37.7109375" style="45" customWidth="1"/>
    <col min="4101" max="4101" width="37.85546875" style="45" customWidth="1"/>
    <col min="4102" max="4102" width="39.85546875" style="45" customWidth="1"/>
    <col min="4103" max="4103" width="53.140625" style="45" customWidth="1"/>
    <col min="4104" max="4104" width="35.28515625" style="45" customWidth="1"/>
    <col min="4105" max="4105" width="31" style="45" customWidth="1"/>
    <col min="4106" max="4106" width="29.140625" style="45" customWidth="1"/>
    <col min="4107" max="4107" width="30.140625" style="45" customWidth="1"/>
    <col min="4108" max="4108" width="49.140625" style="45" customWidth="1"/>
    <col min="4109" max="4109" width="31.85546875" style="45" customWidth="1"/>
    <col min="4110" max="4110" width="39.140625" style="45" customWidth="1"/>
    <col min="4111" max="4111" width="53" style="45" bestFit="1" customWidth="1"/>
    <col min="4112" max="4112" width="33.42578125" style="45" bestFit="1" customWidth="1"/>
    <col min="4113" max="4113" width="28.140625" style="45" customWidth="1"/>
    <col min="4114" max="4118" width="6.7109375" style="45" customWidth="1"/>
    <col min="4119" max="4119" width="1.7109375" style="45" customWidth="1"/>
    <col min="4120" max="4343" width="9.140625" style="45"/>
    <col min="4344" max="4344" width="16" style="45" customWidth="1"/>
    <col min="4345" max="4345" width="27.7109375" style="45" customWidth="1"/>
    <col min="4346" max="4346" width="65.7109375" style="45" customWidth="1"/>
    <col min="4347" max="4347" width="21.85546875" style="45" bestFit="1" customWidth="1"/>
    <col min="4348" max="4348" width="30.140625" style="45" customWidth="1"/>
    <col min="4349" max="4349" width="62" style="45" customWidth="1"/>
    <col min="4350" max="4350" width="44" style="45" customWidth="1"/>
    <col min="4351" max="4351" width="43.140625" style="45" customWidth="1"/>
    <col min="4352" max="4352" width="45" style="45" customWidth="1"/>
    <col min="4353" max="4353" width="35.5703125" style="45" customWidth="1"/>
    <col min="4354" max="4354" width="37.140625" style="45" customWidth="1"/>
    <col min="4355" max="4355" width="76.7109375" style="45" customWidth="1"/>
    <col min="4356" max="4356" width="37.7109375" style="45" customWidth="1"/>
    <col min="4357" max="4357" width="37.85546875" style="45" customWidth="1"/>
    <col min="4358" max="4358" width="39.85546875" style="45" customWidth="1"/>
    <col min="4359" max="4359" width="53.140625" style="45" customWidth="1"/>
    <col min="4360" max="4360" width="35.28515625" style="45" customWidth="1"/>
    <col min="4361" max="4361" width="31" style="45" customWidth="1"/>
    <col min="4362" max="4362" width="29.140625" style="45" customWidth="1"/>
    <col min="4363" max="4363" width="30.140625" style="45" customWidth="1"/>
    <col min="4364" max="4364" width="49.140625" style="45" customWidth="1"/>
    <col min="4365" max="4365" width="31.85546875" style="45" customWidth="1"/>
    <col min="4366" max="4366" width="39.140625" style="45" customWidth="1"/>
    <col min="4367" max="4367" width="53" style="45" bestFit="1" customWidth="1"/>
    <col min="4368" max="4368" width="33.42578125" style="45" bestFit="1" customWidth="1"/>
    <col min="4369" max="4369" width="28.140625" style="45" customWidth="1"/>
    <col min="4370" max="4374" width="6.7109375" style="45" customWidth="1"/>
    <col min="4375" max="4375" width="1.7109375" style="45" customWidth="1"/>
    <col min="4376" max="4599" width="9.140625" style="45"/>
    <col min="4600" max="4600" width="16" style="45" customWidth="1"/>
    <col min="4601" max="4601" width="27.7109375" style="45" customWidth="1"/>
    <col min="4602" max="4602" width="65.7109375" style="45" customWidth="1"/>
    <col min="4603" max="4603" width="21.85546875" style="45" bestFit="1" customWidth="1"/>
    <col min="4604" max="4604" width="30.140625" style="45" customWidth="1"/>
    <col min="4605" max="4605" width="62" style="45" customWidth="1"/>
    <col min="4606" max="4606" width="44" style="45" customWidth="1"/>
    <col min="4607" max="4607" width="43.140625" style="45" customWidth="1"/>
    <col min="4608" max="4608" width="45" style="45" customWidth="1"/>
    <col min="4609" max="4609" width="35.5703125" style="45" customWidth="1"/>
    <col min="4610" max="4610" width="37.140625" style="45" customWidth="1"/>
    <col min="4611" max="4611" width="76.7109375" style="45" customWidth="1"/>
    <col min="4612" max="4612" width="37.7109375" style="45" customWidth="1"/>
    <col min="4613" max="4613" width="37.85546875" style="45" customWidth="1"/>
    <col min="4614" max="4614" width="39.85546875" style="45" customWidth="1"/>
    <col min="4615" max="4615" width="53.140625" style="45" customWidth="1"/>
    <col min="4616" max="4616" width="35.28515625" style="45" customWidth="1"/>
    <col min="4617" max="4617" width="31" style="45" customWidth="1"/>
    <col min="4618" max="4618" width="29.140625" style="45" customWidth="1"/>
    <col min="4619" max="4619" width="30.140625" style="45" customWidth="1"/>
    <col min="4620" max="4620" width="49.140625" style="45" customWidth="1"/>
    <col min="4621" max="4621" width="31.85546875" style="45" customWidth="1"/>
    <col min="4622" max="4622" width="39.140625" style="45" customWidth="1"/>
    <col min="4623" max="4623" width="53" style="45" bestFit="1" customWidth="1"/>
    <col min="4624" max="4624" width="33.42578125" style="45" bestFit="1" customWidth="1"/>
    <col min="4625" max="4625" width="28.140625" style="45" customWidth="1"/>
    <col min="4626" max="4630" width="6.7109375" style="45" customWidth="1"/>
    <col min="4631" max="4631" width="1.7109375" style="45" customWidth="1"/>
    <col min="4632" max="4855" width="9.140625" style="45"/>
    <col min="4856" max="4856" width="16" style="45" customWidth="1"/>
    <col min="4857" max="4857" width="27.7109375" style="45" customWidth="1"/>
    <col min="4858" max="4858" width="65.7109375" style="45" customWidth="1"/>
    <col min="4859" max="4859" width="21.85546875" style="45" bestFit="1" customWidth="1"/>
    <col min="4860" max="4860" width="30.140625" style="45" customWidth="1"/>
    <col min="4861" max="4861" width="62" style="45" customWidth="1"/>
    <col min="4862" max="4862" width="44" style="45" customWidth="1"/>
    <col min="4863" max="4863" width="43.140625" style="45" customWidth="1"/>
    <col min="4864" max="4864" width="45" style="45" customWidth="1"/>
    <col min="4865" max="4865" width="35.5703125" style="45" customWidth="1"/>
    <col min="4866" max="4866" width="37.140625" style="45" customWidth="1"/>
    <col min="4867" max="4867" width="76.7109375" style="45" customWidth="1"/>
    <col min="4868" max="4868" width="37.7109375" style="45" customWidth="1"/>
    <col min="4869" max="4869" width="37.85546875" style="45" customWidth="1"/>
    <col min="4870" max="4870" width="39.85546875" style="45" customWidth="1"/>
    <col min="4871" max="4871" width="53.140625" style="45" customWidth="1"/>
    <col min="4872" max="4872" width="35.28515625" style="45" customWidth="1"/>
    <col min="4873" max="4873" width="31" style="45" customWidth="1"/>
    <col min="4874" max="4874" width="29.140625" style="45" customWidth="1"/>
    <col min="4875" max="4875" width="30.140625" style="45" customWidth="1"/>
    <col min="4876" max="4876" width="49.140625" style="45" customWidth="1"/>
    <col min="4877" max="4877" width="31.85546875" style="45" customWidth="1"/>
    <col min="4878" max="4878" width="39.140625" style="45" customWidth="1"/>
    <col min="4879" max="4879" width="53" style="45" bestFit="1" customWidth="1"/>
    <col min="4880" max="4880" width="33.42578125" style="45" bestFit="1" customWidth="1"/>
    <col min="4881" max="4881" width="28.140625" style="45" customWidth="1"/>
    <col min="4882" max="4886" width="6.7109375" style="45" customWidth="1"/>
    <col min="4887" max="4887" width="1.7109375" style="45" customWidth="1"/>
    <col min="4888" max="5111" width="9.140625" style="45"/>
    <col min="5112" max="5112" width="16" style="45" customWidth="1"/>
    <col min="5113" max="5113" width="27.7109375" style="45" customWidth="1"/>
    <col min="5114" max="5114" width="65.7109375" style="45" customWidth="1"/>
    <col min="5115" max="5115" width="21.85546875" style="45" bestFit="1" customWidth="1"/>
    <col min="5116" max="5116" width="30.140625" style="45" customWidth="1"/>
    <col min="5117" max="5117" width="62" style="45" customWidth="1"/>
    <col min="5118" max="5118" width="44" style="45" customWidth="1"/>
    <col min="5119" max="5119" width="43.140625" style="45" customWidth="1"/>
    <col min="5120" max="5120" width="45" style="45" customWidth="1"/>
    <col min="5121" max="5121" width="35.5703125" style="45" customWidth="1"/>
    <col min="5122" max="5122" width="37.140625" style="45" customWidth="1"/>
    <col min="5123" max="5123" width="76.7109375" style="45" customWidth="1"/>
    <col min="5124" max="5124" width="37.7109375" style="45" customWidth="1"/>
    <col min="5125" max="5125" width="37.85546875" style="45" customWidth="1"/>
    <col min="5126" max="5126" width="39.85546875" style="45" customWidth="1"/>
    <col min="5127" max="5127" width="53.140625" style="45" customWidth="1"/>
    <col min="5128" max="5128" width="35.28515625" style="45" customWidth="1"/>
    <col min="5129" max="5129" width="31" style="45" customWidth="1"/>
    <col min="5130" max="5130" width="29.140625" style="45" customWidth="1"/>
    <col min="5131" max="5131" width="30.140625" style="45" customWidth="1"/>
    <col min="5132" max="5132" width="49.140625" style="45" customWidth="1"/>
    <col min="5133" max="5133" width="31.85546875" style="45" customWidth="1"/>
    <col min="5134" max="5134" width="39.140625" style="45" customWidth="1"/>
    <col min="5135" max="5135" width="53" style="45" bestFit="1" customWidth="1"/>
    <col min="5136" max="5136" width="33.42578125" style="45" bestFit="1" customWidth="1"/>
    <col min="5137" max="5137" width="28.140625" style="45" customWidth="1"/>
    <col min="5138" max="5142" width="6.7109375" style="45" customWidth="1"/>
    <col min="5143" max="5143" width="1.7109375" style="45" customWidth="1"/>
    <col min="5144" max="5367" width="9.140625" style="45"/>
    <col min="5368" max="5368" width="16" style="45" customWidth="1"/>
    <col min="5369" max="5369" width="27.7109375" style="45" customWidth="1"/>
    <col min="5370" max="5370" width="65.7109375" style="45" customWidth="1"/>
    <col min="5371" max="5371" width="21.85546875" style="45" bestFit="1" customWidth="1"/>
    <col min="5372" max="5372" width="30.140625" style="45" customWidth="1"/>
    <col min="5373" max="5373" width="62" style="45" customWidth="1"/>
    <col min="5374" max="5374" width="44" style="45" customWidth="1"/>
    <col min="5375" max="5375" width="43.140625" style="45" customWidth="1"/>
    <col min="5376" max="5376" width="45" style="45" customWidth="1"/>
    <col min="5377" max="5377" width="35.5703125" style="45" customWidth="1"/>
    <col min="5378" max="5378" width="37.140625" style="45" customWidth="1"/>
    <col min="5379" max="5379" width="76.7109375" style="45" customWidth="1"/>
    <col min="5380" max="5380" width="37.7109375" style="45" customWidth="1"/>
    <col min="5381" max="5381" width="37.85546875" style="45" customWidth="1"/>
    <col min="5382" max="5382" width="39.85546875" style="45" customWidth="1"/>
    <col min="5383" max="5383" width="53.140625" style="45" customWidth="1"/>
    <col min="5384" max="5384" width="35.28515625" style="45" customWidth="1"/>
    <col min="5385" max="5385" width="31" style="45" customWidth="1"/>
    <col min="5386" max="5386" width="29.140625" style="45" customWidth="1"/>
    <col min="5387" max="5387" width="30.140625" style="45" customWidth="1"/>
    <col min="5388" max="5388" width="49.140625" style="45" customWidth="1"/>
    <col min="5389" max="5389" width="31.85546875" style="45" customWidth="1"/>
    <col min="5390" max="5390" width="39.140625" style="45" customWidth="1"/>
    <col min="5391" max="5391" width="53" style="45" bestFit="1" customWidth="1"/>
    <col min="5392" max="5392" width="33.42578125" style="45" bestFit="1" customWidth="1"/>
    <col min="5393" max="5393" width="28.140625" style="45" customWidth="1"/>
    <col min="5394" max="5398" width="6.7109375" style="45" customWidth="1"/>
    <col min="5399" max="5399" width="1.7109375" style="45" customWidth="1"/>
    <col min="5400" max="5623" width="9.140625" style="45"/>
    <col min="5624" max="5624" width="16" style="45" customWidth="1"/>
    <col min="5625" max="5625" width="27.7109375" style="45" customWidth="1"/>
    <col min="5626" max="5626" width="65.7109375" style="45" customWidth="1"/>
    <col min="5627" max="5627" width="21.85546875" style="45" bestFit="1" customWidth="1"/>
    <col min="5628" max="5628" width="30.140625" style="45" customWidth="1"/>
    <col min="5629" max="5629" width="62" style="45" customWidth="1"/>
    <col min="5630" max="5630" width="44" style="45" customWidth="1"/>
    <col min="5631" max="5631" width="43.140625" style="45" customWidth="1"/>
    <col min="5632" max="5632" width="45" style="45" customWidth="1"/>
    <col min="5633" max="5633" width="35.5703125" style="45" customWidth="1"/>
    <col min="5634" max="5634" width="37.140625" style="45" customWidth="1"/>
    <col min="5635" max="5635" width="76.7109375" style="45" customWidth="1"/>
    <col min="5636" max="5636" width="37.7109375" style="45" customWidth="1"/>
    <col min="5637" max="5637" width="37.85546875" style="45" customWidth="1"/>
    <col min="5638" max="5638" width="39.85546875" style="45" customWidth="1"/>
    <col min="5639" max="5639" width="53.140625" style="45" customWidth="1"/>
    <col min="5640" max="5640" width="35.28515625" style="45" customWidth="1"/>
    <col min="5641" max="5641" width="31" style="45" customWidth="1"/>
    <col min="5642" max="5642" width="29.140625" style="45" customWidth="1"/>
    <col min="5643" max="5643" width="30.140625" style="45" customWidth="1"/>
    <col min="5644" max="5644" width="49.140625" style="45" customWidth="1"/>
    <col min="5645" max="5645" width="31.85546875" style="45" customWidth="1"/>
    <col min="5646" max="5646" width="39.140625" style="45" customWidth="1"/>
    <col min="5647" max="5647" width="53" style="45" bestFit="1" customWidth="1"/>
    <col min="5648" max="5648" width="33.42578125" style="45" bestFit="1" customWidth="1"/>
    <col min="5649" max="5649" width="28.140625" style="45" customWidth="1"/>
    <col min="5650" max="5654" width="6.7109375" style="45" customWidth="1"/>
    <col min="5655" max="5655" width="1.7109375" style="45" customWidth="1"/>
    <col min="5656" max="5879" width="9.140625" style="45"/>
    <col min="5880" max="5880" width="16" style="45" customWidth="1"/>
    <col min="5881" max="5881" width="27.7109375" style="45" customWidth="1"/>
    <col min="5882" max="5882" width="65.7109375" style="45" customWidth="1"/>
    <col min="5883" max="5883" width="21.85546875" style="45" bestFit="1" customWidth="1"/>
    <col min="5884" max="5884" width="30.140625" style="45" customWidth="1"/>
    <col min="5885" max="5885" width="62" style="45" customWidth="1"/>
    <col min="5886" max="5886" width="44" style="45" customWidth="1"/>
    <col min="5887" max="5887" width="43.140625" style="45" customWidth="1"/>
    <col min="5888" max="5888" width="45" style="45" customWidth="1"/>
    <col min="5889" max="5889" width="35.5703125" style="45" customWidth="1"/>
    <col min="5890" max="5890" width="37.140625" style="45" customWidth="1"/>
    <col min="5891" max="5891" width="76.7109375" style="45" customWidth="1"/>
    <col min="5892" max="5892" width="37.7109375" style="45" customWidth="1"/>
    <col min="5893" max="5893" width="37.85546875" style="45" customWidth="1"/>
    <col min="5894" max="5894" width="39.85546875" style="45" customWidth="1"/>
    <col min="5895" max="5895" width="53.140625" style="45" customWidth="1"/>
    <col min="5896" max="5896" width="35.28515625" style="45" customWidth="1"/>
    <col min="5897" max="5897" width="31" style="45" customWidth="1"/>
    <col min="5898" max="5898" width="29.140625" style="45" customWidth="1"/>
    <col min="5899" max="5899" width="30.140625" style="45" customWidth="1"/>
    <col min="5900" max="5900" width="49.140625" style="45" customWidth="1"/>
    <col min="5901" max="5901" width="31.85546875" style="45" customWidth="1"/>
    <col min="5902" max="5902" width="39.140625" style="45" customWidth="1"/>
    <col min="5903" max="5903" width="53" style="45" bestFit="1" customWidth="1"/>
    <col min="5904" max="5904" width="33.42578125" style="45" bestFit="1" customWidth="1"/>
    <col min="5905" max="5905" width="28.140625" style="45" customWidth="1"/>
    <col min="5906" max="5910" width="6.7109375" style="45" customWidth="1"/>
    <col min="5911" max="5911" width="1.7109375" style="45" customWidth="1"/>
    <col min="5912" max="6135" width="9.140625" style="45"/>
    <col min="6136" max="6136" width="16" style="45" customWidth="1"/>
    <col min="6137" max="6137" width="27.7109375" style="45" customWidth="1"/>
    <col min="6138" max="6138" width="65.7109375" style="45" customWidth="1"/>
    <col min="6139" max="6139" width="21.85546875" style="45" bestFit="1" customWidth="1"/>
    <col min="6140" max="6140" width="30.140625" style="45" customWidth="1"/>
    <col min="6141" max="6141" width="62" style="45" customWidth="1"/>
    <col min="6142" max="6142" width="44" style="45" customWidth="1"/>
    <col min="6143" max="6143" width="43.140625" style="45" customWidth="1"/>
    <col min="6144" max="6144" width="45" style="45" customWidth="1"/>
    <col min="6145" max="6145" width="35.5703125" style="45" customWidth="1"/>
    <col min="6146" max="6146" width="37.140625" style="45" customWidth="1"/>
    <col min="6147" max="6147" width="76.7109375" style="45" customWidth="1"/>
    <col min="6148" max="6148" width="37.7109375" style="45" customWidth="1"/>
    <col min="6149" max="6149" width="37.85546875" style="45" customWidth="1"/>
    <col min="6150" max="6150" width="39.85546875" style="45" customWidth="1"/>
    <col min="6151" max="6151" width="53.140625" style="45" customWidth="1"/>
    <col min="6152" max="6152" width="35.28515625" style="45" customWidth="1"/>
    <col min="6153" max="6153" width="31" style="45" customWidth="1"/>
    <col min="6154" max="6154" width="29.140625" style="45" customWidth="1"/>
    <col min="6155" max="6155" width="30.140625" style="45" customWidth="1"/>
    <col min="6156" max="6156" width="49.140625" style="45" customWidth="1"/>
    <col min="6157" max="6157" width="31.85546875" style="45" customWidth="1"/>
    <col min="6158" max="6158" width="39.140625" style="45" customWidth="1"/>
    <col min="6159" max="6159" width="53" style="45" bestFit="1" customWidth="1"/>
    <col min="6160" max="6160" width="33.42578125" style="45" bestFit="1" customWidth="1"/>
    <col min="6161" max="6161" width="28.140625" style="45" customWidth="1"/>
    <col min="6162" max="6166" width="6.7109375" style="45" customWidth="1"/>
    <col min="6167" max="6167" width="1.7109375" style="45" customWidth="1"/>
    <col min="6168" max="6391" width="9.140625" style="45"/>
    <col min="6392" max="6392" width="16" style="45" customWidth="1"/>
    <col min="6393" max="6393" width="27.7109375" style="45" customWidth="1"/>
    <col min="6394" max="6394" width="65.7109375" style="45" customWidth="1"/>
    <col min="6395" max="6395" width="21.85546875" style="45" bestFit="1" customWidth="1"/>
    <col min="6396" max="6396" width="30.140625" style="45" customWidth="1"/>
    <col min="6397" max="6397" width="62" style="45" customWidth="1"/>
    <col min="6398" max="6398" width="44" style="45" customWidth="1"/>
    <col min="6399" max="6399" width="43.140625" style="45" customWidth="1"/>
    <col min="6400" max="6400" width="45" style="45" customWidth="1"/>
    <col min="6401" max="6401" width="35.5703125" style="45" customWidth="1"/>
    <col min="6402" max="6402" width="37.140625" style="45" customWidth="1"/>
    <col min="6403" max="6403" width="76.7109375" style="45" customWidth="1"/>
    <col min="6404" max="6404" width="37.7109375" style="45" customWidth="1"/>
    <col min="6405" max="6405" width="37.85546875" style="45" customWidth="1"/>
    <col min="6406" max="6406" width="39.85546875" style="45" customWidth="1"/>
    <col min="6407" max="6407" width="53.140625" style="45" customWidth="1"/>
    <col min="6408" max="6408" width="35.28515625" style="45" customWidth="1"/>
    <col min="6409" max="6409" width="31" style="45" customWidth="1"/>
    <col min="6410" max="6410" width="29.140625" style="45" customWidth="1"/>
    <col min="6411" max="6411" width="30.140625" style="45" customWidth="1"/>
    <col min="6412" max="6412" width="49.140625" style="45" customWidth="1"/>
    <col min="6413" max="6413" width="31.85546875" style="45" customWidth="1"/>
    <col min="6414" max="6414" width="39.140625" style="45" customWidth="1"/>
    <col min="6415" max="6415" width="53" style="45" bestFit="1" customWidth="1"/>
    <col min="6416" max="6416" width="33.42578125" style="45" bestFit="1" customWidth="1"/>
    <col min="6417" max="6417" width="28.140625" style="45" customWidth="1"/>
    <col min="6418" max="6422" width="6.7109375" style="45" customWidth="1"/>
    <col min="6423" max="6423" width="1.7109375" style="45" customWidth="1"/>
    <col min="6424" max="6647" width="9.140625" style="45"/>
    <col min="6648" max="6648" width="16" style="45" customWidth="1"/>
    <col min="6649" max="6649" width="27.7109375" style="45" customWidth="1"/>
    <col min="6650" max="6650" width="65.7109375" style="45" customWidth="1"/>
    <col min="6651" max="6651" width="21.85546875" style="45" bestFit="1" customWidth="1"/>
    <col min="6652" max="6652" width="30.140625" style="45" customWidth="1"/>
    <col min="6653" max="6653" width="62" style="45" customWidth="1"/>
    <col min="6654" max="6654" width="44" style="45" customWidth="1"/>
    <col min="6655" max="6655" width="43.140625" style="45" customWidth="1"/>
    <col min="6656" max="6656" width="45" style="45" customWidth="1"/>
    <col min="6657" max="6657" width="35.5703125" style="45" customWidth="1"/>
    <col min="6658" max="6658" width="37.140625" style="45" customWidth="1"/>
    <col min="6659" max="6659" width="76.7109375" style="45" customWidth="1"/>
    <col min="6660" max="6660" width="37.7109375" style="45" customWidth="1"/>
    <col min="6661" max="6661" width="37.85546875" style="45" customWidth="1"/>
    <col min="6662" max="6662" width="39.85546875" style="45" customWidth="1"/>
    <col min="6663" max="6663" width="53.140625" style="45" customWidth="1"/>
    <col min="6664" max="6664" width="35.28515625" style="45" customWidth="1"/>
    <col min="6665" max="6665" width="31" style="45" customWidth="1"/>
    <col min="6666" max="6666" width="29.140625" style="45" customWidth="1"/>
    <col min="6667" max="6667" width="30.140625" style="45" customWidth="1"/>
    <col min="6668" max="6668" width="49.140625" style="45" customWidth="1"/>
    <col min="6669" max="6669" width="31.85546875" style="45" customWidth="1"/>
    <col min="6670" max="6670" width="39.140625" style="45" customWidth="1"/>
    <col min="6671" max="6671" width="53" style="45" bestFit="1" customWidth="1"/>
    <col min="6672" max="6672" width="33.42578125" style="45" bestFit="1" customWidth="1"/>
    <col min="6673" max="6673" width="28.140625" style="45" customWidth="1"/>
    <col min="6674" max="6678" width="6.7109375" style="45" customWidth="1"/>
    <col min="6679" max="6679" width="1.7109375" style="45" customWidth="1"/>
    <col min="6680" max="6903" width="9.140625" style="45"/>
    <col min="6904" max="6904" width="16" style="45" customWidth="1"/>
    <col min="6905" max="6905" width="27.7109375" style="45" customWidth="1"/>
    <col min="6906" max="6906" width="65.7109375" style="45" customWidth="1"/>
    <col min="6907" max="6907" width="21.85546875" style="45" bestFit="1" customWidth="1"/>
    <col min="6908" max="6908" width="30.140625" style="45" customWidth="1"/>
    <col min="6909" max="6909" width="62" style="45" customWidth="1"/>
    <col min="6910" max="6910" width="44" style="45" customWidth="1"/>
    <col min="6911" max="6911" width="43.140625" style="45" customWidth="1"/>
    <col min="6912" max="6912" width="45" style="45" customWidth="1"/>
    <col min="6913" max="6913" width="35.5703125" style="45" customWidth="1"/>
    <col min="6914" max="6914" width="37.140625" style="45" customWidth="1"/>
    <col min="6915" max="6915" width="76.7109375" style="45" customWidth="1"/>
    <col min="6916" max="6916" width="37.7109375" style="45" customWidth="1"/>
    <col min="6917" max="6917" width="37.85546875" style="45" customWidth="1"/>
    <col min="6918" max="6918" width="39.85546875" style="45" customWidth="1"/>
    <col min="6919" max="6919" width="53.140625" style="45" customWidth="1"/>
    <col min="6920" max="6920" width="35.28515625" style="45" customWidth="1"/>
    <col min="6921" max="6921" width="31" style="45" customWidth="1"/>
    <col min="6922" max="6922" width="29.140625" style="45" customWidth="1"/>
    <col min="6923" max="6923" width="30.140625" style="45" customWidth="1"/>
    <col min="6924" max="6924" width="49.140625" style="45" customWidth="1"/>
    <col min="6925" max="6925" width="31.85546875" style="45" customWidth="1"/>
    <col min="6926" max="6926" width="39.140625" style="45" customWidth="1"/>
    <col min="6927" max="6927" width="53" style="45" bestFit="1" customWidth="1"/>
    <col min="6928" max="6928" width="33.42578125" style="45" bestFit="1" customWidth="1"/>
    <col min="6929" max="6929" width="28.140625" style="45" customWidth="1"/>
    <col min="6930" max="6934" width="6.7109375" style="45" customWidth="1"/>
    <col min="6935" max="6935" width="1.7109375" style="45" customWidth="1"/>
    <col min="6936" max="7159" width="9.140625" style="45"/>
    <col min="7160" max="7160" width="16" style="45" customWidth="1"/>
    <col min="7161" max="7161" width="27.7109375" style="45" customWidth="1"/>
    <col min="7162" max="7162" width="65.7109375" style="45" customWidth="1"/>
    <col min="7163" max="7163" width="21.85546875" style="45" bestFit="1" customWidth="1"/>
    <col min="7164" max="7164" width="30.140625" style="45" customWidth="1"/>
    <col min="7165" max="7165" width="62" style="45" customWidth="1"/>
    <col min="7166" max="7166" width="44" style="45" customWidth="1"/>
    <col min="7167" max="7167" width="43.140625" style="45" customWidth="1"/>
    <col min="7168" max="7168" width="45" style="45" customWidth="1"/>
    <col min="7169" max="7169" width="35.5703125" style="45" customWidth="1"/>
    <col min="7170" max="7170" width="37.140625" style="45" customWidth="1"/>
    <col min="7171" max="7171" width="76.7109375" style="45" customWidth="1"/>
    <col min="7172" max="7172" width="37.7109375" style="45" customWidth="1"/>
    <col min="7173" max="7173" width="37.85546875" style="45" customWidth="1"/>
    <col min="7174" max="7174" width="39.85546875" style="45" customWidth="1"/>
    <col min="7175" max="7175" width="53.140625" style="45" customWidth="1"/>
    <col min="7176" max="7176" width="35.28515625" style="45" customWidth="1"/>
    <col min="7177" max="7177" width="31" style="45" customWidth="1"/>
    <col min="7178" max="7178" width="29.140625" style="45" customWidth="1"/>
    <col min="7179" max="7179" width="30.140625" style="45" customWidth="1"/>
    <col min="7180" max="7180" width="49.140625" style="45" customWidth="1"/>
    <col min="7181" max="7181" width="31.85546875" style="45" customWidth="1"/>
    <col min="7182" max="7182" width="39.140625" style="45" customWidth="1"/>
    <col min="7183" max="7183" width="53" style="45" bestFit="1" customWidth="1"/>
    <col min="7184" max="7184" width="33.42578125" style="45" bestFit="1" customWidth="1"/>
    <col min="7185" max="7185" width="28.140625" style="45" customWidth="1"/>
    <col min="7186" max="7190" width="6.7109375" style="45" customWidth="1"/>
    <col min="7191" max="7191" width="1.7109375" style="45" customWidth="1"/>
    <col min="7192" max="7415" width="9.140625" style="45"/>
    <col min="7416" max="7416" width="16" style="45" customWidth="1"/>
    <col min="7417" max="7417" width="27.7109375" style="45" customWidth="1"/>
    <col min="7418" max="7418" width="65.7109375" style="45" customWidth="1"/>
    <col min="7419" max="7419" width="21.85546875" style="45" bestFit="1" customWidth="1"/>
    <col min="7420" max="7420" width="30.140625" style="45" customWidth="1"/>
    <col min="7421" max="7421" width="62" style="45" customWidth="1"/>
    <col min="7422" max="7422" width="44" style="45" customWidth="1"/>
    <col min="7423" max="7423" width="43.140625" style="45" customWidth="1"/>
    <col min="7424" max="7424" width="45" style="45" customWidth="1"/>
    <col min="7425" max="7425" width="35.5703125" style="45" customWidth="1"/>
    <col min="7426" max="7426" width="37.140625" style="45" customWidth="1"/>
    <col min="7427" max="7427" width="76.7109375" style="45" customWidth="1"/>
    <col min="7428" max="7428" width="37.7109375" style="45" customWidth="1"/>
    <col min="7429" max="7429" width="37.85546875" style="45" customWidth="1"/>
    <col min="7430" max="7430" width="39.85546875" style="45" customWidth="1"/>
    <col min="7431" max="7431" width="53.140625" style="45" customWidth="1"/>
    <col min="7432" max="7432" width="35.28515625" style="45" customWidth="1"/>
    <col min="7433" max="7433" width="31" style="45" customWidth="1"/>
    <col min="7434" max="7434" width="29.140625" style="45" customWidth="1"/>
    <col min="7435" max="7435" width="30.140625" style="45" customWidth="1"/>
    <col min="7436" max="7436" width="49.140625" style="45" customWidth="1"/>
    <col min="7437" max="7437" width="31.85546875" style="45" customWidth="1"/>
    <col min="7438" max="7438" width="39.140625" style="45" customWidth="1"/>
    <col min="7439" max="7439" width="53" style="45" bestFit="1" customWidth="1"/>
    <col min="7440" max="7440" width="33.42578125" style="45" bestFit="1" customWidth="1"/>
    <col min="7441" max="7441" width="28.140625" style="45" customWidth="1"/>
    <col min="7442" max="7446" width="6.7109375" style="45" customWidth="1"/>
    <col min="7447" max="7447" width="1.7109375" style="45" customWidth="1"/>
    <col min="7448" max="7671" width="9.140625" style="45"/>
    <col min="7672" max="7672" width="16" style="45" customWidth="1"/>
    <col min="7673" max="7673" width="27.7109375" style="45" customWidth="1"/>
    <col min="7674" max="7674" width="65.7109375" style="45" customWidth="1"/>
    <col min="7675" max="7675" width="21.85546875" style="45" bestFit="1" customWidth="1"/>
    <col min="7676" max="7676" width="30.140625" style="45" customWidth="1"/>
    <col min="7677" max="7677" width="62" style="45" customWidth="1"/>
    <col min="7678" max="7678" width="44" style="45" customWidth="1"/>
    <col min="7679" max="7679" width="43.140625" style="45" customWidth="1"/>
    <col min="7680" max="7680" width="45" style="45" customWidth="1"/>
    <col min="7681" max="7681" width="35.5703125" style="45" customWidth="1"/>
    <col min="7682" max="7682" width="37.140625" style="45" customWidth="1"/>
    <col min="7683" max="7683" width="76.7109375" style="45" customWidth="1"/>
    <col min="7684" max="7684" width="37.7109375" style="45" customWidth="1"/>
    <col min="7685" max="7685" width="37.85546875" style="45" customWidth="1"/>
    <col min="7686" max="7686" width="39.85546875" style="45" customWidth="1"/>
    <col min="7687" max="7687" width="53.140625" style="45" customWidth="1"/>
    <col min="7688" max="7688" width="35.28515625" style="45" customWidth="1"/>
    <col min="7689" max="7689" width="31" style="45" customWidth="1"/>
    <col min="7690" max="7690" width="29.140625" style="45" customWidth="1"/>
    <col min="7691" max="7691" width="30.140625" style="45" customWidth="1"/>
    <col min="7692" max="7692" width="49.140625" style="45" customWidth="1"/>
    <col min="7693" max="7693" width="31.85546875" style="45" customWidth="1"/>
    <col min="7694" max="7694" width="39.140625" style="45" customWidth="1"/>
    <col min="7695" max="7695" width="53" style="45" bestFit="1" customWidth="1"/>
    <col min="7696" max="7696" width="33.42578125" style="45" bestFit="1" customWidth="1"/>
    <col min="7697" max="7697" width="28.140625" style="45" customWidth="1"/>
    <col min="7698" max="7702" width="6.7109375" style="45" customWidth="1"/>
    <col min="7703" max="7703" width="1.7109375" style="45" customWidth="1"/>
    <col min="7704" max="7927" width="9.140625" style="45"/>
    <col min="7928" max="7928" width="16" style="45" customWidth="1"/>
    <col min="7929" max="7929" width="27.7109375" style="45" customWidth="1"/>
    <col min="7930" max="7930" width="65.7109375" style="45" customWidth="1"/>
    <col min="7931" max="7931" width="21.85546875" style="45" bestFit="1" customWidth="1"/>
    <col min="7932" max="7932" width="30.140625" style="45" customWidth="1"/>
    <col min="7933" max="7933" width="62" style="45" customWidth="1"/>
    <col min="7934" max="7934" width="44" style="45" customWidth="1"/>
    <col min="7935" max="7935" width="43.140625" style="45" customWidth="1"/>
    <col min="7936" max="7936" width="45" style="45" customWidth="1"/>
    <col min="7937" max="7937" width="35.5703125" style="45" customWidth="1"/>
    <col min="7938" max="7938" width="37.140625" style="45" customWidth="1"/>
    <col min="7939" max="7939" width="76.7109375" style="45" customWidth="1"/>
    <col min="7940" max="7940" width="37.7109375" style="45" customWidth="1"/>
    <col min="7941" max="7941" width="37.85546875" style="45" customWidth="1"/>
    <col min="7942" max="7942" width="39.85546875" style="45" customWidth="1"/>
    <col min="7943" max="7943" width="53.140625" style="45" customWidth="1"/>
    <col min="7944" max="7944" width="35.28515625" style="45" customWidth="1"/>
    <col min="7945" max="7945" width="31" style="45" customWidth="1"/>
    <col min="7946" max="7946" width="29.140625" style="45" customWidth="1"/>
    <col min="7947" max="7947" width="30.140625" style="45" customWidth="1"/>
    <col min="7948" max="7948" width="49.140625" style="45" customWidth="1"/>
    <col min="7949" max="7949" width="31.85546875" style="45" customWidth="1"/>
    <col min="7950" max="7950" width="39.140625" style="45" customWidth="1"/>
    <col min="7951" max="7951" width="53" style="45" bestFit="1" customWidth="1"/>
    <col min="7952" max="7952" width="33.42578125" style="45" bestFit="1" customWidth="1"/>
    <col min="7953" max="7953" width="28.140625" style="45" customWidth="1"/>
    <col min="7954" max="7958" width="6.7109375" style="45" customWidth="1"/>
    <col min="7959" max="7959" width="1.7109375" style="45" customWidth="1"/>
    <col min="7960" max="8183" width="9.140625" style="45"/>
    <col min="8184" max="8184" width="16" style="45" customWidth="1"/>
    <col min="8185" max="8185" width="27.7109375" style="45" customWidth="1"/>
    <col min="8186" max="8186" width="65.7109375" style="45" customWidth="1"/>
    <col min="8187" max="8187" width="21.85546875" style="45" bestFit="1" customWidth="1"/>
    <col min="8188" max="8188" width="30.140625" style="45" customWidth="1"/>
    <col min="8189" max="8189" width="62" style="45" customWidth="1"/>
    <col min="8190" max="8190" width="44" style="45" customWidth="1"/>
    <col min="8191" max="8191" width="43.140625" style="45" customWidth="1"/>
    <col min="8192" max="8192" width="45" style="45" customWidth="1"/>
    <col min="8193" max="8193" width="35.5703125" style="45" customWidth="1"/>
    <col min="8194" max="8194" width="37.140625" style="45" customWidth="1"/>
    <col min="8195" max="8195" width="76.7109375" style="45" customWidth="1"/>
    <col min="8196" max="8196" width="37.7109375" style="45" customWidth="1"/>
    <col min="8197" max="8197" width="37.85546875" style="45" customWidth="1"/>
    <col min="8198" max="8198" width="39.85546875" style="45" customWidth="1"/>
    <col min="8199" max="8199" width="53.140625" style="45" customWidth="1"/>
    <col min="8200" max="8200" width="35.28515625" style="45" customWidth="1"/>
    <col min="8201" max="8201" width="31" style="45" customWidth="1"/>
    <col min="8202" max="8202" width="29.140625" style="45" customWidth="1"/>
    <col min="8203" max="8203" width="30.140625" style="45" customWidth="1"/>
    <col min="8204" max="8204" width="49.140625" style="45" customWidth="1"/>
    <col min="8205" max="8205" width="31.85546875" style="45" customWidth="1"/>
    <col min="8206" max="8206" width="39.140625" style="45" customWidth="1"/>
    <col min="8207" max="8207" width="53" style="45" bestFit="1" customWidth="1"/>
    <col min="8208" max="8208" width="33.42578125" style="45" bestFit="1" customWidth="1"/>
    <col min="8209" max="8209" width="28.140625" style="45" customWidth="1"/>
    <col min="8210" max="8214" width="6.7109375" style="45" customWidth="1"/>
    <col min="8215" max="8215" width="1.7109375" style="45" customWidth="1"/>
    <col min="8216" max="8439" width="9.140625" style="45"/>
    <col min="8440" max="8440" width="16" style="45" customWidth="1"/>
    <col min="8441" max="8441" width="27.7109375" style="45" customWidth="1"/>
    <col min="8442" max="8442" width="65.7109375" style="45" customWidth="1"/>
    <col min="8443" max="8443" width="21.85546875" style="45" bestFit="1" customWidth="1"/>
    <col min="8444" max="8444" width="30.140625" style="45" customWidth="1"/>
    <col min="8445" max="8445" width="62" style="45" customWidth="1"/>
    <col min="8446" max="8446" width="44" style="45" customWidth="1"/>
    <col min="8447" max="8447" width="43.140625" style="45" customWidth="1"/>
    <col min="8448" max="8448" width="45" style="45" customWidth="1"/>
    <col min="8449" max="8449" width="35.5703125" style="45" customWidth="1"/>
    <col min="8450" max="8450" width="37.140625" style="45" customWidth="1"/>
    <col min="8451" max="8451" width="76.7109375" style="45" customWidth="1"/>
    <col min="8452" max="8452" width="37.7109375" style="45" customWidth="1"/>
    <col min="8453" max="8453" width="37.85546875" style="45" customWidth="1"/>
    <col min="8454" max="8454" width="39.85546875" style="45" customWidth="1"/>
    <col min="8455" max="8455" width="53.140625" style="45" customWidth="1"/>
    <col min="8456" max="8456" width="35.28515625" style="45" customWidth="1"/>
    <col min="8457" max="8457" width="31" style="45" customWidth="1"/>
    <col min="8458" max="8458" width="29.140625" style="45" customWidth="1"/>
    <col min="8459" max="8459" width="30.140625" style="45" customWidth="1"/>
    <col min="8460" max="8460" width="49.140625" style="45" customWidth="1"/>
    <col min="8461" max="8461" width="31.85546875" style="45" customWidth="1"/>
    <col min="8462" max="8462" width="39.140625" style="45" customWidth="1"/>
    <col min="8463" max="8463" width="53" style="45" bestFit="1" customWidth="1"/>
    <col min="8464" max="8464" width="33.42578125" style="45" bestFit="1" customWidth="1"/>
    <col min="8465" max="8465" width="28.140625" style="45" customWidth="1"/>
    <col min="8466" max="8470" width="6.7109375" style="45" customWidth="1"/>
    <col min="8471" max="8471" width="1.7109375" style="45" customWidth="1"/>
    <col min="8472" max="8695" width="9.140625" style="45"/>
    <col min="8696" max="8696" width="16" style="45" customWidth="1"/>
    <col min="8697" max="8697" width="27.7109375" style="45" customWidth="1"/>
    <col min="8698" max="8698" width="65.7109375" style="45" customWidth="1"/>
    <col min="8699" max="8699" width="21.85546875" style="45" bestFit="1" customWidth="1"/>
    <col min="8700" max="8700" width="30.140625" style="45" customWidth="1"/>
    <col min="8701" max="8701" width="62" style="45" customWidth="1"/>
    <col min="8702" max="8702" width="44" style="45" customWidth="1"/>
    <col min="8703" max="8703" width="43.140625" style="45" customWidth="1"/>
    <col min="8704" max="8704" width="45" style="45" customWidth="1"/>
    <col min="8705" max="8705" width="35.5703125" style="45" customWidth="1"/>
    <col min="8706" max="8706" width="37.140625" style="45" customWidth="1"/>
    <col min="8707" max="8707" width="76.7109375" style="45" customWidth="1"/>
    <col min="8708" max="8708" width="37.7109375" style="45" customWidth="1"/>
    <col min="8709" max="8709" width="37.85546875" style="45" customWidth="1"/>
    <col min="8710" max="8710" width="39.85546875" style="45" customWidth="1"/>
    <col min="8711" max="8711" width="53.140625" style="45" customWidth="1"/>
    <col min="8712" max="8712" width="35.28515625" style="45" customWidth="1"/>
    <col min="8713" max="8713" width="31" style="45" customWidth="1"/>
    <col min="8714" max="8714" width="29.140625" style="45" customWidth="1"/>
    <col min="8715" max="8715" width="30.140625" style="45" customWidth="1"/>
    <col min="8716" max="8716" width="49.140625" style="45" customWidth="1"/>
    <col min="8717" max="8717" width="31.85546875" style="45" customWidth="1"/>
    <col min="8718" max="8718" width="39.140625" style="45" customWidth="1"/>
    <col min="8719" max="8719" width="53" style="45" bestFit="1" customWidth="1"/>
    <col min="8720" max="8720" width="33.42578125" style="45" bestFit="1" customWidth="1"/>
    <col min="8721" max="8721" width="28.140625" style="45" customWidth="1"/>
    <col min="8722" max="8726" width="6.7109375" style="45" customWidth="1"/>
    <col min="8727" max="8727" width="1.7109375" style="45" customWidth="1"/>
    <col min="8728" max="8951" width="9.140625" style="45"/>
    <col min="8952" max="8952" width="16" style="45" customWidth="1"/>
    <col min="8953" max="8953" width="27.7109375" style="45" customWidth="1"/>
    <col min="8954" max="8954" width="65.7109375" style="45" customWidth="1"/>
    <col min="8955" max="8955" width="21.85546875" style="45" bestFit="1" customWidth="1"/>
    <col min="8956" max="8956" width="30.140625" style="45" customWidth="1"/>
    <col min="8957" max="8957" width="62" style="45" customWidth="1"/>
    <col min="8958" max="8958" width="44" style="45" customWidth="1"/>
    <col min="8959" max="8959" width="43.140625" style="45" customWidth="1"/>
    <col min="8960" max="8960" width="45" style="45" customWidth="1"/>
    <col min="8961" max="8961" width="35.5703125" style="45" customWidth="1"/>
    <col min="8962" max="8962" width="37.140625" style="45" customWidth="1"/>
    <col min="8963" max="8963" width="76.7109375" style="45" customWidth="1"/>
    <col min="8964" max="8964" width="37.7109375" style="45" customWidth="1"/>
    <col min="8965" max="8965" width="37.85546875" style="45" customWidth="1"/>
    <col min="8966" max="8966" width="39.85546875" style="45" customWidth="1"/>
    <col min="8967" max="8967" width="53.140625" style="45" customWidth="1"/>
    <col min="8968" max="8968" width="35.28515625" style="45" customWidth="1"/>
    <col min="8969" max="8969" width="31" style="45" customWidth="1"/>
    <col min="8970" max="8970" width="29.140625" style="45" customWidth="1"/>
    <col min="8971" max="8971" width="30.140625" style="45" customWidth="1"/>
    <col min="8972" max="8972" width="49.140625" style="45" customWidth="1"/>
    <col min="8973" max="8973" width="31.85546875" style="45" customWidth="1"/>
    <col min="8974" max="8974" width="39.140625" style="45" customWidth="1"/>
    <col min="8975" max="8975" width="53" style="45" bestFit="1" customWidth="1"/>
    <col min="8976" max="8976" width="33.42578125" style="45" bestFit="1" customWidth="1"/>
    <col min="8977" max="8977" width="28.140625" style="45" customWidth="1"/>
    <col min="8978" max="8982" width="6.7109375" style="45" customWidth="1"/>
    <col min="8983" max="8983" width="1.7109375" style="45" customWidth="1"/>
    <col min="8984" max="9207" width="9.140625" style="45"/>
    <col min="9208" max="9208" width="16" style="45" customWidth="1"/>
    <col min="9209" max="9209" width="27.7109375" style="45" customWidth="1"/>
    <col min="9210" max="9210" width="65.7109375" style="45" customWidth="1"/>
    <col min="9211" max="9211" width="21.85546875" style="45" bestFit="1" customWidth="1"/>
    <col min="9212" max="9212" width="30.140625" style="45" customWidth="1"/>
    <col min="9213" max="9213" width="62" style="45" customWidth="1"/>
    <col min="9214" max="9214" width="44" style="45" customWidth="1"/>
    <col min="9215" max="9215" width="43.140625" style="45" customWidth="1"/>
    <col min="9216" max="9216" width="45" style="45" customWidth="1"/>
    <col min="9217" max="9217" width="35.5703125" style="45" customWidth="1"/>
    <col min="9218" max="9218" width="37.140625" style="45" customWidth="1"/>
    <col min="9219" max="9219" width="76.7109375" style="45" customWidth="1"/>
    <col min="9220" max="9220" width="37.7109375" style="45" customWidth="1"/>
    <col min="9221" max="9221" width="37.85546875" style="45" customWidth="1"/>
    <col min="9222" max="9222" width="39.85546875" style="45" customWidth="1"/>
    <col min="9223" max="9223" width="53.140625" style="45" customWidth="1"/>
    <col min="9224" max="9224" width="35.28515625" style="45" customWidth="1"/>
    <col min="9225" max="9225" width="31" style="45" customWidth="1"/>
    <col min="9226" max="9226" width="29.140625" style="45" customWidth="1"/>
    <col min="9227" max="9227" width="30.140625" style="45" customWidth="1"/>
    <col min="9228" max="9228" width="49.140625" style="45" customWidth="1"/>
    <col min="9229" max="9229" width="31.85546875" style="45" customWidth="1"/>
    <col min="9230" max="9230" width="39.140625" style="45" customWidth="1"/>
    <col min="9231" max="9231" width="53" style="45" bestFit="1" customWidth="1"/>
    <col min="9232" max="9232" width="33.42578125" style="45" bestFit="1" customWidth="1"/>
    <col min="9233" max="9233" width="28.140625" style="45" customWidth="1"/>
    <col min="9234" max="9238" width="6.7109375" style="45" customWidth="1"/>
    <col min="9239" max="9239" width="1.7109375" style="45" customWidth="1"/>
    <col min="9240" max="9463" width="9.140625" style="45"/>
    <col min="9464" max="9464" width="16" style="45" customWidth="1"/>
    <col min="9465" max="9465" width="27.7109375" style="45" customWidth="1"/>
    <col min="9466" max="9466" width="65.7109375" style="45" customWidth="1"/>
    <col min="9467" max="9467" width="21.85546875" style="45" bestFit="1" customWidth="1"/>
    <col min="9468" max="9468" width="30.140625" style="45" customWidth="1"/>
    <col min="9469" max="9469" width="62" style="45" customWidth="1"/>
    <col min="9470" max="9470" width="44" style="45" customWidth="1"/>
    <col min="9471" max="9471" width="43.140625" style="45" customWidth="1"/>
    <col min="9472" max="9472" width="45" style="45" customWidth="1"/>
    <col min="9473" max="9473" width="35.5703125" style="45" customWidth="1"/>
    <col min="9474" max="9474" width="37.140625" style="45" customWidth="1"/>
    <col min="9475" max="9475" width="76.7109375" style="45" customWidth="1"/>
    <col min="9476" max="9476" width="37.7109375" style="45" customWidth="1"/>
    <col min="9477" max="9477" width="37.85546875" style="45" customWidth="1"/>
    <col min="9478" max="9478" width="39.85546875" style="45" customWidth="1"/>
    <col min="9479" max="9479" width="53.140625" style="45" customWidth="1"/>
    <col min="9480" max="9480" width="35.28515625" style="45" customWidth="1"/>
    <col min="9481" max="9481" width="31" style="45" customWidth="1"/>
    <col min="9482" max="9482" width="29.140625" style="45" customWidth="1"/>
    <col min="9483" max="9483" width="30.140625" style="45" customWidth="1"/>
    <col min="9484" max="9484" width="49.140625" style="45" customWidth="1"/>
    <col min="9485" max="9485" width="31.85546875" style="45" customWidth="1"/>
    <col min="9486" max="9486" width="39.140625" style="45" customWidth="1"/>
    <col min="9487" max="9487" width="53" style="45" bestFit="1" customWidth="1"/>
    <col min="9488" max="9488" width="33.42578125" style="45" bestFit="1" customWidth="1"/>
    <col min="9489" max="9489" width="28.140625" style="45" customWidth="1"/>
    <col min="9490" max="9494" width="6.7109375" style="45" customWidth="1"/>
    <col min="9495" max="9495" width="1.7109375" style="45" customWidth="1"/>
    <col min="9496" max="9719" width="9.140625" style="45"/>
    <col min="9720" max="9720" width="16" style="45" customWidth="1"/>
    <col min="9721" max="9721" width="27.7109375" style="45" customWidth="1"/>
    <col min="9722" max="9722" width="65.7109375" style="45" customWidth="1"/>
    <col min="9723" max="9723" width="21.85546875" style="45" bestFit="1" customWidth="1"/>
    <col min="9724" max="9724" width="30.140625" style="45" customWidth="1"/>
    <col min="9725" max="9725" width="62" style="45" customWidth="1"/>
    <col min="9726" max="9726" width="44" style="45" customWidth="1"/>
    <col min="9727" max="9727" width="43.140625" style="45" customWidth="1"/>
    <col min="9728" max="9728" width="45" style="45" customWidth="1"/>
    <col min="9729" max="9729" width="35.5703125" style="45" customWidth="1"/>
    <col min="9730" max="9730" width="37.140625" style="45" customWidth="1"/>
    <col min="9731" max="9731" width="76.7109375" style="45" customWidth="1"/>
    <col min="9732" max="9732" width="37.7109375" style="45" customWidth="1"/>
    <col min="9733" max="9733" width="37.85546875" style="45" customWidth="1"/>
    <col min="9734" max="9734" width="39.85546875" style="45" customWidth="1"/>
    <col min="9735" max="9735" width="53.140625" style="45" customWidth="1"/>
    <col min="9736" max="9736" width="35.28515625" style="45" customWidth="1"/>
    <col min="9737" max="9737" width="31" style="45" customWidth="1"/>
    <col min="9738" max="9738" width="29.140625" style="45" customWidth="1"/>
    <col min="9739" max="9739" width="30.140625" style="45" customWidth="1"/>
    <col min="9740" max="9740" width="49.140625" style="45" customWidth="1"/>
    <col min="9741" max="9741" width="31.85546875" style="45" customWidth="1"/>
    <col min="9742" max="9742" width="39.140625" style="45" customWidth="1"/>
    <col min="9743" max="9743" width="53" style="45" bestFit="1" customWidth="1"/>
    <col min="9744" max="9744" width="33.42578125" style="45" bestFit="1" customWidth="1"/>
    <col min="9745" max="9745" width="28.140625" style="45" customWidth="1"/>
    <col min="9746" max="9750" width="6.7109375" style="45" customWidth="1"/>
    <col min="9751" max="9751" width="1.7109375" style="45" customWidth="1"/>
    <col min="9752" max="9975" width="9.140625" style="45"/>
    <col min="9976" max="9976" width="16" style="45" customWidth="1"/>
    <col min="9977" max="9977" width="27.7109375" style="45" customWidth="1"/>
    <col min="9978" max="9978" width="65.7109375" style="45" customWidth="1"/>
    <col min="9979" max="9979" width="21.85546875" style="45" bestFit="1" customWidth="1"/>
    <col min="9980" max="9980" width="30.140625" style="45" customWidth="1"/>
    <col min="9981" max="9981" width="62" style="45" customWidth="1"/>
    <col min="9982" max="9982" width="44" style="45" customWidth="1"/>
    <col min="9983" max="9983" width="43.140625" style="45" customWidth="1"/>
    <col min="9984" max="9984" width="45" style="45" customWidth="1"/>
    <col min="9985" max="9985" width="35.5703125" style="45" customWidth="1"/>
    <col min="9986" max="9986" width="37.140625" style="45" customWidth="1"/>
    <col min="9987" max="9987" width="76.7109375" style="45" customWidth="1"/>
    <col min="9988" max="9988" width="37.7109375" style="45" customWidth="1"/>
    <col min="9989" max="9989" width="37.85546875" style="45" customWidth="1"/>
    <col min="9990" max="9990" width="39.85546875" style="45" customWidth="1"/>
    <col min="9991" max="9991" width="53.140625" style="45" customWidth="1"/>
    <col min="9992" max="9992" width="35.28515625" style="45" customWidth="1"/>
    <col min="9993" max="9993" width="31" style="45" customWidth="1"/>
    <col min="9994" max="9994" width="29.140625" style="45" customWidth="1"/>
    <col min="9995" max="9995" width="30.140625" style="45" customWidth="1"/>
    <col min="9996" max="9996" width="49.140625" style="45" customWidth="1"/>
    <col min="9997" max="9997" width="31.85546875" style="45" customWidth="1"/>
    <col min="9998" max="9998" width="39.140625" style="45" customWidth="1"/>
    <col min="9999" max="9999" width="53" style="45" bestFit="1" customWidth="1"/>
    <col min="10000" max="10000" width="33.42578125" style="45" bestFit="1" customWidth="1"/>
    <col min="10001" max="10001" width="28.140625" style="45" customWidth="1"/>
    <col min="10002" max="10006" width="6.7109375" style="45" customWidth="1"/>
    <col min="10007" max="10007" width="1.7109375" style="45" customWidth="1"/>
    <col min="10008" max="10231" width="9.140625" style="45"/>
    <col min="10232" max="10232" width="16" style="45" customWidth="1"/>
    <col min="10233" max="10233" width="27.7109375" style="45" customWidth="1"/>
    <col min="10234" max="10234" width="65.7109375" style="45" customWidth="1"/>
    <col min="10235" max="10235" width="21.85546875" style="45" bestFit="1" customWidth="1"/>
    <col min="10236" max="10236" width="30.140625" style="45" customWidth="1"/>
    <col min="10237" max="10237" width="62" style="45" customWidth="1"/>
    <col min="10238" max="10238" width="44" style="45" customWidth="1"/>
    <col min="10239" max="10239" width="43.140625" style="45" customWidth="1"/>
    <col min="10240" max="10240" width="45" style="45" customWidth="1"/>
    <col min="10241" max="10241" width="35.5703125" style="45" customWidth="1"/>
    <col min="10242" max="10242" width="37.140625" style="45" customWidth="1"/>
    <col min="10243" max="10243" width="76.7109375" style="45" customWidth="1"/>
    <col min="10244" max="10244" width="37.7109375" style="45" customWidth="1"/>
    <col min="10245" max="10245" width="37.85546875" style="45" customWidth="1"/>
    <col min="10246" max="10246" width="39.85546875" style="45" customWidth="1"/>
    <col min="10247" max="10247" width="53.140625" style="45" customWidth="1"/>
    <col min="10248" max="10248" width="35.28515625" style="45" customWidth="1"/>
    <col min="10249" max="10249" width="31" style="45" customWidth="1"/>
    <col min="10250" max="10250" width="29.140625" style="45" customWidth="1"/>
    <col min="10251" max="10251" width="30.140625" style="45" customWidth="1"/>
    <col min="10252" max="10252" width="49.140625" style="45" customWidth="1"/>
    <col min="10253" max="10253" width="31.85546875" style="45" customWidth="1"/>
    <col min="10254" max="10254" width="39.140625" style="45" customWidth="1"/>
    <col min="10255" max="10255" width="53" style="45" bestFit="1" customWidth="1"/>
    <col min="10256" max="10256" width="33.42578125" style="45" bestFit="1" customWidth="1"/>
    <col min="10257" max="10257" width="28.140625" style="45" customWidth="1"/>
    <col min="10258" max="10262" width="6.7109375" style="45" customWidth="1"/>
    <col min="10263" max="10263" width="1.7109375" style="45" customWidth="1"/>
    <col min="10264" max="10487" width="9.140625" style="45"/>
    <col min="10488" max="10488" width="16" style="45" customWidth="1"/>
    <col min="10489" max="10489" width="27.7109375" style="45" customWidth="1"/>
    <col min="10490" max="10490" width="65.7109375" style="45" customWidth="1"/>
    <col min="10491" max="10491" width="21.85546875" style="45" bestFit="1" customWidth="1"/>
    <col min="10492" max="10492" width="30.140625" style="45" customWidth="1"/>
    <col min="10493" max="10493" width="62" style="45" customWidth="1"/>
    <col min="10494" max="10494" width="44" style="45" customWidth="1"/>
    <col min="10495" max="10495" width="43.140625" style="45" customWidth="1"/>
    <col min="10496" max="10496" width="45" style="45" customWidth="1"/>
    <col min="10497" max="10497" width="35.5703125" style="45" customWidth="1"/>
    <col min="10498" max="10498" width="37.140625" style="45" customWidth="1"/>
    <col min="10499" max="10499" width="76.7109375" style="45" customWidth="1"/>
    <col min="10500" max="10500" width="37.7109375" style="45" customWidth="1"/>
    <col min="10501" max="10501" width="37.85546875" style="45" customWidth="1"/>
    <col min="10502" max="10502" width="39.85546875" style="45" customWidth="1"/>
    <col min="10503" max="10503" width="53.140625" style="45" customWidth="1"/>
    <col min="10504" max="10504" width="35.28515625" style="45" customWidth="1"/>
    <col min="10505" max="10505" width="31" style="45" customWidth="1"/>
    <col min="10506" max="10506" width="29.140625" style="45" customWidth="1"/>
    <col min="10507" max="10507" width="30.140625" style="45" customWidth="1"/>
    <col min="10508" max="10508" width="49.140625" style="45" customWidth="1"/>
    <col min="10509" max="10509" width="31.85546875" style="45" customWidth="1"/>
    <col min="10510" max="10510" width="39.140625" style="45" customWidth="1"/>
    <col min="10511" max="10511" width="53" style="45" bestFit="1" customWidth="1"/>
    <col min="10512" max="10512" width="33.42578125" style="45" bestFit="1" customWidth="1"/>
    <col min="10513" max="10513" width="28.140625" style="45" customWidth="1"/>
    <col min="10514" max="10518" width="6.7109375" style="45" customWidth="1"/>
    <col min="10519" max="10519" width="1.7109375" style="45" customWidth="1"/>
    <col min="10520" max="10743" width="9.140625" style="45"/>
    <col min="10744" max="10744" width="16" style="45" customWidth="1"/>
    <col min="10745" max="10745" width="27.7109375" style="45" customWidth="1"/>
    <col min="10746" max="10746" width="65.7109375" style="45" customWidth="1"/>
    <col min="10747" max="10747" width="21.85546875" style="45" bestFit="1" customWidth="1"/>
    <col min="10748" max="10748" width="30.140625" style="45" customWidth="1"/>
    <col min="10749" max="10749" width="62" style="45" customWidth="1"/>
    <col min="10750" max="10750" width="44" style="45" customWidth="1"/>
    <col min="10751" max="10751" width="43.140625" style="45" customWidth="1"/>
    <col min="10752" max="10752" width="45" style="45" customWidth="1"/>
    <col min="10753" max="10753" width="35.5703125" style="45" customWidth="1"/>
    <col min="10754" max="10754" width="37.140625" style="45" customWidth="1"/>
    <col min="10755" max="10755" width="76.7109375" style="45" customWidth="1"/>
    <col min="10756" max="10756" width="37.7109375" style="45" customWidth="1"/>
    <col min="10757" max="10757" width="37.85546875" style="45" customWidth="1"/>
    <col min="10758" max="10758" width="39.85546875" style="45" customWidth="1"/>
    <col min="10759" max="10759" width="53.140625" style="45" customWidth="1"/>
    <col min="10760" max="10760" width="35.28515625" style="45" customWidth="1"/>
    <col min="10761" max="10761" width="31" style="45" customWidth="1"/>
    <col min="10762" max="10762" width="29.140625" style="45" customWidth="1"/>
    <col min="10763" max="10763" width="30.140625" style="45" customWidth="1"/>
    <col min="10764" max="10764" width="49.140625" style="45" customWidth="1"/>
    <col min="10765" max="10765" width="31.85546875" style="45" customWidth="1"/>
    <col min="10766" max="10766" width="39.140625" style="45" customWidth="1"/>
    <col min="10767" max="10767" width="53" style="45" bestFit="1" customWidth="1"/>
    <col min="10768" max="10768" width="33.42578125" style="45" bestFit="1" customWidth="1"/>
    <col min="10769" max="10769" width="28.140625" style="45" customWidth="1"/>
    <col min="10770" max="10774" width="6.7109375" style="45" customWidth="1"/>
    <col min="10775" max="10775" width="1.7109375" style="45" customWidth="1"/>
    <col min="10776" max="10999" width="9.140625" style="45"/>
    <col min="11000" max="11000" width="16" style="45" customWidth="1"/>
    <col min="11001" max="11001" width="27.7109375" style="45" customWidth="1"/>
    <col min="11002" max="11002" width="65.7109375" style="45" customWidth="1"/>
    <col min="11003" max="11003" width="21.85546875" style="45" bestFit="1" customWidth="1"/>
    <col min="11004" max="11004" width="30.140625" style="45" customWidth="1"/>
    <col min="11005" max="11005" width="62" style="45" customWidth="1"/>
    <col min="11006" max="11006" width="44" style="45" customWidth="1"/>
    <col min="11007" max="11007" width="43.140625" style="45" customWidth="1"/>
    <col min="11008" max="11008" width="45" style="45" customWidth="1"/>
    <col min="11009" max="11009" width="35.5703125" style="45" customWidth="1"/>
    <col min="11010" max="11010" width="37.140625" style="45" customWidth="1"/>
    <col min="11011" max="11011" width="76.7109375" style="45" customWidth="1"/>
    <col min="11012" max="11012" width="37.7109375" style="45" customWidth="1"/>
    <col min="11013" max="11013" width="37.85546875" style="45" customWidth="1"/>
    <col min="11014" max="11014" width="39.85546875" style="45" customWidth="1"/>
    <col min="11015" max="11015" width="53.140625" style="45" customWidth="1"/>
    <col min="11016" max="11016" width="35.28515625" style="45" customWidth="1"/>
    <col min="11017" max="11017" width="31" style="45" customWidth="1"/>
    <col min="11018" max="11018" width="29.140625" style="45" customWidth="1"/>
    <col min="11019" max="11019" width="30.140625" style="45" customWidth="1"/>
    <col min="11020" max="11020" width="49.140625" style="45" customWidth="1"/>
    <col min="11021" max="11021" width="31.85546875" style="45" customWidth="1"/>
    <col min="11022" max="11022" width="39.140625" style="45" customWidth="1"/>
    <col min="11023" max="11023" width="53" style="45" bestFit="1" customWidth="1"/>
    <col min="11024" max="11024" width="33.42578125" style="45" bestFit="1" customWidth="1"/>
    <col min="11025" max="11025" width="28.140625" style="45" customWidth="1"/>
    <col min="11026" max="11030" width="6.7109375" style="45" customWidth="1"/>
    <col min="11031" max="11031" width="1.7109375" style="45" customWidth="1"/>
    <col min="11032" max="11255" width="9.140625" style="45"/>
    <col min="11256" max="11256" width="16" style="45" customWidth="1"/>
    <col min="11257" max="11257" width="27.7109375" style="45" customWidth="1"/>
    <col min="11258" max="11258" width="65.7109375" style="45" customWidth="1"/>
    <col min="11259" max="11259" width="21.85546875" style="45" bestFit="1" customWidth="1"/>
    <col min="11260" max="11260" width="30.140625" style="45" customWidth="1"/>
    <col min="11261" max="11261" width="62" style="45" customWidth="1"/>
    <col min="11262" max="11262" width="44" style="45" customWidth="1"/>
    <col min="11263" max="11263" width="43.140625" style="45" customWidth="1"/>
    <col min="11264" max="11264" width="45" style="45" customWidth="1"/>
    <col min="11265" max="11265" width="35.5703125" style="45" customWidth="1"/>
    <col min="11266" max="11266" width="37.140625" style="45" customWidth="1"/>
    <col min="11267" max="11267" width="76.7109375" style="45" customWidth="1"/>
    <col min="11268" max="11268" width="37.7109375" style="45" customWidth="1"/>
    <col min="11269" max="11269" width="37.85546875" style="45" customWidth="1"/>
    <col min="11270" max="11270" width="39.85546875" style="45" customWidth="1"/>
    <col min="11271" max="11271" width="53.140625" style="45" customWidth="1"/>
    <col min="11272" max="11272" width="35.28515625" style="45" customWidth="1"/>
    <col min="11273" max="11273" width="31" style="45" customWidth="1"/>
    <col min="11274" max="11274" width="29.140625" style="45" customWidth="1"/>
    <col min="11275" max="11275" width="30.140625" style="45" customWidth="1"/>
    <col min="11276" max="11276" width="49.140625" style="45" customWidth="1"/>
    <col min="11277" max="11277" width="31.85546875" style="45" customWidth="1"/>
    <col min="11278" max="11278" width="39.140625" style="45" customWidth="1"/>
    <col min="11279" max="11279" width="53" style="45" bestFit="1" customWidth="1"/>
    <col min="11280" max="11280" width="33.42578125" style="45" bestFit="1" customWidth="1"/>
    <col min="11281" max="11281" width="28.140625" style="45" customWidth="1"/>
    <col min="11282" max="11286" width="6.7109375" style="45" customWidth="1"/>
    <col min="11287" max="11287" width="1.7109375" style="45" customWidth="1"/>
    <col min="11288" max="11511" width="9.140625" style="45"/>
    <col min="11512" max="11512" width="16" style="45" customWidth="1"/>
    <col min="11513" max="11513" width="27.7109375" style="45" customWidth="1"/>
    <col min="11514" max="11514" width="65.7109375" style="45" customWidth="1"/>
    <col min="11515" max="11515" width="21.85546875" style="45" bestFit="1" customWidth="1"/>
    <col min="11516" max="11516" width="30.140625" style="45" customWidth="1"/>
    <col min="11517" max="11517" width="62" style="45" customWidth="1"/>
    <col min="11518" max="11518" width="44" style="45" customWidth="1"/>
    <col min="11519" max="11519" width="43.140625" style="45" customWidth="1"/>
    <col min="11520" max="11520" width="45" style="45" customWidth="1"/>
    <col min="11521" max="11521" width="35.5703125" style="45" customWidth="1"/>
    <col min="11522" max="11522" width="37.140625" style="45" customWidth="1"/>
    <col min="11523" max="11523" width="76.7109375" style="45" customWidth="1"/>
    <col min="11524" max="11524" width="37.7109375" style="45" customWidth="1"/>
    <col min="11525" max="11525" width="37.85546875" style="45" customWidth="1"/>
    <col min="11526" max="11526" width="39.85546875" style="45" customWidth="1"/>
    <col min="11527" max="11527" width="53.140625" style="45" customWidth="1"/>
    <col min="11528" max="11528" width="35.28515625" style="45" customWidth="1"/>
    <col min="11529" max="11529" width="31" style="45" customWidth="1"/>
    <col min="11530" max="11530" width="29.140625" style="45" customWidth="1"/>
    <col min="11531" max="11531" width="30.140625" style="45" customWidth="1"/>
    <col min="11532" max="11532" width="49.140625" style="45" customWidth="1"/>
    <col min="11533" max="11533" width="31.85546875" style="45" customWidth="1"/>
    <col min="11534" max="11534" width="39.140625" style="45" customWidth="1"/>
    <col min="11535" max="11535" width="53" style="45" bestFit="1" customWidth="1"/>
    <col min="11536" max="11536" width="33.42578125" style="45" bestFit="1" customWidth="1"/>
    <col min="11537" max="11537" width="28.140625" style="45" customWidth="1"/>
    <col min="11538" max="11542" width="6.7109375" style="45" customWidth="1"/>
    <col min="11543" max="11543" width="1.7109375" style="45" customWidth="1"/>
    <col min="11544" max="11767" width="9.140625" style="45"/>
    <col min="11768" max="11768" width="16" style="45" customWidth="1"/>
    <col min="11769" max="11769" width="27.7109375" style="45" customWidth="1"/>
    <col min="11770" max="11770" width="65.7109375" style="45" customWidth="1"/>
    <col min="11771" max="11771" width="21.85546875" style="45" bestFit="1" customWidth="1"/>
    <col min="11772" max="11772" width="30.140625" style="45" customWidth="1"/>
    <col min="11773" max="11773" width="62" style="45" customWidth="1"/>
    <col min="11774" max="11774" width="44" style="45" customWidth="1"/>
    <col min="11775" max="11775" width="43.140625" style="45" customWidth="1"/>
    <col min="11776" max="11776" width="45" style="45" customWidth="1"/>
    <col min="11777" max="11777" width="35.5703125" style="45" customWidth="1"/>
    <col min="11778" max="11778" width="37.140625" style="45" customWidth="1"/>
    <col min="11779" max="11779" width="76.7109375" style="45" customWidth="1"/>
    <col min="11780" max="11780" width="37.7109375" style="45" customWidth="1"/>
    <col min="11781" max="11781" width="37.85546875" style="45" customWidth="1"/>
    <col min="11782" max="11782" width="39.85546875" style="45" customWidth="1"/>
    <col min="11783" max="11783" width="53.140625" style="45" customWidth="1"/>
    <col min="11784" max="11784" width="35.28515625" style="45" customWidth="1"/>
    <col min="11785" max="11785" width="31" style="45" customWidth="1"/>
    <col min="11786" max="11786" width="29.140625" style="45" customWidth="1"/>
    <col min="11787" max="11787" width="30.140625" style="45" customWidth="1"/>
    <col min="11788" max="11788" width="49.140625" style="45" customWidth="1"/>
    <col min="11789" max="11789" width="31.85546875" style="45" customWidth="1"/>
    <col min="11790" max="11790" width="39.140625" style="45" customWidth="1"/>
    <col min="11791" max="11791" width="53" style="45" bestFit="1" customWidth="1"/>
    <col min="11792" max="11792" width="33.42578125" style="45" bestFit="1" customWidth="1"/>
    <col min="11793" max="11793" width="28.140625" style="45" customWidth="1"/>
    <col min="11794" max="11798" width="6.7109375" style="45" customWidth="1"/>
    <col min="11799" max="11799" width="1.7109375" style="45" customWidth="1"/>
    <col min="11800" max="12023" width="9.140625" style="45"/>
    <col min="12024" max="12024" width="16" style="45" customWidth="1"/>
    <col min="12025" max="12025" width="27.7109375" style="45" customWidth="1"/>
    <col min="12026" max="12026" width="65.7109375" style="45" customWidth="1"/>
    <col min="12027" max="12027" width="21.85546875" style="45" bestFit="1" customWidth="1"/>
    <col min="12028" max="12028" width="30.140625" style="45" customWidth="1"/>
    <col min="12029" max="12029" width="62" style="45" customWidth="1"/>
    <col min="12030" max="12030" width="44" style="45" customWidth="1"/>
    <col min="12031" max="12031" width="43.140625" style="45" customWidth="1"/>
    <col min="12032" max="12032" width="45" style="45" customWidth="1"/>
    <col min="12033" max="12033" width="35.5703125" style="45" customWidth="1"/>
    <col min="12034" max="12034" width="37.140625" style="45" customWidth="1"/>
    <col min="12035" max="12035" width="76.7109375" style="45" customWidth="1"/>
    <col min="12036" max="12036" width="37.7109375" style="45" customWidth="1"/>
    <col min="12037" max="12037" width="37.85546875" style="45" customWidth="1"/>
    <col min="12038" max="12038" width="39.85546875" style="45" customWidth="1"/>
    <col min="12039" max="12039" width="53.140625" style="45" customWidth="1"/>
    <col min="12040" max="12040" width="35.28515625" style="45" customWidth="1"/>
    <col min="12041" max="12041" width="31" style="45" customWidth="1"/>
    <col min="12042" max="12042" width="29.140625" style="45" customWidth="1"/>
    <col min="12043" max="12043" width="30.140625" style="45" customWidth="1"/>
    <col min="12044" max="12044" width="49.140625" style="45" customWidth="1"/>
    <col min="12045" max="12045" width="31.85546875" style="45" customWidth="1"/>
    <col min="12046" max="12046" width="39.140625" style="45" customWidth="1"/>
    <col min="12047" max="12047" width="53" style="45" bestFit="1" customWidth="1"/>
    <col min="12048" max="12048" width="33.42578125" style="45" bestFit="1" customWidth="1"/>
    <col min="12049" max="12049" width="28.140625" style="45" customWidth="1"/>
    <col min="12050" max="12054" width="6.7109375" style="45" customWidth="1"/>
    <col min="12055" max="12055" width="1.7109375" style="45" customWidth="1"/>
    <col min="12056" max="12279" width="9.140625" style="45"/>
    <col min="12280" max="12280" width="16" style="45" customWidth="1"/>
    <col min="12281" max="12281" width="27.7109375" style="45" customWidth="1"/>
    <col min="12282" max="12282" width="65.7109375" style="45" customWidth="1"/>
    <col min="12283" max="12283" width="21.85546875" style="45" bestFit="1" customWidth="1"/>
    <col min="12284" max="12284" width="30.140625" style="45" customWidth="1"/>
    <col min="12285" max="12285" width="62" style="45" customWidth="1"/>
    <col min="12286" max="12286" width="44" style="45" customWidth="1"/>
    <col min="12287" max="12287" width="43.140625" style="45" customWidth="1"/>
    <col min="12288" max="12288" width="45" style="45" customWidth="1"/>
    <col min="12289" max="12289" width="35.5703125" style="45" customWidth="1"/>
    <col min="12290" max="12290" width="37.140625" style="45" customWidth="1"/>
    <col min="12291" max="12291" width="76.7109375" style="45" customWidth="1"/>
    <col min="12292" max="12292" width="37.7109375" style="45" customWidth="1"/>
    <col min="12293" max="12293" width="37.85546875" style="45" customWidth="1"/>
    <col min="12294" max="12294" width="39.85546875" style="45" customWidth="1"/>
    <col min="12295" max="12295" width="53.140625" style="45" customWidth="1"/>
    <col min="12296" max="12296" width="35.28515625" style="45" customWidth="1"/>
    <col min="12297" max="12297" width="31" style="45" customWidth="1"/>
    <col min="12298" max="12298" width="29.140625" style="45" customWidth="1"/>
    <col min="12299" max="12299" width="30.140625" style="45" customWidth="1"/>
    <col min="12300" max="12300" width="49.140625" style="45" customWidth="1"/>
    <col min="12301" max="12301" width="31.85546875" style="45" customWidth="1"/>
    <col min="12302" max="12302" width="39.140625" style="45" customWidth="1"/>
    <col min="12303" max="12303" width="53" style="45" bestFit="1" customWidth="1"/>
    <col min="12304" max="12304" width="33.42578125" style="45" bestFit="1" customWidth="1"/>
    <col min="12305" max="12305" width="28.140625" style="45" customWidth="1"/>
    <col min="12306" max="12310" width="6.7109375" style="45" customWidth="1"/>
    <col min="12311" max="12311" width="1.7109375" style="45" customWidth="1"/>
    <col min="12312" max="12535" width="9.140625" style="45"/>
    <col min="12536" max="12536" width="16" style="45" customWidth="1"/>
    <col min="12537" max="12537" width="27.7109375" style="45" customWidth="1"/>
    <col min="12538" max="12538" width="65.7109375" style="45" customWidth="1"/>
    <col min="12539" max="12539" width="21.85546875" style="45" bestFit="1" customWidth="1"/>
    <col min="12540" max="12540" width="30.140625" style="45" customWidth="1"/>
    <col min="12541" max="12541" width="62" style="45" customWidth="1"/>
    <col min="12542" max="12542" width="44" style="45" customWidth="1"/>
    <col min="12543" max="12543" width="43.140625" style="45" customWidth="1"/>
    <col min="12544" max="12544" width="45" style="45" customWidth="1"/>
    <col min="12545" max="12545" width="35.5703125" style="45" customWidth="1"/>
    <col min="12546" max="12546" width="37.140625" style="45" customWidth="1"/>
    <col min="12547" max="12547" width="76.7109375" style="45" customWidth="1"/>
    <col min="12548" max="12548" width="37.7109375" style="45" customWidth="1"/>
    <col min="12549" max="12549" width="37.85546875" style="45" customWidth="1"/>
    <col min="12550" max="12550" width="39.85546875" style="45" customWidth="1"/>
    <col min="12551" max="12551" width="53.140625" style="45" customWidth="1"/>
    <col min="12552" max="12552" width="35.28515625" style="45" customWidth="1"/>
    <col min="12553" max="12553" width="31" style="45" customWidth="1"/>
    <col min="12554" max="12554" width="29.140625" style="45" customWidth="1"/>
    <col min="12555" max="12555" width="30.140625" style="45" customWidth="1"/>
    <col min="12556" max="12556" width="49.140625" style="45" customWidth="1"/>
    <col min="12557" max="12557" width="31.85546875" style="45" customWidth="1"/>
    <col min="12558" max="12558" width="39.140625" style="45" customWidth="1"/>
    <col min="12559" max="12559" width="53" style="45" bestFit="1" customWidth="1"/>
    <col min="12560" max="12560" width="33.42578125" style="45" bestFit="1" customWidth="1"/>
    <col min="12561" max="12561" width="28.140625" style="45" customWidth="1"/>
    <col min="12562" max="12566" width="6.7109375" style="45" customWidth="1"/>
    <col min="12567" max="12567" width="1.7109375" style="45" customWidth="1"/>
    <col min="12568" max="12791" width="9.140625" style="45"/>
    <col min="12792" max="12792" width="16" style="45" customWidth="1"/>
    <col min="12793" max="12793" width="27.7109375" style="45" customWidth="1"/>
    <col min="12794" max="12794" width="65.7109375" style="45" customWidth="1"/>
    <col min="12795" max="12795" width="21.85546875" style="45" bestFit="1" customWidth="1"/>
    <col min="12796" max="12796" width="30.140625" style="45" customWidth="1"/>
    <col min="12797" max="12797" width="62" style="45" customWidth="1"/>
    <col min="12798" max="12798" width="44" style="45" customWidth="1"/>
    <col min="12799" max="12799" width="43.140625" style="45" customWidth="1"/>
    <col min="12800" max="12800" width="45" style="45" customWidth="1"/>
    <col min="12801" max="12801" width="35.5703125" style="45" customWidth="1"/>
    <col min="12802" max="12802" width="37.140625" style="45" customWidth="1"/>
    <col min="12803" max="12803" width="76.7109375" style="45" customWidth="1"/>
    <col min="12804" max="12804" width="37.7109375" style="45" customWidth="1"/>
    <col min="12805" max="12805" width="37.85546875" style="45" customWidth="1"/>
    <col min="12806" max="12806" width="39.85546875" style="45" customWidth="1"/>
    <col min="12807" max="12807" width="53.140625" style="45" customWidth="1"/>
    <col min="12808" max="12808" width="35.28515625" style="45" customWidth="1"/>
    <col min="12809" max="12809" width="31" style="45" customWidth="1"/>
    <col min="12810" max="12810" width="29.140625" style="45" customWidth="1"/>
    <col min="12811" max="12811" width="30.140625" style="45" customWidth="1"/>
    <col min="12812" max="12812" width="49.140625" style="45" customWidth="1"/>
    <col min="12813" max="12813" width="31.85546875" style="45" customWidth="1"/>
    <col min="12814" max="12814" width="39.140625" style="45" customWidth="1"/>
    <col min="12815" max="12815" width="53" style="45" bestFit="1" customWidth="1"/>
    <col min="12816" max="12816" width="33.42578125" style="45" bestFit="1" customWidth="1"/>
    <col min="12817" max="12817" width="28.140625" style="45" customWidth="1"/>
    <col min="12818" max="12822" width="6.7109375" style="45" customWidth="1"/>
    <col min="12823" max="12823" width="1.7109375" style="45" customWidth="1"/>
    <col min="12824" max="13047" width="9.140625" style="45"/>
    <col min="13048" max="13048" width="16" style="45" customWidth="1"/>
    <col min="13049" max="13049" width="27.7109375" style="45" customWidth="1"/>
    <col min="13050" max="13050" width="65.7109375" style="45" customWidth="1"/>
    <col min="13051" max="13051" width="21.85546875" style="45" bestFit="1" customWidth="1"/>
    <col min="13052" max="13052" width="30.140625" style="45" customWidth="1"/>
    <col min="13053" max="13053" width="62" style="45" customWidth="1"/>
    <col min="13054" max="13054" width="44" style="45" customWidth="1"/>
    <col min="13055" max="13055" width="43.140625" style="45" customWidth="1"/>
    <col min="13056" max="13056" width="45" style="45" customWidth="1"/>
    <col min="13057" max="13057" width="35.5703125" style="45" customWidth="1"/>
    <col min="13058" max="13058" width="37.140625" style="45" customWidth="1"/>
    <col min="13059" max="13059" width="76.7109375" style="45" customWidth="1"/>
    <col min="13060" max="13060" width="37.7109375" style="45" customWidth="1"/>
    <col min="13061" max="13061" width="37.85546875" style="45" customWidth="1"/>
    <col min="13062" max="13062" width="39.85546875" style="45" customWidth="1"/>
    <col min="13063" max="13063" width="53.140625" style="45" customWidth="1"/>
    <col min="13064" max="13064" width="35.28515625" style="45" customWidth="1"/>
    <col min="13065" max="13065" width="31" style="45" customWidth="1"/>
    <col min="13066" max="13066" width="29.140625" style="45" customWidth="1"/>
    <col min="13067" max="13067" width="30.140625" style="45" customWidth="1"/>
    <col min="13068" max="13068" width="49.140625" style="45" customWidth="1"/>
    <col min="13069" max="13069" width="31.85546875" style="45" customWidth="1"/>
    <col min="13070" max="13070" width="39.140625" style="45" customWidth="1"/>
    <col min="13071" max="13071" width="53" style="45" bestFit="1" customWidth="1"/>
    <col min="13072" max="13072" width="33.42578125" style="45" bestFit="1" customWidth="1"/>
    <col min="13073" max="13073" width="28.140625" style="45" customWidth="1"/>
    <col min="13074" max="13078" width="6.7109375" style="45" customWidth="1"/>
    <col min="13079" max="13079" width="1.7109375" style="45" customWidth="1"/>
    <col min="13080" max="13303" width="9.140625" style="45"/>
    <col min="13304" max="13304" width="16" style="45" customWidth="1"/>
    <col min="13305" max="13305" width="27.7109375" style="45" customWidth="1"/>
    <col min="13306" max="13306" width="65.7109375" style="45" customWidth="1"/>
    <col min="13307" max="13307" width="21.85546875" style="45" bestFit="1" customWidth="1"/>
    <col min="13308" max="13308" width="30.140625" style="45" customWidth="1"/>
    <col min="13309" max="13309" width="62" style="45" customWidth="1"/>
    <col min="13310" max="13310" width="44" style="45" customWidth="1"/>
    <col min="13311" max="13311" width="43.140625" style="45" customWidth="1"/>
    <col min="13312" max="13312" width="45" style="45" customWidth="1"/>
    <col min="13313" max="13313" width="35.5703125" style="45" customWidth="1"/>
    <col min="13314" max="13314" width="37.140625" style="45" customWidth="1"/>
    <col min="13315" max="13315" width="76.7109375" style="45" customWidth="1"/>
    <col min="13316" max="13316" width="37.7109375" style="45" customWidth="1"/>
    <col min="13317" max="13317" width="37.85546875" style="45" customWidth="1"/>
    <col min="13318" max="13318" width="39.85546875" style="45" customWidth="1"/>
    <col min="13319" max="13319" width="53.140625" style="45" customWidth="1"/>
    <col min="13320" max="13320" width="35.28515625" style="45" customWidth="1"/>
    <col min="13321" max="13321" width="31" style="45" customWidth="1"/>
    <col min="13322" max="13322" width="29.140625" style="45" customWidth="1"/>
    <col min="13323" max="13323" width="30.140625" style="45" customWidth="1"/>
    <col min="13324" max="13324" width="49.140625" style="45" customWidth="1"/>
    <col min="13325" max="13325" width="31.85546875" style="45" customWidth="1"/>
    <col min="13326" max="13326" width="39.140625" style="45" customWidth="1"/>
    <col min="13327" max="13327" width="53" style="45" bestFit="1" customWidth="1"/>
    <col min="13328" max="13328" width="33.42578125" style="45" bestFit="1" customWidth="1"/>
    <col min="13329" max="13329" width="28.140625" style="45" customWidth="1"/>
    <col min="13330" max="13334" width="6.7109375" style="45" customWidth="1"/>
    <col min="13335" max="13335" width="1.7109375" style="45" customWidth="1"/>
    <col min="13336" max="13559" width="9.140625" style="45"/>
    <col min="13560" max="13560" width="16" style="45" customWidth="1"/>
    <col min="13561" max="13561" width="27.7109375" style="45" customWidth="1"/>
    <col min="13562" max="13562" width="65.7109375" style="45" customWidth="1"/>
    <col min="13563" max="13563" width="21.85546875" style="45" bestFit="1" customWidth="1"/>
    <col min="13564" max="13564" width="30.140625" style="45" customWidth="1"/>
    <col min="13565" max="13565" width="62" style="45" customWidth="1"/>
    <col min="13566" max="13566" width="44" style="45" customWidth="1"/>
    <col min="13567" max="13567" width="43.140625" style="45" customWidth="1"/>
    <col min="13568" max="13568" width="45" style="45" customWidth="1"/>
    <col min="13569" max="13569" width="35.5703125" style="45" customWidth="1"/>
    <col min="13570" max="13570" width="37.140625" style="45" customWidth="1"/>
    <col min="13571" max="13571" width="76.7109375" style="45" customWidth="1"/>
    <col min="13572" max="13572" width="37.7109375" style="45" customWidth="1"/>
    <col min="13573" max="13573" width="37.85546875" style="45" customWidth="1"/>
    <col min="13574" max="13574" width="39.85546875" style="45" customWidth="1"/>
    <col min="13575" max="13575" width="53.140625" style="45" customWidth="1"/>
    <col min="13576" max="13576" width="35.28515625" style="45" customWidth="1"/>
    <col min="13577" max="13577" width="31" style="45" customWidth="1"/>
    <col min="13578" max="13578" width="29.140625" style="45" customWidth="1"/>
    <col min="13579" max="13579" width="30.140625" style="45" customWidth="1"/>
    <col min="13580" max="13580" width="49.140625" style="45" customWidth="1"/>
    <col min="13581" max="13581" width="31.85546875" style="45" customWidth="1"/>
    <col min="13582" max="13582" width="39.140625" style="45" customWidth="1"/>
    <col min="13583" max="13583" width="53" style="45" bestFit="1" customWidth="1"/>
    <col min="13584" max="13584" width="33.42578125" style="45" bestFit="1" customWidth="1"/>
    <col min="13585" max="13585" width="28.140625" style="45" customWidth="1"/>
    <col min="13586" max="13590" width="6.7109375" style="45" customWidth="1"/>
    <col min="13591" max="13591" width="1.7109375" style="45" customWidth="1"/>
    <col min="13592" max="13815" width="9.140625" style="45"/>
    <col min="13816" max="13816" width="16" style="45" customWidth="1"/>
    <col min="13817" max="13817" width="27.7109375" style="45" customWidth="1"/>
    <col min="13818" max="13818" width="65.7109375" style="45" customWidth="1"/>
    <col min="13819" max="13819" width="21.85546875" style="45" bestFit="1" customWidth="1"/>
    <col min="13820" max="13820" width="30.140625" style="45" customWidth="1"/>
    <col min="13821" max="13821" width="62" style="45" customWidth="1"/>
    <col min="13822" max="13822" width="44" style="45" customWidth="1"/>
    <col min="13823" max="13823" width="43.140625" style="45" customWidth="1"/>
    <col min="13824" max="13824" width="45" style="45" customWidth="1"/>
    <col min="13825" max="13825" width="35.5703125" style="45" customWidth="1"/>
    <col min="13826" max="13826" width="37.140625" style="45" customWidth="1"/>
    <col min="13827" max="13827" width="76.7109375" style="45" customWidth="1"/>
    <col min="13828" max="13828" width="37.7109375" style="45" customWidth="1"/>
    <col min="13829" max="13829" width="37.85546875" style="45" customWidth="1"/>
    <col min="13830" max="13830" width="39.85546875" style="45" customWidth="1"/>
    <col min="13831" max="13831" width="53.140625" style="45" customWidth="1"/>
    <col min="13832" max="13832" width="35.28515625" style="45" customWidth="1"/>
    <col min="13833" max="13833" width="31" style="45" customWidth="1"/>
    <col min="13834" max="13834" width="29.140625" style="45" customWidth="1"/>
    <col min="13835" max="13835" width="30.140625" style="45" customWidth="1"/>
    <col min="13836" max="13836" width="49.140625" style="45" customWidth="1"/>
    <col min="13837" max="13837" width="31.85546875" style="45" customWidth="1"/>
    <col min="13838" max="13838" width="39.140625" style="45" customWidth="1"/>
    <col min="13839" max="13839" width="53" style="45" bestFit="1" customWidth="1"/>
    <col min="13840" max="13840" width="33.42578125" style="45" bestFit="1" customWidth="1"/>
    <col min="13841" max="13841" width="28.140625" style="45" customWidth="1"/>
    <col min="13842" max="13846" width="6.7109375" style="45" customWidth="1"/>
    <col min="13847" max="13847" width="1.7109375" style="45" customWidth="1"/>
    <col min="13848" max="14071" width="9.140625" style="45"/>
    <col min="14072" max="14072" width="16" style="45" customWidth="1"/>
    <col min="14073" max="14073" width="27.7109375" style="45" customWidth="1"/>
    <col min="14074" max="14074" width="65.7109375" style="45" customWidth="1"/>
    <col min="14075" max="14075" width="21.85546875" style="45" bestFit="1" customWidth="1"/>
    <col min="14076" max="14076" width="30.140625" style="45" customWidth="1"/>
    <col min="14077" max="14077" width="62" style="45" customWidth="1"/>
    <col min="14078" max="14078" width="44" style="45" customWidth="1"/>
    <col min="14079" max="14079" width="43.140625" style="45" customWidth="1"/>
    <col min="14080" max="14080" width="45" style="45" customWidth="1"/>
    <col min="14081" max="14081" width="35.5703125" style="45" customWidth="1"/>
    <col min="14082" max="14082" width="37.140625" style="45" customWidth="1"/>
    <col min="14083" max="14083" width="76.7109375" style="45" customWidth="1"/>
    <col min="14084" max="14084" width="37.7109375" style="45" customWidth="1"/>
    <col min="14085" max="14085" width="37.85546875" style="45" customWidth="1"/>
    <col min="14086" max="14086" width="39.85546875" style="45" customWidth="1"/>
    <col min="14087" max="14087" width="53.140625" style="45" customWidth="1"/>
    <col min="14088" max="14088" width="35.28515625" style="45" customWidth="1"/>
    <col min="14089" max="14089" width="31" style="45" customWidth="1"/>
    <col min="14090" max="14090" width="29.140625" style="45" customWidth="1"/>
    <col min="14091" max="14091" width="30.140625" style="45" customWidth="1"/>
    <col min="14092" max="14092" width="49.140625" style="45" customWidth="1"/>
    <col min="14093" max="14093" width="31.85546875" style="45" customWidth="1"/>
    <col min="14094" max="14094" width="39.140625" style="45" customWidth="1"/>
    <col min="14095" max="14095" width="53" style="45" bestFit="1" customWidth="1"/>
    <col min="14096" max="14096" width="33.42578125" style="45" bestFit="1" customWidth="1"/>
    <col min="14097" max="14097" width="28.140625" style="45" customWidth="1"/>
    <col min="14098" max="14102" width="6.7109375" style="45" customWidth="1"/>
    <col min="14103" max="14103" width="1.7109375" style="45" customWidth="1"/>
    <col min="14104" max="14327" width="9.140625" style="45"/>
    <col min="14328" max="14328" width="16" style="45" customWidth="1"/>
    <col min="14329" max="14329" width="27.7109375" style="45" customWidth="1"/>
    <col min="14330" max="14330" width="65.7109375" style="45" customWidth="1"/>
    <col min="14331" max="14331" width="21.85546875" style="45" bestFit="1" customWidth="1"/>
    <col min="14332" max="14332" width="30.140625" style="45" customWidth="1"/>
    <col min="14333" max="14333" width="62" style="45" customWidth="1"/>
    <col min="14334" max="14334" width="44" style="45" customWidth="1"/>
    <col min="14335" max="14335" width="43.140625" style="45" customWidth="1"/>
    <col min="14336" max="14336" width="45" style="45" customWidth="1"/>
    <col min="14337" max="14337" width="35.5703125" style="45" customWidth="1"/>
    <col min="14338" max="14338" width="37.140625" style="45" customWidth="1"/>
    <col min="14339" max="14339" width="76.7109375" style="45" customWidth="1"/>
    <col min="14340" max="14340" width="37.7109375" style="45" customWidth="1"/>
    <col min="14341" max="14341" width="37.85546875" style="45" customWidth="1"/>
    <col min="14342" max="14342" width="39.85546875" style="45" customWidth="1"/>
    <col min="14343" max="14343" width="53.140625" style="45" customWidth="1"/>
    <col min="14344" max="14344" width="35.28515625" style="45" customWidth="1"/>
    <col min="14345" max="14345" width="31" style="45" customWidth="1"/>
    <col min="14346" max="14346" width="29.140625" style="45" customWidth="1"/>
    <col min="14347" max="14347" width="30.140625" style="45" customWidth="1"/>
    <col min="14348" max="14348" width="49.140625" style="45" customWidth="1"/>
    <col min="14349" max="14349" width="31.85546875" style="45" customWidth="1"/>
    <col min="14350" max="14350" width="39.140625" style="45" customWidth="1"/>
    <col min="14351" max="14351" width="53" style="45" bestFit="1" customWidth="1"/>
    <col min="14352" max="14352" width="33.42578125" style="45" bestFit="1" customWidth="1"/>
    <col min="14353" max="14353" width="28.140625" style="45" customWidth="1"/>
    <col min="14354" max="14358" width="6.7109375" style="45" customWidth="1"/>
    <col min="14359" max="14359" width="1.7109375" style="45" customWidth="1"/>
    <col min="14360" max="14583" width="9.140625" style="45"/>
    <col min="14584" max="14584" width="16" style="45" customWidth="1"/>
    <col min="14585" max="14585" width="27.7109375" style="45" customWidth="1"/>
    <col min="14586" max="14586" width="65.7109375" style="45" customWidth="1"/>
    <col min="14587" max="14587" width="21.85546875" style="45" bestFit="1" customWidth="1"/>
    <col min="14588" max="14588" width="30.140625" style="45" customWidth="1"/>
    <col min="14589" max="14589" width="62" style="45" customWidth="1"/>
    <col min="14590" max="14590" width="44" style="45" customWidth="1"/>
    <col min="14591" max="14591" width="43.140625" style="45" customWidth="1"/>
    <col min="14592" max="14592" width="45" style="45" customWidth="1"/>
    <col min="14593" max="14593" width="35.5703125" style="45" customWidth="1"/>
    <col min="14594" max="14594" width="37.140625" style="45" customWidth="1"/>
    <col min="14595" max="14595" width="76.7109375" style="45" customWidth="1"/>
    <col min="14596" max="14596" width="37.7109375" style="45" customWidth="1"/>
    <col min="14597" max="14597" width="37.85546875" style="45" customWidth="1"/>
    <col min="14598" max="14598" width="39.85546875" style="45" customWidth="1"/>
    <col min="14599" max="14599" width="53.140625" style="45" customWidth="1"/>
    <col min="14600" max="14600" width="35.28515625" style="45" customWidth="1"/>
    <col min="14601" max="14601" width="31" style="45" customWidth="1"/>
    <col min="14602" max="14602" width="29.140625" style="45" customWidth="1"/>
    <col min="14603" max="14603" width="30.140625" style="45" customWidth="1"/>
    <col min="14604" max="14604" width="49.140625" style="45" customWidth="1"/>
    <col min="14605" max="14605" width="31.85546875" style="45" customWidth="1"/>
    <col min="14606" max="14606" width="39.140625" style="45" customWidth="1"/>
    <col min="14607" max="14607" width="53" style="45" bestFit="1" customWidth="1"/>
    <col min="14608" max="14608" width="33.42578125" style="45" bestFit="1" customWidth="1"/>
    <col min="14609" max="14609" width="28.140625" style="45" customWidth="1"/>
    <col min="14610" max="14614" width="6.7109375" style="45" customWidth="1"/>
    <col min="14615" max="14615" width="1.7109375" style="45" customWidth="1"/>
    <col min="14616" max="14839" width="9.140625" style="45"/>
    <col min="14840" max="14840" width="16" style="45" customWidth="1"/>
    <col min="14841" max="14841" width="27.7109375" style="45" customWidth="1"/>
    <col min="14842" max="14842" width="65.7109375" style="45" customWidth="1"/>
    <col min="14843" max="14843" width="21.85546875" style="45" bestFit="1" customWidth="1"/>
    <col min="14844" max="14844" width="30.140625" style="45" customWidth="1"/>
    <col min="14845" max="14845" width="62" style="45" customWidth="1"/>
    <col min="14846" max="14846" width="44" style="45" customWidth="1"/>
    <col min="14847" max="14847" width="43.140625" style="45" customWidth="1"/>
    <col min="14848" max="14848" width="45" style="45" customWidth="1"/>
    <col min="14849" max="14849" width="35.5703125" style="45" customWidth="1"/>
    <col min="14850" max="14850" width="37.140625" style="45" customWidth="1"/>
    <col min="14851" max="14851" width="76.7109375" style="45" customWidth="1"/>
    <col min="14852" max="14852" width="37.7109375" style="45" customWidth="1"/>
    <col min="14853" max="14853" width="37.85546875" style="45" customWidth="1"/>
    <col min="14854" max="14854" width="39.85546875" style="45" customWidth="1"/>
    <col min="14855" max="14855" width="53.140625" style="45" customWidth="1"/>
    <col min="14856" max="14856" width="35.28515625" style="45" customWidth="1"/>
    <col min="14857" max="14857" width="31" style="45" customWidth="1"/>
    <col min="14858" max="14858" width="29.140625" style="45" customWidth="1"/>
    <col min="14859" max="14859" width="30.140625" style="45" customWidth="1"/>
    <col min="14860" max="14860" width="49.140625" style="45" customWidth="1"/>
    <col min="14861" max="14861" width="31.85546875" style="45" customWidth="1"/>
    <col min="14862" max="14862" width="39.140625" style="45" customWidth="1"/>
    <col min="14863" max="14863" width="53" style="45" bestFit="1" customWidth="1"/>
    <col min="14864" max="14864" width="33.42578125" style="45" bestFit="1" customWidth="1"/>
    <col min="14865" max="14865" width="28.140625" style="45" customWidth="1"/>
    <col min="14866" max="14870" width="6.7109375" style="45" customWidth="1"/>
    <col min="14871" max="14871" width="1.7109375" style="45" customWidth="1"/>
    <col min="14872" max="15095" width="9.140625" style="45"/>
    <col min="15096" max="15096" width="16" style="45" customWidth="1"/>
    <col min="15097" max="15097" width="27.7109375" style="45" customWidth="1"/>
    <col min="15098" max="15098" width="65.7109375" style="45" customWidth="1"/>
    <col min="15099" max="15099" width="21.85546875" style="45" bestFit="1" customWidth="1"/>
    <col min="15100" max="15100" width="30.140625" style="45" customWidth="1"/>
    <col min="15101" max="15101" width="62" style="45" customWidth="1"/>
    <col min="15102" max="15102" width="44" style="45" customWidth="1"/>
    <col min="15103" max="15103" width="43.140625" style="45" customWidth="1"/>
    <col min="15104" max="15104" width="45" style="45" customWidth="1"/>
    <col min="15105" max="15105" width="35.5703125" style="45" customWidth="1"/>
    <col min="15106" max="15106" width="37.140625" style="45" customWidth="1"/>
    <col min="15107" max="15107" width="76.7109375" style="45" customWidth="1"/>
    <col min="15108" max="15108" width="37.7109375" style="45" customWidth="1"/>
    <col min="15109" max="15109" width="37.85546875" style="45" customWidth="1"/>
    <col min="15110" max="15110" width="39.85546875" style="45" customWidth="1"/>
    <col min="15111" max="15111" width="53.140625" style="45" customWidth="1"/>
    <col min="15112" max="15112" width="35.28515625" style="45" customWidth="1"/>
    <col min="15113" max="15113" width="31" style="45" customWidth="1"/>
    <col min="15114" max="15114" width="29.140625" style="45" customWidth="1"/>
    <col min="15115" max="15115" width="30.140625" style="45" customWidth="1"/>
    <col min="15116" max="15116" width="49.140625" style="45" customWidth="1"/>
    <col min="15117" max="15117" width="31.85546875" style="45" customWidth="1"/>
    <col min="15118" max="15118" width="39.140625" style="45" customWidth="1"/>
    <col min="15119" max="15119" width="53" style="45" bestFit="1" customWidth="1"/>
    <col min="15120" max="15120" width="33.42578125" style="45" bestFit="1" customWidth="1"/>
    <col min="15121" max="15121" width="28.140625" style="45" customWidth="1"/>
    <col min="15122" max="15126" width="6.7109375" style="45" customWidth="1"/>
    <col min="15127" max="15127" width="1.7109375" style="45" customWidth="1"/>
    <col min="15128" max="15351" width="9.140625" style="45"/>
    <col min="15352" max="15352" width="16" style="45" customWidth="1"/>
    <col min="15353" max="15353" width="27.7109375" style="45" customWidth="1"/>
    <col min="15354" max="15354" width="65.7109375" style="45" customWidth="1"/>
    <col min="15355" max="15355" width="21.85546875" style="45" bestFit="1" customWidth="1"/>
    <col min="15356" max="15356" width="30.140625" style="45" customWidth="1"/>
    <col min="15357" max="15357" width="62" style="45" customWidth="1"/>
    <col min="15358" max="15358" width="44" style="45" customWidth="1"/>
    <col min="15359" max="15359" width="43.140625" style="45" customWidth="1"/>
    <col min="15360" max="15360" width="45" style="45" customWidth="1"/>
    <col min="15361" max="15361" width="35.5703125" style="45" customWidth="1"/>
    <col min="15362" max="15362" width="37.140625" style="45" customWidth="1"/>
    <col min="15363" max="15363" width="76.7109375" style="45" customWidth="1"/>
    <col min="15364" max="15364" width="37.7109375" style="45" customWidth="1"/>
    <col min="15365" max="15365" width="37.85546875" style="45" customWidth="1"/>
    <col min="15366" max="15366" width="39.85546875" style="45" customWidth="1"/>
    <col min="15367" max="15367" width="53.140625" style="45" customWidth="1"/>
    <col min="15368" max="15368" width="35.28515625" style="45" customWidth="1"/>
    <col min="15369" max="15369" width="31" style="45" customWidth="1"/>
    <col min="15370" max="15370" width="29.140625" style="45" customWidth="1"/>
    <col min="15371" max="15371" width="30.140625" style="45" customWidth="1"/>
    <col min="15372" max="15372" width="49.140625" style="45" customWidth="1"/>
    <col min="15373" max="15373" width="31.85546875" style="45" customWidth="1"/>
    <col min="15374" max="15374" width="39.140625" style="45" customWidth="1"/>
    <col min="15375" max="15375" width="53" style="45" bestFit="1" customWidth="1"/>
    <col min="15376" max="15376" width="33.42578125" style="45" bestFit="1" customWidth="1"/>
    <col min="15377" max="15377" width="28.140625" style="45" customWidth="1"/>
    <col min="15378" max="15382" width="6.7109375" style="45" customWidth="1"/>
    <col min="15383" max="15383" width="1.7109375" style="45" customWidth="1"/>
    <col min="15384" max="15607" width="9.140625" style="45"/>
    <col min="15608" max="15608" width="16" style="45" customWidth="1"/>
    <col min="15609" max="15609" width="27.7109375" style="45" customWidth="1"/>
    <col min="15610" max="15610" width="65.7109375" style="45" customWidth="1"/>
    <col min="15611" max="15611" width="21.85546875" style="45" bestFit="1" customWidth="1"/>
    <col min="15612" max="15612" width="30.140625" style="45" customWidth="1"/>
    <col min="15613" max="15613" width="62" style="45" customWidth="1"/>
    <col min="15614" max="15614" width="44" style="45" customWidth="1"/>
    <col min="15615" max="15615" width="43.140625" style="45" customWidth="1"/>
    <col min="15616" max="15616" width="45" style="45" customWidth="1"/>
    <col min="15617" max="15617" width="35.5703125" style="45" customWidth="1"/>
    <col min="15618" max="15618" width="37.140625" style="45" customWidth="1"/>
    <col min="15619" max="15619" width="76.7109375" style="45" customWidth="1"/>
    <col min="15620" max="15620" width="37.7109375" style="45" customWidth="1"/>
    <col min="15621" max="15621" width="37.85546875" style="45" customWidth="1"/>
    <col min="15622" max="15622" width="39.85546875" style="45" customWidth="1"/>
    <col min="15623" max="15623" width="53.140625" style="45" customWidth="1"/>
    <col min="15624" max="15624" width="35.28515625" style="45" customWidth="1"/>
    <col min="15625" max="15625" width="31" style="45" customWidth="1"/>
    <col min="15626" max="15626" width="29.140625" style="45" customWidth="1"/>
    <col min="15627" max="15627" width="30.140625" style="45" customWidth="1"/>
    <col min="15628" max="15628" width="49.140625" style="45" customWidth="1"/>
    <col min="15629" max="15629" width="31.85546875" style="45" customWidth="1"/>
    <col min="15630" max="15630" width="39.140625" style="45" customWidth="1"/>
    <col min="15631" max="15631" width="53" style="45" bestFit="1" customWidth="1"/>
    <col min="15632" max="15632" width="33.42578125" style="45" bestFit="1" customWidth="1"/>
    <col min="15633" max="15633" width="28.140625" style="45" customWidth="1"/>
    <col min="15634" max="15638" width="6.7109375" style="45" customWidth="1"/>
    <col min="15639" max="15639" width="1.7109375" style="45" customWidth="1"/>
    <col min="15640" max="15863" width="9.140625" style="45"/>
    <col min="15864" max="15864" width="16" style="45" customWidth="1"/>
    <col min="15865" max="15865" width="27.7109375" style="45" customWidth="1"/>
    <col min="15866" max="15866" width="65.7109375" style="45" customWidth="1"/>
    <col min="15867" max="15867" width="21.85546875" style="45" bestFit="1" customWidth="1"/>
    <col min="15868" max="15868" width="30.140625" style="45" customWidth="1"/>
    <col min="15869" max="15869" width="62" style="45" customWidth="1"/>
    <col min="15870" max="15870" width="44" style="45" customWidth="1"/>
    <col min="15871" max="15871" width="43.140625" style="45" customWidth="1"/>
    <col min="15872" max="15872" width="45" style="45" customWidth="1"/>
    <col min="15873" max="15873" width="35.5703125" style="45" customWidth="1"/>
    <col min="15874" max="15874" width="37.140625" style="45" customWidth="1"/>
    <col min="15875" max="15875" width="76.7109375" style="45" customWidth="1"/>
    <col min="15876" max="15876" width="37.7109375" style="45" customWidth="1"/>
    <col min="15877" max="15877" width="37.85546875" style="45" customWidth="1"/>
    <col min="15878" max="15878" width="39.85546875" style="45" customWidth="1"/>
    <col min="15879" max="15879" width="53.140625" style="45" customWidth="1"/>
    <col min="15880" max="15880" width="35.28515625" style="45" customWidth="1"/>
    <col min="15881" max="15881" width="31" style="45" customWidth="1"/>
    <col min="15882" max="15882" width="29.140625" style="45" customWidth="1"/>
    <col min="15883" max="15883" width="30.140625" style="45" customWidth="1"/>
    <col min="15884" max="15884" width="49.140625" style="45" customWidth="1"/>
    <col min="15885" max="15885" width="31.85546875" style="45" customWidth="1"/>
    <col min="15886" max="15886" width="39.140625" style="45" customWidth="1"/>
    <col min="15887" max="15887" width="53" style="45" bestFit="1" customWidth="1"/>
    <col min="15888" max="15888" width="33.42578125" style="45" bestFit="1" customWidth="1"/>
    <col min="15889" max="15889" width="28.140625" style="45" customWidth="1"/>
    <col min="15890" max="15894" width="6.7109375" style="45" customWidth="1"/>
    <col min="15895" max="15895" width="1.7109375" style="45" customWidth="1"/>
    <col min="15896" max="16119" width="9.140625" style="45"/>
    <col min="16120" max="16120" width="16" style="45" customWidth="1"/>
    <col min="16121" max="16121" width="27.7109375" style="45" customWidth="1"/>
    <col min="16122" max="16122" width="65.7109375" style="45" customWidth="1"/>
    <col min="16123" max="16123" width="21.85546875" style="45" bestFit="1" customWidth="1"/>
    <col min="16124" max="16124" width="30.140625" style="45" customWidth="1"/>
    <col min="16125" max="16125" width="62" style="45" customWidth="1"/>
    <col min="16126" max="16126" width="44" style="45" customWidth="1"/>
    <col min="16127" max="16127" width="43.140625" style="45" customWidth="1"/>
    <col min="16128" max="16128" width="45" style="45" customWidth="1"/>
    <col min="16129" max="16129" width="35.5703125" style="45" customWidth="1"/>
    <col min="16130" max="16130" width="37.140625" style="45" customWidth="1"/>
    <col min="16131" max="16131" width="76.7109375" style="45" customWidth="1"/>
    <col min="16132" max="16132" width="37.7109375" style="45" customWidth="1"/>
    <col min="16133" max="16133" width="37.85546875" style="45" customWidth="1"/>
    <col min="16134" max="16134" width="39.85546875" style="45" customWidth="1"/>
    <col min="16135" max="16135" width="53.140625" style="45" customWidth="1"/>
    <col min="16136" max="16136" width="35.28515625" style="45" customWidth="1"/>
    <col min="16137" max="16137" width="31" style="45" customWidth="1"/>
    <col min="16138" max="16138" width="29.140625" style="45" customWidth="1"/>
    <col min="16139" max="16139" width="30.140625" style="45" customWidth="1"/>
    <col min="16140" max="16140" width="49.140625" style="45" customWidth="1"/>
    <col min="16141" max="16141" width="31.85546875" style="45" customWidth="1"/>
    <col min="16142" max="16142" width="39.140625" style="45" customWidth="1"/>
    <col min="16143" max="16143" width="53" style="45" bestFit="1" customWidth="1"/>
    <col min="16144" max="16144" width="33.42578125" style="45" bestFit="1" customWidth="1"/>
    <col min="16145" max="16145" width="28.140625" style="45" customWidth="1"/>
    <col min="16146" max="16150" width="6.7109375" style="45" customWidth="1"/>
    <col min="16151" max="16151" width="1.7109375" style="45" customWidth="1"/>
    <col min="16152" max="16384" width="9.140625" style="45"/>
  </cols>
  <sheetData>
    <row r="1" spans="1:23" ht="30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60.75" customHeight="1" x14ac:dyDescent="0.25">
      <c r="A2" s="1"/>
      <c r="B2" s="352"/>
      <c r="C2" s="353"/>
      <c r="D2" s="353"/>
      <c r="E2" s="354"/>
      <c r="F2" s="358" t="s">
        <v>124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  <c r="S2" s="359"/>
      <c r="T2" s="359"/>
      <c r="U2" s="360"/>
      <c r="V2" s="364"/>
      <c r="W2" s="365"/>
    </row>
    <row r="3" spans="1:23" ht="65.25" customHeight="1" x14ac:dyDescent="0.25">
      <c r="A3" s="1"/>
      <c r="B3" s="355"/>
      <c r="C3" s="356"/>
      <c r="D3" s="356"/>
      <c r="E3" s="357"/>
      <c r="F3" s="361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3"/>
      <c r="V3" s="267" t="s">
        <v>0</v>
      </c>
      <c r="W3" s="146"/>
    </row>
    <row r="4" spans="1:23" ht="60.75" customHeight="1" x14ac:dyDescent="0.25">
      <c r="A4" s="1"/>
      <c r="B4" s="2"/>
      <c r="C4" s="1"/>
      <c r="D4" s="1"/>
      <c r="E4" s="1"/>
      <c r="F4" s="1"/>
      <c r="G4" s="3"/>
      <c r="H4" s="4"/>
      <c r="I4" s="3"/>
      <c r="J4" s="1"/>
      <c r="K4" s="3"/>
      <c r="L4" s="3"/>
      <c r="M4" s="1"/>
      <c r="N4" s="1"/>
      <c r="O4" s="1"/>
      <c r="P4" s="1"/>
      <c r="Q4" s="1"/>
      <c r="R4" s="3"/>
      <c r="S4" s="3"/>
      <c r="T4" s="1"/>
      <c r="U4" s="1"/>
      <c r="V4" s="268" t="s">
        <v>130</v>
      </c>
      <c r="W4" s="146"/>
    </row>
    <row r="5" spans="1:23" ht="60" customHeight="1" x14ac:dyDescent="0.25">
      <c r="A5" s="1"/>
      <c r="B5" s="5" t="s">
        <v>1</v>
      </c>
      <c r="C5" s="3"/>
      <c r="D5" s="3"/>
      <c r="E5" s="3"/>
      <c r="F5" s="3"/>
      <c r="G5" s="6"/>
      <c r="H5" s="7"/>
      <c r="I5" s="3"/>
      <c r="J5" s="4" t="s">
        <v>7</v>
      </c>
      <c r="K5" s="3"/>
      <c r="L5" s="1"/>
      <c r="M5" s="3"/>
      <c r="N5" s="3"/>
      <c r="O5" s="1"/>
      <c r="P5" s="1"/>
      <c r="Q5" s="1"/>
      <c r="R5" s="4" t="s">
        <v>3</v>
      </c>
      <c r="S5" s="1"/>
      <c r="T5" s="1"/>
      <c r="U5" s="1"/>
      <c r="V5" s="1"/>
      <c r="W5" s="8"/>
    </row>
    <row r="6" spans="1:23" ht="65.099999999999994" customHeight="1" x14ac:dyDescent="0.25">
      <c r="A6" s="1"/>
      <c r="B6" s="9" t="s">
        <v>2</v>
      </c>
      <c r="C6" s="7"/>
      <c r="D6" s="259">
        <f>'33kV (Main)'!D6</f>
        <v>0</v>
      </c>
      <c r="E6" s="6"/>
      <c r="F6" s="1"/>
      <c r="G6" s="51"/>
      <c r="H6" s="7"/>
      <c r="I6" s="1"/>
      <c r="J6" s="7" t="s">
        <v>82</v>
      </c>
      <c r="K6" s="3"/>
      <c r="L6" s="257"/>
      <c r="M6" s="256"/>
      <c r="N6" s="1"/>
      <c r="O6" s="1"/>
      <c r="P6" s="1"/>
      <c r="Q6" s="1"/>
      <c r="R6" s="3" t="s">
        <v>4</v>
      </c>
      <c r="S6" s="11"/>
      <c r="T6" s="1"/>
      <c r="U6" s="265"/>
      <c r="V6" s="1"/>
      <c r="W6" s="52"/>
    </row>
    <row r="7" spans="1:23" ht="65.099999999999994" customHeight="1" x14ac:dyDescent="0.25">
      <c r="A7" s="1"/>
      <c r="B7" s="9" t="s">
        <v>83</v>
      </c>
      <c r="C7" s="7"/>
      <c r="D7" s="259">
        <f>'33kV (Main)'!D7</f>
        <v>0</v>
      </c>
      <c r="E7" s="51"/>
      <c r="F7" s="1"/>
      <c r="G7" s="1"/>
      <c r="H7" s="7"/>
      <c r="I7" s="1"/>
      <c r="J7" s="7" t="s">
        <v>9</v>
      </c>
      <c r="K7" s="1"/>
      <c r="L7" s="258"/>
      <c r="M7" s="13"/>
      <c r="N7" s="1"/>
      <c r="O7" s="1"/>
      <c r="P7" s="1"/>
      <c r="Q7" s="1"/>
      <c r="R7" s="3" t="s">
        <v>5</v>
      </c>
      <c r="S7" s="11"/>
      <c r="T7" s="1"/>
      <c r="U7" s="266"/>
      <c r="V7" s="1"/>
      <c r="W7" s="52"/>
    </row>
    <row r="8" spans="1:23" ht="65.099999999999994" customHeight="1" x14ac:dyDescent="0.25">
      <c r="A8" s="1"/>
      <c r="B8" s="9" t="s">
        <v>84</v>
      </c>
      <c r="C8" s="7"/>
      <c r="D8" s="303">
        <f>'33kV (Main)'!D8</f>
        <v>0</v>
      </c>
      <c r="E8" s="14"/>
      <c r="F8" s="1"/>
      <c r="G8" s="1"/>
      <c r="H8" s="7"/>
      <c r="I8" s="1"/>
      <c r="J8" s="7" t="s">
        <v>10</v>
      </c>
      <c r="K8" s="1"/>
      <c r="L8" s="53"/>
      <c r="M8" s="13"/>
      <c r="N8" s="1"/>
      <c r="O8" s="1"/>
      <c r="P8" s="1"/>
      <c r="Q8" s="1"/>
      <c r="R8" s="3" t="s">
        <v>6</v>
      </c>
      <c r="S8" s="11"/>
      <c r="T8" s="1"/>
      <c r="U8" s="264"/>
      <c r="V8" s="1"/>
      <c r="W8" s="52"/>
    </row>
    <row r="9" spans="1:23" ht="65.099999999999994" customHeight="1" x14ac:dyDescent="0.25">
      <c r="A9" s="1"/>
      <c r="B9" s="12" t="s">
        <v>85</v>
      </c>
      <c r="C9" s="1"/>
      <c r="D9" s="262">
        <f>'33kV (Main)'!D9</f>
        <v>0</v>
      </c>
      <c r="E9" s="15"/>
      <c r="F9" s="1"/>
      <c r="G9" s="3"/>
      <c r="H9" s="7"/>
      <c r="I9" s="3"/>
      <c r="J9" s="7" t="s">
        <v>86</v>
      </c>
      <c r="K9" s="1"/>
      <c r="L9" s="53"/>
      <c r="M9" s="13"/>
      <c r="N9" s="1"/>
      <c r="O9" s="1"/>
      <c r="P9" s="1"/>
      <c r="Q9" s="1"/>
      <c r="R9" s="3"/>
      <c r="S9" s="3"/>
      <c r="T9" s="1"/>
      <c r="U9" s="1"/>
      <c r="V9" s="1"/>
      <c r="W9" s="8"/>
    </row>
    <row r="10" spans="1:23" ht="65.099999999999994" customHeight="1" x14ac:dyDescent="0.25">
      <c r="A10" s="1"/>
      <c r="B10" s="48"/>
      <c r="C10" s="3"/>
      <c r="D10" s="3"/>
      <c r="E10" s="7"/>
      <c r="F10" s="1"/>
      <c r="G10" s="7"/>
      <c r="H10" s="7"/>
      <c r="I10" s="3"/>
      <c r="J10" s="7" t="s">
        <v>8</v>
      </c>
      <c r="K10" s="3"/>
      <c r="L10" s="260"/>
      <c r="M10" s="7"/>
      <c r="N10" s="1"/>
      <c r="O10" s="1"/>
      <c r="P10" s="1"/>
      <c r="Q10" s="1"/>
      <c r="R10" s="3"/>
      <c r="S10" s="1"/>
      <c r="T10" s="1"/>
      <c r="U10" s="1"/>
      <c r="V10" s="1"/>
      <c r="W10" s="8"/>
    </row>
    <row r="11" spans="1:23" ht="65.099999999999994" customHeight="1" x14ac:dyDescent="0.25">
      <c r="A11" s="1"/>
      <c r="B11" s="9"/>
      <c r="C11" s="3"/>
      <c r="D11" s="1"/>
      <c r="E11" s="32"/>
      <c r="F11" s="47"/>
      <c r="G11" s="1"/>
      <c r="H11" s="7"/>
      <c r="I11" s="3"/>
      <c r="J11" s="7" t="s">
        <v>19</v>
      </c>
      <c r="K11" s="3"/>
      <c r="L11" s="259"/>
      <c r="M11" s="7"/>
      <c r="N11" s="3"/>
      <c r="O11" s="1"/>
      <c r="P11" s="3"/>
      <c r="Q11" s="1"/>
      <c r="R11" s="1"/>
      <c r="S11" s="7"/>
      <c r="T11" s="7"/>
      <c r="U11" s="7"/>
      <c r="V11" s="1"/>
      <c r="W11" s="8"/>
    </row>
    <row r="12" spans="1:23" ht="12.75" customHeight="1" x14ac:dyDescent="0.25">
      <c r="A12" s="1"/>
      <c r="B12" s="54"/>
      <c r="C12" s="3"/>
      <c r="D12" s="1"/>
      <c r="E12" s="32"/>
      <c r="F12" s="47"/>
      <c r="G12" s="1"/>
      <c r="H12" s="7"/>
      <c r="I12" s="3"/>
      <c r="J12" s="7"/>
      <c r="K12" s="3"/>
      <c r="L12" s="32"/>
      <c r="M12" s="32"/>
      <c r="N12" s="7"/>
      <c r="O12" s="3"/>
      <c r="P12" s="3"/>
      <c r="Q12" s="1"/>
      <c r="R12" s="1"/>
      <c r="S12" s="7"/>
      <c r="T12" s="7"/>
      <c r="U12" s="7"/>
      <c r="V12" s="1"/>
      <c r="W12" s="8"/>
    </row>
    <row r="13" spans="1:23" ht="59.25" customHeight="1" x14ac:dyDescent="0.25">
      <c r="A13" s="1"/>
      <c r="B13" s="366" t="s">
        <v>114</v>
      </c>
      <c r="C13" s="351" t="s">
        <v>115</v>
      </c>
      <c r="D13" s="351" t="s">
        <v>116</v>
      </c>
      <c r="E13" s="351" t="s">
        <v>113</v>
      </c>
      <c r="F13" s="351" t="s">
        <v>87</v>
      </c>
      <c r="G13" s="351" t="s">
        <v>88</v>
      </c>
      <c r="H13" s="351" t="s">
        <v>89</v>
      </c>
      <c r="I13" s="351" t="s">
        <v>117</v>
      </c>
      <c r="J13" s="351" t="s">
        <v>118</v>
      </c>
      <c r="K13" s="351" t="s">
        <v>119</v>
      </c>
      <c r="L13" s="372" t="s">
        <v>31</v>
      </c>
      <c r="M13" s="372"/>
      <c r="N13" s="372"/>
      <c r="O13" s="372"/>
      <c r="P13" s="372"/>
      <c r="Q13" s="372"/>
      <c r="R13" s="373" t="s">
        <v>11</v>
      </c>
      <c r="S13" s="373"/>
      <c r="T13" s="367" t="s">
        <v>12</v>
      </c>
      <c r="U13" s="368"/>
      <c r="V13" s="368"/>
      <c r="W13" s="369"/>
    </row>
    <row r="14" spans="1:23" ht="103.5" customHeight="1" x14ac:dyDescent="0.25">
      <c r="A14" s="1"/>
      <c r="B14" s="366"/>
      <c r="C14" s="351"/>
      <c r="D14" s="351"/>
      <c r="E14" s="351"/>
      <c r="F14" s="351"/>
      <c r="G14" s="351"/>
      <c r="H14" s="351"/>
      <c r="I14" s="351"/>
      <c r="J14" s="351"/>
      <c r="K14" s="351"/>
      <c r="L14" s="123" t="s">
        <v>90</v>
      </c>
      <c r="M14" s="123" t="s">
        <v>91</v>
      </c>
      <c r="N14" s="123" t="s">
        <v>92</v>
      </c>
      <c r="O14" s="123" t="s">
        <v>93</v>
      </c>
      <c r="P14" s="123" t="s">
        <v>94</v>
      </c>
      <c r="Q14" s="128" t="s">
        <v>95</v>
      </c>
      <c r="R14" s="123" t="s">
        <v>14</v>
      </c>
      <c r="S14" s="123" t="s">
        <v>15</v>
      </c>
      <c r="T14" s="123" t="s">
        <v>16</v>
      </c>
      <c r="U14" s="123" t="s">
        <v>96</v>
      </c>
      <c r="V14" s="370" t="s">
        <v>95</v>
      </c>
      <c r="W14" s="371"/>
    </row>
    <row r="15" spans="1:23" ht="69.95" customHeight="1" x14ac:dyDescent="0.25">
      <c r="A15" s="1"/>
      <c r="B15" s="332">
        <v>1</v>
      </c>
      <c r="C15" s="332"/>
      <c r="D15" s="339"/>
      <c r="E15" s="332"/>
      <c r="F15" s="348"/>
      <c r="G15" s="348"/>
      <c r="H15" s="348"/>
      <c r="I15" s="348"/>
      <c r="J15" s="132" t="s">
        <v>97</v>
      </c>
      <c r="K15" s="131" t="s">
        <v>98</v>
      </c>
      <c r="L15" s="145"/>
      <c r="M15" s="145"/>
      <c r="N15" s="145" t="str">
        <f>IF(M15="","",M15-L15)</f>
        <v/>
      </c>
      <c r="O15" s="145" t="str">
        <f>IF(M15="","",((L15+M15)/2))</f>
        <v/>
      </c>
      <c r="P15" s="16"/>
      <c r="Q15" s="130"/>
      <c r="R15" s="124"/>
      <c r="S15" s="123" t="str">
        <f>IF(R15&lt;&gt;"", 0, "")</f>
        <v/>
      </c>
      <c r="T15" s="124"/>
      <c r="U15" s="123"/>
      <c r="V15" s="291"/>
      <c r="W15" s="292"/>
    </row>
    <row r="16" spans="1:23" ht="69.95" customHeight="1" x14ac:dyDescent="0.25">
      <c r="A16" s="1"/>
      <c r="B16" s="333"/>
      <c r="C16" s="333"/>
      <c r="D16" s="342"/>
      <c r="E16" s="333"/>
      <c r="F16" s="349"/>
      <c r="G16" s="349"/>
      <c r="H16" s="349"/>
      <c r="I16" s="349"/>
      <c r="J16" s="124"/>
      <c r="K16" s="131" t="s">
        <v>99</v>
      </c>
      <c r="L16" s="145"/>
      <c r="M16" s="145"/>
      <c r="N16" s="145" t="str">
        <f>IF(M16="","",M16-L16)</f>
        <v/>
      </c>
      <c r="O16" s="145" t="str">
        <f t="shared" ref="O16:O74" si="0">IF(M16="","",((L16+M16)/2))</f>
        <v/>
      </c>
      <c r="P16" s="16"/>
      <c r="Q16" s="148"/>
      <c r="R16" s="124"/>
      <c r="S16" s="123" t="str">
        <f>IF(R16&lt;&gt;"", 0, "")</f>
        <v/>
      </c>
      <c r="T16" s="124"/>
      <c r="U16" s="123"/>
      <c r="V16" s="293"/>
      <c r="W16" s="62"/>
    </row>
    <row r="17" spans="1:23" ht="69.95" customHeight="1" x14ac:dyDescent="0.25">
      <c r="A17" s="1"/>
      <c r="B17" s="333"/>
      <c r="C17" s="333"/>
      <c r="D17" s="342"/>
      <c r="E17" s="333"/>
      <c r="F17" s="349"/>
      <c r="G17" s="349"/>
      <c r="H17" s="349"/>
      <c r="I17" s="349"/>
      <c r="J17" s="132" t="s">
        <v>100</v>
      </c>
      <c r="K17" s="131" t="s">
        <v>101</v>
      </c>
      <c r="L17" s="145"/>
      <c r="M17" s="145"/>
      <c r="N17" s="145" t="str">
        <f t="shared" ref="N17:N62" si="1">IF(M17="","",M17-L17)</f>
        <v/>
      </c>
      <c r="O17" s="145" t="str">
        <f t="shared" si="0"/>
        <v/>
      </c>
      <c r="P17" s="16"/>
      <c r="Q17" s="148"/>
      <c r="R17" s="31"/>
      <c r="S17" s="129"/>
      <c r="T17" s="124"/>
      <c r="U17" s="123"/>
      <c r="V17" s="293"/>
      <c r="W17" s="62"/>
    </row>
    <row r="18" spans="1:23" ht="69.95" customHeight="1" x14ac:dyDescent="0.25">
      <c r="A18" s="1"/>
      <c r="B18" s="333"/>
      <c r="C18" s="333"/>
      <c r="D18" s="342"/>
      <c r="E18" s="333"/>
      <c r="F18" s="349"/>
      <c r="G18" s="349"/>
      <c r="H18" s="349"/>
      <c r="I18" s="349"/>
      <c r="J18" s="124" t="str">
        <f>IF(J16="","","0.0")</f>
        <v/>
      </c>
      <c r="K18" s="131" t="s">
        <v>102</v>
      </c>
      <c r="L18" s="145"/>
      <c r="M18" s="145"/>
      <c r="N18" s="145" t="str">
        <f t="shared" si="1"/>
        <v/>
      </c>
      <c r="O18" s="145" t="str">
        <f t="shared" si="0"/>
        <v/>
      </c>
      <c r="P18" s="16"/>
      <c r="Q18" s="148"/>
      <c r="R18" s="124"/>
      <c r="S18" s="123" t="str">
        <f>IF(R18&lt;&gt;"", 0, "")</f>
        <v/>
      </c>
      <c r="T18" s="124"/>
      <c r="U18" s="123"/>
      <c r="V18" s="293"/>
      <c r="W18" s="62"/>
    </row>
    <row r="19" spans="1:23" ht="69.95" customHeight="1" x14ac:dyDescent="0.25">
      <c r="A19" s="1"/>
      <c r="B19" s="333"/>
      <c r="C19" s="333"/>
      <c r="D19" s="342"/>
      <c r="E19" s="333"/>
      <c r="F19" s="349"/>
      <c r="G19" s="349"/>
      <c r="H19" s="349"/>
      <c r="I19" s="349"/>
      <c r="J19" s="43"/>
      <c r="K19" s="131" t="s">
        <v>111</v>
      </c>
      <c r="L19" s="145"/>
      <c r="M19" s="145"/>
      <c r="N19" s="145" t="str">
        <f t="shared" si="1"/>
        <v/>
      </c>
      <c r="O19" s="145" t="str">
        <f t="shared" si="0"/>
        <v/>
      </c>
      <c r="P19" s="16"/>
      <c r="Q19" s="148"/>
      <c r="R19" s="31"/>
      <c r="S19" s="129"/>
      <c r="T19" s="124"/>
      <c r="U19" s="123"/>
      <c r="V19" s="293"/>
      <c r="W19" s="62"/>
    </row>
    <row r="20" spans="1:23" ht="69.95" customHeight="1" x14ac:dyDescent="0.25">
      <c r="A20" s="1"/>
      <c r="B20" s="334"/>
      <c r="C20" s="334"/>
      <c r="D20" s="345"/>
      <c r="E20" s="334"/>
      <c r="F20" s="350"/>
      <c r="G20" s="350"/>
      <c r="H20" s="350"/>
      <c r="I20" s="350"/>
      <c r="J20" s="43"/>
      <c r="K20" s="131" t="s">
        <v>112</v>
      </c>
      <c r="L20" s="145"/>
      <c r="M20" s="145"/>
      <c r="N20" s="145" t="str">
        <f t="shared" si="1"/>
        <v/>
      </c>
      <c r="O20" s="145" t="str">
        <f t="shared" si="0"/>
        <v/>
      </c>
      <c r="P20" s="16"/>
      <c r="Q20" s="149"/>
      <c r="R20" s="31"/>
      <c r="S20" s="129"/>
      <c r="T20" s="124"/>
      <c r="U20" s="123"/>
      <c r="V20" s="294"/>
      <c r="W20" s="295"/>
    </row>
    <row r="21" spans="1:23" ht="69.95" customHeight="1" x14ac:dyDescent="0.25">
      <c r="A21" s="1"/>
      <c r="B21" s="332">
        <v>2</v>
      </c>
      <c r="C21" s="332"/>
      <c r="D21" s="339"/>
      <c r="E21" s="332"/>
      <c r="F21" s="348"/>
      <c r="G21" s="348"/>
      <c r="H21" s="348"/>
      <c r="I21" s="348"/>
      <c r="J21" s="132" t="s">
        <v>97</v>
      </c>
      <c r="K21" s="131" t="s">
        <v>98</v>
      </c>
      <c r="L21" s="145"/>
      <c r="M21" s="145"/>
      <c r="N21" s="145" t="str">
        <f t="shared" si="1"/>
        <v/>
      </c>
      <c r="O21" s="145" t="str">
        <f t="shared" si="0"/>
        <v/>
      </c>
      <c r="P21" s="16"/>
      <c r="Q21" s="130"/>
      <c r="R21" s="124"/>
      <c r="S21" s="123" t="str">
        <f t="shared" ref="S21:S22" si="2">IF(R21&lt;&gt;"", 0, "")</f>
        <v/>
      </c>
      <c r="T21" s="124"/>
      <c r="U21" s="123"/>
      <c r="V21" s="291"/>
      <c r="W21" s="292"/>
    </row>
    <row r="22" spans="1:23" ht="69.95" customHeight="1" x14ac:dyDescent="0.25">
      <c r="A22" s="1"/>
      <c r="B22" s="333"/>
      <c r="C22" s="333"/>
      <c r="D22" s="342"/>
      <c r="E22" s="333"/>
      <c r="F22" s="349"/>
      <c r="G22" s="349"/>
      <c r="H22" s="349"/>
      <c r="I22" s="349"/>
      <c r="J22" s="124"/>
      <c r="K22" s="131" t="s">
        <v>99</v>
      </c>
      <c r="L22" s="145"/>
      <c r="M22" s="145"/>
      <c r="N22" s="145" t="str">
        <f t="shared" si="1"/>
        <v/>
      </c>
      <c r="O22" s="145" t="str">
        <f t="shared" si="0"/>
        <v/>
      </c>
      <c r="P22" s="16"/>
      <c r="Q22" s="148"/>
      <c r="R22" s="124"/>
      <c r="S22" s="123" t="str">
        <f t="shared" si="2"/>
        <v/>
      </c>
      <c r="T22" s="124"/>
      <c r="U22" s="123"/>
      <c r="V22" s="293"/>
      <c r="W22" s="62"/>
    </row>
    <row r="23" spans="1:23" ht="69.95" customHeight="1" x14ac:dyDescent="0.25">
      <c r="A23" s="1"/>
      <c r="B23" s="333"/>
      <c r="C23" s="333"/>
      <c r="D23" s="342"/>
      <c r="E23" s="333"/>
      <c r="F23" s="349"/>
      <c r="G23" s="349"/>
      <c r="H23" s="349"/>
      <c r="I23" s="349"/>
      <c r="J23" s="132" t="s">
        <v>100</v>
      </c>
      <c r="K23" s="131" t="s">
        <v>101</v>
      </c>
      <c r="L23" s="145"/>
      <c r="M23" s="145"/>
      <c r="N23" s="145" t="str">
        <f t="shared" si="1"/>
        <v/>
      </c>
      <c r="O23" s="145" t="str">
        <f t="shared" si="0"/>
        <v/>
      </c>
      <c r="P23" s="16"/>
      <c r="Q23" s="148"/>
      <c r="R23" s="31"/>
      <c r="S23" s="129"/>
      <c r="T23" s="124"/>
      <c r="U23" s="123"/>
      <c r="V23" s="293"/>
      <c r="W23" s="62"/>
    </row>
    <row r="24" spans="1:23" ht="69.95" customHeight="1" x14ac:dyDescent="0.25">
      <c r="A24" s="1"/>
      <c r="B24" s="333"/>
      <c r="C24" s="333"/>
      <c r="D24" s="342"/>
      <c r="E24" s="333"/>
      <c r="F24" s="349"/>
      <c r="G24" s="349"/>
      <c r="H24" s="349"/>
      <c r="I24" s="349"/>
      <c r="J24" s="124" t="str">
        <f>IF(J22="","","0.0")</f>
        <v/>
      </c>
      <c r="K24" s="131" t="s">
        <v>102</v>
      </c>
      <c r="L24" s="145"/>
      <c r="M24" s="145"/>
      <c r="N24" s="145" t="str">
        <f t="shared" si="1"/>
        <v/>
      </c>
      <c r="O24" s="145" t="str">
        <f t="shared" si="0"/>
        <v/>
      </c>
      <c r="P24" s="16"/>
      <c r="Q24" s="148"/>
      <c r="R24" s="124"/>
      <c r="S24" s="123" t="str">
        <f>IF(R24&lt;&gt;"", 0, "")</f>
        <v/>
      </c>
      <c r="T24" s="124"/>
      <c r="U24" s="123"/>
      <c r="V24" s="293"/>
      <c r="W24" s="62"/>
    </row>
    <row r="25" spans="1:23" ht="69.95" customHeight="1" x14ac:dyDescent="0.25">
      <c r="A25" s="1"/>
      <c r="B25" s="333"/>
      <c r="C25" s="333"/>
      <c r="D25" s="342"/>
      <c r="E25" s="333"/>
      <c r="F25" s="349"/>
      <c r="G25" s="349"/>
      <c r="H25" s="349"/>
      <c r="I25" s="349"/>
      <c r="J25" s="43"/>
      <c r="K25" s="131" t="s">
        <v>111</v>
      </c>
      <c r="L25" s="145"/>
      <c r="M25" s="145"/>
      <c r="N25" s="145" t="str">
        <f t="shared" si="1"/>
        <v/>
      </c>
      <c r="O25" s="145" t="str">
        <f t="shared" si="0"/>
        <v/>
      </c>
      <c r="P25" s="16"/>
      <c r="Q25" s="148"/>
      <c r="R25" s="31"/>
      <c r="S25" s="129"/>
      <c r="T25" s="124"/>
      <c r="U25" s="123"/>
      <c r="V25" s="293"/>
      <c r="W25" s="62"/>
    </row>
    <row r="26" spans="1:23" ht="69.95" customHeight="1" x14ac:dyDescent="0.25">
      <c r="A26" s="1"/>
      <c r="B26" s="334"/>
      <c r="C26" s="334"/>
      <c r="D26" s="345"/>
      <c r="E26" s="334"/>
      <c r="F26" s="350"/>
      <c r="G26" s="350"/>
      <c r="H26" s="350"/>
      <c r="I26" s="350"/>
      <c r="J26" s="43"/>
      <c r="K26" s="131" t="s">
        <v>112</v>
      </c>
      <c r="L26" s="145"/>
      <c r="M26" s="145"/>
      <c r="N26" s="145" t="str">
        <f t="shared" si="1"/>
        <v/>
      </c>
      <c r="O26" s="145" t="str">
        <f t="shared" si="0"/>
        <v/>
      </c>
      <c r="P26" s="16"/>
      <c r="Q26" s="149"/>
      <c r="R26" s="31"/>
      <c r="S26" s="129"/>
      <c r="T26" s="124"/>
      <c r="U26" s="123"/>
      <c r="V26" s="294"/>
      <c r="W26" s="295"/>
    </row>
    <row r="27" spans="1:23" ht="69.95" customHeight="1" x14ac:dyDescent="0.25">
      <c r="A27" s="1"/>
      <c r="B27" s="332">
        <v>3</v>
      </c>
      <c r="C27" s="332"/>
      <c r="D27" s="339"/>
      <c r="E27" s="332"/>
      <c r="F27" s="348"/>
      <c r="G27" s="348"/>
      <c r="H27" s="348"/>
      <c r="I27" s="348"/>
      <c r="J27" s="132" t="s">
        <v>97</v>
      </c>
      <c r="K27" s="131" t="s">
        <v>98</v>
      </c>
      <c r="L27" s="145"/>
      <c r="M27" s="145"/>
      <c r="N27" s="145" t="str">
        <f t="shared" si="1"/>
        <v/>
      </c>
      <c r="O27" s="145" t="str">
        <f t="shared" si="0"/>
        <v/>
      </c>
      <c r="P27" s="16"/>
      <c r="Q27" s="130"/>
      <c r="R27" s="124"/>
      <c r="S27" s="123" t="str">
        <f t="shared" ref="S27:S28" si="3">IF(R27&lt;&gt;"", 0, "")</f>
        <v/>
      </c>
      <c r="T27" s="124"/>
      <c r="U27" s="123"/>
      <c r="V27" s="291"/>
      <c r="W27" s="292"/>
    </row>
    <row r="28" spans="1:23" ht="69.95" customHeight="1" x14ac:dyDescent="0.25">
      <c r="A28" s="1"/>
      <c r="B28" s="333"/>
      <c r="C28" s="333"/>
      <c r="D28" s="342"/>
      <c r="E28" s="333"/>
      <c r="F28" s="349"/>
      <c r="G28" s="349"/>
      <c r="H28" s="349"/>
      <c r="I28" s="349"/>
      <c r="J28" s="124"/>
      <c r="K28" s="131" t="s">
        <v>99</v>
      </c>
      <c r="L28" s="145"/>
      <c r="M28" s="145"/>
      <c r="N28" s="145" t="str">
        <f t="shared" si="1"/>
        <v/>
      </c>
      <c r="O28" s="145" t="str">
        <f t="shared" si="0"/>
        <v/>
      </c>
      <c r="P28" s="16"/>
      <c r="Q28" s="148"/>
      <c r="R28" s="124"/>
      <c r="S28" s="123" t="str">
        <f t="shared" si="3"/>
        <v/>
      </c>
      <c r="T28" s="124"/>
      <c r="U28" s="123"/>
      <c r="V28" s="293"/>
      <c r="W28" s="62"/>
    </row>
    <row r="29" spans="1:23" ht="69.95" customHeight="1" x14ac:dyDescent="0.25">
      <c r="A29" s="1"/>
      <c r="B29" s="333"/>
      <c r="C29" s="333"/>
      <c r="D29" s="342"/>
      <c r="E29" s="333"/>
      <c r="F29" s="349"/>
      <c r="G29" s="349"/>
      <c r="H29" s="349"/>
      <c r="I29" s="349"/>
      <c r="J29" s="132" t="s">
        <v>100</v>
      </c>
      <c r="K29" s="131" t="s">
        <v>101</v>
      </c>
      <c r="L29" s="145"/>
      <c r="M29" s="145"/>
      <c r="N29" s="145" t="str">
        <f t="shared" si="1"/>
        <v/>
      </c>
      <c r="O29" s="145" t="str">
        <f t="shared" si="0"/>
        <v/>
      </c>
      <c r="P29" s="16"/>
      <c r="Q29" s="148"/>
      <c r="R29" s="31"/>
      <c r="S29" s="129"/>
      <c r="T29" s="124"/>
      <c r="U29" s="123"/>
      <c r="V29" s="293"/>
      <c r="W29" s="62"/>
    </row>
    <row r="30" spans="1:23" ht="69.95" customHeight="1" x14ac:dyDescent="0.25">
      <c r="A30" s="1"/>
      <c r="B30" s="333"/>
      <c r="C30" s="333"/>
      <c r="D30" s="342"/>
      <c r="E30" s="333"/>
      <c r="F30" s="349"/>
      <c r="G30" s="349"/>
      <c r="H30" s="349"/>
      <c r="I30" s="349"/>
      <c r="J30" s="124" t="str">
        <f>IF(J28="","","0.0")</f>
        <v/>
      </c>
      <c r="K30" s="131" t="s">
        <v>102</v>
      </c>
      <c r="L30" s="145"/>
      <c r="M30" s="145"/>
      <c r="N30" s="145" t="str">
        <f t="shared" si="1"/>
        <v/>
      </c>
      <c r="O30" s="145" t="str">
        <f t="shared" si="0"/>
        <v/>
      </c>
      <c r="P30" s="16"/>
      <c r="Q30" s="148"/>
      <c r="R30" s="124"/>
      <c r="S30" s="123" t="str">
        <f>IF(R30&lt;&gt;"", 0, "")</f>
        <v/>
      </c>
      <c r="T30" s="124"/>
      <c r="U30" s="123"/>
      <c r="V30" s="293"/>
      <c r="W30" s="62"/>
    </row>
    <row r="31" spans="1:23" ht="69.95" customHeight="1" x14ac:dyDescent="0.25">
      <c r="A31" s="1"/>
      <c r="B31" s="333"/>
      <c r="C31" s="333"/>
      <c r="D31" s="342"/>
      <c r="E31" s="333"/>
      <c r="F31" s="349"/>
      <c r="G31" s="349"/>
      <c r="H31" s="349"/>
      <c r="I31" s="349"/>
      <c r="J31" s="43"/>
      <c r="K31" s="131" t="s">
        <v>111</v>
      </c>
      <c r="L31" s="145"/>
      <c r="M31" s="145"/>
      <c r="N31" s="145" t="str">
        <f t="shared" si="1"/>
        <v/>
      </c>
      <c r="O31" s="145" t="str">
        <f t="shared" si="0"/>
        <v/>
      </c>
      <c r="P31" s="16"/>
      <c r="Q31" s="148"/>
      <c r="R31" s="31"/>
      <c r="S31" s="129"/>
      <c r="T31" s="124"/>
      <c r="U31" s="123"/>
      <c r="V31" s="293"/>
      <c r="W31" s="62"/>
    </row>
    <row r="32" spans="1:23" ht="69.95" customHeight="1" x14ac:dyDescent="0.25">
      <c r="A32" s="1"/>
      <c r="B32" s="334"/>
      <c r="C32" s="334"/>
      <c r="D32" s="345"/>
      <c r="E32" s="334"/>
      <c r="F32" s="350"/>
      <c r="G32" s="350"/>
      <c r="H32" s="350"/>
      <c r="I32" s="350"/>
      <c r="J32" s="43"/>
      <c r="K32" s="131" t="s">
        <v>112</v>
      </c>
      <c r="L32" s="145"/>
      <c r="M32" s="145"/>
      <c r="N32" s="145" t="str">
        <f t="shared" si="1"/>
        <v/>
      </c>
      <c r="O32" s="145" t="str">
        <f t="shared" si="0"/>
        <v/>
      </c>
      <c r="P32" s="16"/>
      <c r="Q32" s="149"/>
      <c r="R32" s="31"/>
      <c r="S32" s="129"/>
      <c r="T32" s="124"/>
      <c r="U32" s="123"/>
      <c r="V32" s="294"/>
      <c r="W32" s="295"/>
    </row>
    <row r="33" spans="1:23" ht="69.95" customHeight="1" x14ac:dyDescent="0.25">
      <c r="A33" s="1"/>
      <c r="B33" s="332">
        <v>4</v>
      </c>
      <c r="C33" s="332"/>
      <c r="D33" s="339"/>
      <c r="E33" s="332"/>
      <c r="F33" s="348"/>
      <c r="G33" s="348"/>
      <c r="H33" s="348"/>
      <c r="I33" s="348"/>
      <c r="J33" s="132" t="s">
        <v>97</v>
      </c>
      <c r="K33" s="131" t="s">
        <v>98</v>
      </c>
      <c r="L33" s="145"/>
      <c r="M33" s="145"/>
      <c r="N33" s="145" t="str">
        <f t="shared" si="1"/>
        <v/>
      </c>
      <c r="O33" s="145" t="str">
        <f t="shared" si="0"/>
        <v/>
      </c>
      <c r="P33" s="16"/>
      <c r="Q33" s="130"/>
      <c r="R33" s="124"/>
      <c r="S33" s="123" t="str">
        <f t="shared" ref="S33:S34" si="4">IF(R33&lt;&gt;"", 0, "")</f>
        <v/>
      </c>
      <c r="T33" s="124"/>
      <c r="U33" s="123"/>
      <c r="V33" s="291"/>
      <c r="W33" s="292"/>
    </row>
    <row r="34" spans="1:23" ht="69.95" customHeight="1" x14ac:dyDescent="0.25">
      <c r="A34" s="1"/>
      <c r="B34" s="333"/>
      <c r="C34" s="333"/>
      <c r="D34" s="342"/>
      <c r="E34" s="333"/>
      <c r="F34" s="349"/>
      <c r="G34" s="349"/>
      <c r="H34" s="349"/>
      <c r="I34" s="349"/>
      <c r="J34" s="124"/>
      <c r="K34" s="131" t="s">
        <v>99</v>
      </c>
      <c r="L34" s="145"/>
      <c r="M34" s="145"/>
      <c r="N34" s="145" t="str">
        <f t="shared" si="1"/>
        <v/>
      </c>
      <c r="O34" s="145" t="str">
        <f t="shared" si="0"/>
        <v/>
      </c>
      <c r="P34" s="16"/>
      <c r="Q34" s="148"/>
      <c r="R34" s="124"/>
      <c r="S34" s="123" t="str">
        <f t="shared" si="4"/>
        <v/>
      </c>
      <c r="T34" s="124"/>
      <c r="U34" s="123"/>
      <c r="V34" s="293"/>
      <c r="W34" s="62"/>
    </row>
    <row r="35" spans="1:23" ht="69.95" customHeight="1" x14ac:dyDescent="0.25">
      <c r="A35" s="1"/>
      <c r="B35" s="333"/>
      <c r="C35" s="333"/>
      <c r="D35" s="342"/>
      <c r="E35" s="333"/>
      <c r="F35" s="349"/>
      <c r="G35" s="349"/>
      <c r="H35" s="349"/>
      <c r="I35" s="349"/>
      <c r="J35" s="132" t="s">
        <v>100</v>
      </c>
      <c r="K35" s="131" t="s">
        <v>101</v>
      </c>
      <c r="L35" s="145"/>
      <c r="M35" s="145"/>
      <c r="N35" s="145" t="str">
        <f t="shared" si="1"/>
        <v/>
      </c>
      <c r="O35" s="145" t="str">
        <f t="shared" si="0"/>
        <v/>
      </c>
      <c r="P35" s="16"/>
      <c r="Q35" s="148"/>
      <c r="R35" s="31"/>
      <c r="S35" s="129"/>
      <c r="T35" s="124"/>
      <c r="U35" s="123"/>
      <c r="V35" s="293"/>
      <c r="W35" s="62"/>
    </row>
    <row r="36" spans="1:23" ht="69.95" customHeight="1" x14ac:dyDescent="0.25">
      <c r="A36" s="1"/>
      <c r="B36" s="333"/>
      <c r="C36" s="333"/>
      <c r="D36" s="342"/>
      <c r="E36" s="333"/>
      <c r="F36" s="349"/>
      <c r="G36" s="349"/>
      <c r="H36" s="349"/>
      <c r="I36" s="349"/>
      <c r="J36" s="124" t="str">
        <f>IF(J34="","","0.0")</f>
        <v/>
      </c>
      <c r="K36" s="131" t="s">
        <v>102</v>
      </c>
      <c r="L36" s="145"/>
      <c r="M36" s="145"/>
      <c r="N36" s="145" t="str">
        <f t="shared" si="1"/>
        <v/>
      </c>
      <c r="O36" s="145" t="str">
        <f t="shared" si="0"/>
        <v/>
      </c>
      <c r="P36" s="16"/>
      <c r="Q36" s="148"/>
      <c r="R36" s="124"/>
      <c r="S36" s="123" t="str">
        <f>IF(R36&lt;&gt;"", 0, "")</f>
        <v/>
      </c>
      <c r="T36" s="124"/>
      <c r="U36" s="123"/>
      <c r="V36" s="293"/>
      <c r="W36" s="62"/>
    </row>
    <row r="37" spans="1:23" ht="69.95" customHeight="1" x14ac:dyDescent="0.25">
      <c r="A37" s="1"/>
      <c r="B37" s="333"/>
      <c r="C37" s="333"/>
      <c r="D37" s="342"/>
      <c r="E37" s="333"/>
      <c r="F37" s="349"/>
      <c r="G37" s="349"/>
      <c r="H37" s="349"/>
      <c r="I37" s="349"/>
      <c r="J37" s="43"/>
      <c r="K37" s="131" t="s">
        <v>111</v>
      </c>
      <c r="L37" s="145"/>
      <c r="M37" s="145"/>
      <c r="N37" s="145" t="str">
        <f t="shared" si="1"/>
        <v/>
      </c>
      <c r="O37" s="145" t="str">
        <f t="shared" si="0"/>
        <v/>
      </c>
      <c r="P37" s="16"/>
      <c r="Q37" s="148"/>
      <c r="R37" s="31"/>
      <c r="S37" s="129"/>
      <c r="T37" s="124"/>
      <c r="U37" s="123"/>
      <c r="V37" s="293"/>
      <c r="W37" s="62"/>
    </row>
    <row r="38" spans="1:23" ht="69.95" customHeight="1" x14ac:dyDescent="0.25">
      <c r="A38" s="1"/>
      <c r="B38" s="334"/>
      <c r="C38" s="334"/>
      <c r="D38" s="345"/>
      <c r="E38" s="334"/>
      <c r="F38" s="350"/>
      <c r="G38" s="350"/>
      <c r="H38" s="350"/>
      <c r="I38" s="350"/>
      <c r="J38" s="43"/>
      <c r="K38" s="131" t="s">
        <v>112</v>
      </c>
      <c r="L38" s="145"/>
      <c r="M38" s="145"/>
      <c r="N38" s="145" t="str">
        <f t="shared" si="1"/>
        <v/>
      </c>
      <c r="O38" s="145" t="str">
        <f t="shared" si="0"/>
        <v/>
      </c>
      <c r="P38" s="16"/>
      <c r="Q38" s="149"/>
      <c r="R38" s="31"/>
      <c r="S38" s="129"/>
      <c r="T38" s="124"/>
      <c r="U38" s="123"/>
      <c r="V38" s="294"/>
      <c r="W38" s="295"/>
    </row>
    <row r="39" spans="1:23" ht="69.95" customHeight="1" x14ac:dyDescent="0.25">
      <c r="A39" s="1"/>
      <c r="B39" s="332">
        <v>5</v>
      </c>
      <c r="C39" s="332"/>
      <c r="D39" s="339"/>
      <c r="E39" s="332"/>
      <c r="F39" s="348"/>
      <c r="G39" s="348"/>
      <c r="H39" s="348"/>
      <c r="I39" s="348"/>
      <c r="J39" s="132" t="s">
        <v>97</v>
      </c>
      <c r="K39" s="131" t="s">
        <v>98</v>
      </c>
      <c r="L39" s="145"/>
      <c r="M39" s="145"/>
      <c r="N39" s="145" t="str">
        <f t="shared" si="1"/>
        <v/>
      </c>
      <c r="O39" s="145" t="str">
        <f t="shared" si="0"/>
        <v/>
      </c>
      <c r="P39" s="16"/>
      <c r="Q39" s="130"/>
      <c r="R39" s="124"/>
      <c r="S39" s="123" t="str">
        <f t="shared" ref="S39:S40" si="5">IF(R39&lt;&gt;"", 0, "")</f>
        <v/>
      </c>
      <c r="T39" s="124"/>
      <c r="U39" s="123"/>
      <c r="V39" s="291"/>
      <c r="W39" s="292"/>
    </row>
    <row r="40" spans="1:23" ht="69.95" customHeight="1" x14ac:dyDescent="0.25">
      <c r="A40" s="1"/>
      <c r="B40" s="333"/>
      <c r="C40" s="333"/>
      <c r="D40" s="342"/>
      <c r="E40" s="333"/>
      <c r="F40" s="349"/>
      <c r="G40" s="349"/>
      <c r="H40" s="349"/>
      <c r="I40" s="349"/>
      <c r="J40" s="124"/>
      <c r="K40" s="131" t="s">
        <v>99</v>
      </c>
      <c r="L40" s="145"/>
      <c r="M40" s="145"/>
      <c r="N40" s="145" t="str">
        <f t="shared" si="1"/>
        <v/>
      </c>
      <c r="O40" s="145" t="str">
        <f t="shared" si="0"/>
        <v/>
      </c>
      <c r="P40" s="16"/>
      <c r="Q40" s="148"/>
      <c r="R40" s="124"/>
      <c r="S40" s="123" t="str">
        <f t="shared" si="5"/>
        <v/>
      </c>
      <c r="T40" s="124"/>
      <c r="U40" s="123"/>
      <c r="V40" s="293"/>
      <c r="W40" s="62"/>
    </row>
    <row r="41" spans="1:23" ht="69.95" customHeight="1" x14ac:dyDescent="0.25">
      <c r="A41" s="1"/>
      <c r="B41" s="333"/>
      <c r="C41" s="333"/>
      <c r="D41" s="342"/>
      <c r="E41" s="333"/>
      <c r="F41" s="349"/>
      <c r="G41" s="349"/>
      <c r="H41" s="349"/>
      <c r="I41" s="349"/>
      <c r="J41" s="132" t="s">
        <v>100</v>
      </c>
      <c r="K41" s="131" t="s">
        <v>101</v>
      </c>
      <c r="L41" s="145"/>
      <c r="M41" s="145"/>
      <c r="N41" s="145" t="str">
        <f t="shared" si="1"/>
        <v/>
      </c>
      <c r="O41" s="145" t="str">
        <f t="shared" si="0"/>
        <v/>
      </c>
      <c r="P41" s="16"/>
      <c r="Q41" s="148"/>
      <c r="R41" s="31"/>
      <c r="S41" s="129"/>
      <c r="T41" s="124"/>
      <c r="U41" s="123"/>
      <c r="V41" s="293"/>
      <c r="W41" s="62"/>
    </row>
    <row r="42" spans="1:23" ht="69.95" customHeight="1" x14ac:dyDescent="0.25">
      <c r="A42" s="1"/>
      <c r="B42" s="333"/>
      <c r="C42" s="333"/>
      <c r="D42" s="342"/>
      <c r="E42" s="333"/>
      <c r="F42" s="349"/>
      <c r="G42" s="349"/>
      <c r="H42" s="349"/>
      <c r="I42" s="349"/>
      <c r="J42" s="124" t="str">
        <f>IF(J40="","","0.0")</f>
        <v/>
      </c>
      <c r="K42" s="131" t="s">
        <v>102</v>
      </c>
      <c r="L42" s="145"/>
      <c r="M42" s="145"/>
      <c r="N42" s="145" t="str">
        <f t="shared" si="1"/>
        <v/>
      </c>
      <c r="O42" s="145" t="str">
        <f t="shared" si="0"/>
        <v/>
      </c>
      <c r="P42" s="16"/>
      <c r="Q42" s="148"/>
      <c r="R42" s="124"/>
      <c r="S42" s="123" t="str">
        <f>IF(R42&lt;&gt;"", 0, "")</f>
        <v/>
      </c>
      <c r="T42" s="124"/>
      <c r="U42" s="123"/>
      <c r="V42" s="293"/>
      <c r="W42" s="62"/>
    </row>
    <row r="43" spans="1:23" ht="69.95" customHeight="1" x14ac:dyDescent="0.25">
      <c r="A43" s="1"/>
      <c r="B43" s="333"/>
      <c r="C43" s="333"/>
      <c r="D43" s="342"/>
      <c r="E43" s="333"/>
      <c r="F43" s="349"/>
      <c r="G43" s="349"/>
      <c r="H43" s="349"/>
      <c r="I43" s="349"/>
      <c r="J43" s="43"/>
      <c r="K43" s="131" t="s">
        <v>111</v>
      </c>
      <c r="L43" s="145"/>
      <c r="M43" s="145"/>
      <c r="N43" s="145" t="str">
        <f t="shared" si="1"/>
        <v/>
      </c>
      <c r="O43" s="145" t="str">
        <f t="shared" si="0"/>
        <v/>
      </c>
      <c r="P43" s="16"/>
      <c r="Q43" s="148"/>
      <c r="R43" s="31"/>
      <c r="S43" s="129"/>
      <c r="T43" s="124"/>
      <c r="U43" s="123"/>
      <c r="V43" s="293"/>
      <c r="W43" s="62"/>
    </row>
    <row r="44" spans="1:23" ht="69.95" customHeight="1" x14ac:dyDescent="0.25">
      <c r="A44" s="1"/>
      <c r="B44" s="334"/>
      <c r="C44" s="334"/>
      <c r="D44" s="345"/>
      <c r="E44" s="334"/>
      <c r="F44" s="350"/>
      <c r="G44" s="350"/>
      <c r="H44" s="350"/>
      <c r="I44" s="350"/>
      <c r="J44" s="43"/>
      <c r="K44" s="131" t="s">
        <v>112</v>
      </c>
      <c r="L44" s="145"/>
      <c r="M44" s="145"/>
      <c r="N44" s="145" t="str">
        <f t="shared" si="1"/>
        <v/>
      </c>
      <c r="O44" s="145" t="str">
        <f t="shared" si="0"/>
        <v/>
      </c>
      <c r="P44" s="16"/>
      <c r="Q44" s="149"/>
      <c r="R44" s="31"/>
      <c r="S44" s="129"/>
      <c r="T44" s="124"/>
      <c r="U44" s="123"/>
      <c r="V44" s="294"/>
      <c r="W44" s="295"/>
    </row>
    <row r="45" spans="1:23" ht="69.95" customHeight="1" x14ac:dyDescent="0.25">
      <c r="A45" s="1"/>
      <c r="B45" s="332">
        <v>6</v>
      </c>
      <c r="C45" s="332"/>
      <c r="D45" s="339"/>
      <c r="E45" s="332"/>
      <c r="F45" s="348"/>
      <c r="G45" s="348"/>
      <c r="H45" s="348"/>
      <c r="I45" s="348"/>
      <c r="J45" s="132" t="s">
        <v>97</v>
      </c>
      <c r="K45" s="131" t="s">
        <v>98</v>
      </c>
      <c r="L45" s="145"/>
      <c r="M45" s="145"/>
      <c r="N45" s="145" t="str">
        <f t="shared" si="1"/>
        <v/>
      </c>
      <c r="O45" s="145" t="str">
        <f t="shared" si="0"/>
        <v/>
      </c>
      <c r="P45" s="16"/>
      <c r="Q45" s="130"/>
      <c r="R45" s="124"/>
      <c r="S45" s="123" t="str">
        <f t="shared" ref="S45:S46" si="6">IF(R45&lt;&gt;"", 0, "")</f>
        <v/>
      </c>
      <c r="T45" s="124"/>
      <c r="U45" s="123"/>
      <c r="V45" s="291"/>
      <c r="W45" s="292"/>
    </row>
    <row r="46" spans="1:23" ht="69.95" customHeight="1" x14ac:dyDescent="0.25">
      <c r="A46" s="1"/>
      <c r="B46" s="333"/>
      <c r="C46" s="333"/>
      <c r="D46" s="342"/>
      <c r="E46" s="333"/>
      <c r="F46" s="349"/>
      <c r="G46" s="349"/>
      <c r="H46" s="349"/>
      <c r="I46" s="349"/>
      <c r="J46" s="124"/>
      <c r="K46" s="131" t="s">
        <v>99</v>
      </c>
      <c r="L46" s="145"/>
      <c r="M46" s="145"/>
      <c r="N46" s="145" t="str">
        <f t="shared" si="1"/>
        <v/>
      </c>
      <c r="O46" s="145" t="str">
        <f t="shared" si="0"/>
        <v/>
      </c>
      <c r="P46" s="16"/>
      <c r="Q46" s="148"/>
      <c r="R46" s="124"/>
      <c r="S46" s="123" t="str">
        <f t="shared" si="6"/>
        <v/>
      </c>
      <c r="T46" s="124"/>
      <c r="U46" s="123"/>
      <c r="V46" s="293"/>
      <c r="W46" s="62"/>
    </row>
    <row r="47" spans="1:23" ht="69.95" customHeight="1" x14ac:dyDescent="0.25">
      <c r="A47" s="1"/>
      <c r="B47" s="333"/>
      <c r="C47" s="333"/>
      <c r="D47" s="342"/>
      <c r="E47" s="333"/>
      <c r="F47" s="349"/>
      <c r="G47" s="349"/>
      <c r="H47" s="349"/>
      <c r="I47" s="349"/>
      <c r="J47" s="132" t="s">
        <v>100</v>
      </c>
      <c r="K47" s="131" t="s">
        <v>101</v>
      </c>
      <c r="L47" s="145"/>
      <c r="M47" s="145"/>
      <c r="N47" s="145" t="str">
        <f t="shared" si="1"/>
        <v/>
      </c>
      <c r="O47" s="145" t="str">
        <f t="shared" si="0"/>
        <v/>
      </c>
      <c r="P47" s="16"/>
      <c r="Q47" s="148"/>
      <c r="R47" s="31"/>
      <c r="S47" s="129"/>
      <c r="T47" s="124"/>
      <c r="U47" s="123"/>
      <c r="V47" s="293"/>
      <c r="W47" s="62"/>
    </row>
    <row r="48" spans="1:23" ht="69.95" customHeight="1" x14ac:dyDescent="0.25">
      <c r="A48" s="1"/>
      <c r="B48" s="333"/>
      <c r="C48" s="333"/>
      <c r="D48" s="342"/>
      <c r="E48" s="333"/>
      <c r="F48" s="349"/>
      <c r="G48" s="349"/>
      <c r="H48" s="349"/>
      <c r="I48" s="349"/>
      <c r="J48" s="124" t="str">
        <f>IF(J46="","","0.0")</f>
        <v/>
      </c>
      <c r="K48" s="131" t="s">
        <v>102</v>
      </c>
      <c r="L48" s="145"/>
      <c r="M48" s="145"/>
      <c r="N48" s="145" t="str">
        <f t="shared" si="1"/>
        <v/>
      </c>
      <c r="O48" s="145" t="str">
        <f t="shared" si="0"/>
        <v/>
      </c>
      <c r="P48" s="16"/>
      <c r="Q48" s="148"/>
      <c r="R48" s="124"/>
      <c r="S48" s="123" t="str">
        <f>IF(R48&lt;&gt;"", 0, "")</f>
        <v/>
      </c>
      <c r="T48" s="124"/>
      <c r="U48" s="123"/>
      <c r="V48" s="293"/>
      <c r="W48" s="62"/>
    </row>
    <row r="49" spans="1:23" ht="69.95" customHeight="1" x14ac:dyDescent="0.25">
      <c r="A49" s="1"/>
      <c r="B49" s="333"/>
      <c r="C49" s="333"/>
      <c r="D49" s="342"/>
      <c r="E49" s="333"/>
      <c r="F49" s="349"/>
      <c r="G49" s="349"/>
      <c r="H49" s="349"/>
      <c r="I49" s="349"/>
      <c r="J49" s="43"/>
      <c r="K49" s="131" t="s">
        <v>111</v>
      </c>
      <c r="L49" s="145"/>
      <c r="M49" s="145"/>
      <c r="N49" s="145" t="str">
        <f t="shared" si="1"/>
        <v/>
      </c>
      <c r="O49" s="145" t="str">
        <f t="shared" si="0"/>
        <v/>
      </c>
      <c r="P49" s="16"/>
      <c r="Q49" s="148"/>
      <c r="R49" s="31"/>
      <c r="S49" s="129"/>
      <c r="T49" s="124"/>
      <c r="U49" s="123"/>
      <c r="V49" s="293"/>
      <c r="W49" s="62"/>
    </row>
    <row r="50" spans="1:23" ht="69.95" customHeight="1" x14ac:dyDescent="0.25">
      <c r="A50" s="1"/>
      <c r="B50" s="334"/>
      <c r="C50" s="334"/>
      <c r="D50" s="345"/>
      <c r="E50" s="334"/>
      <c r="F50" s="350"/>
      <c r="G50" s="350"/>
      <c r="H50" s="350"/>
      <c r="I50" s="350"/>
      <c r="J50" s="43"/>
      <c r="K50" s="131" t="s">
        <v>112</v>
      </c>
      <c r="L50" s="145"/>
      <c r="M50" s="145"/>
      <c r="N50" s="145" t="str">
        <f t="shared" si="1"/>
        <v/>
      </c>
      <c r="O50" s="145" t="str">
        <f t="shared" si="0"/>
        <v/>
      </c>
      <c r="P50" s="16"/>
      <c r="Q50" s="149"/>
      <c r="R50" s="31"/>
      <c r="S50" s="129"/>
      <c r="T50" s="124"/>
      <c r="U50" s="123"/>
      <c r="V50" s="294"/>
      <c r="W50" s="295"/>
    </row>
    <row r="51" spans="1:23" ht="69.95" customHeight="1" x14ac:dyDescent="0.25">
      <c r="A51" s="1"/>
      <c r="B51" s="332">
        <v>7</v>
      </c>
      <c r="C51" s="332"/>
      <c r="D51" s="339"/>
      <c r="E51" s="332"/>
      <c r="F51" s="348"/>
      <c r="G51" s="348"/>
      <c r="H51" s="348"/>
      <c r="I51" s="348"/>
      <c r="J51" s="132" t="s">
        <v>97</v>
      </c>
      <c r="K51" s="131" t="s">
        <v>98</v>
      </c>
      <c r="L51" s="145"/>
      <c r="M51" s="145"/>
      <c r="N51" s="145" t="str">
        <f t="shared" si="1"/>
        <v/>
      </c>
      <c r="O51" s="145" t="str">
        <f t="shared" si="0"/>
        <v/>
      </c>
      <c r="P51" s="16"/>
      <c r="Q51" s="130"/>
      <c r="R51" s="124"/>
      <c r="S51" s="123" t="str">
        <f t="shared" ref="S51:S52" si="7">IF(R51&lt;&gt;"", 0, "")</f>
        <v/>
      </c>
      <c r="T51" s="124"/>
      <c r="U51" s="123"/>
      <c r="V51" s="291"/>
      <c r="W51" s="292"/>
    </row>
    <row r="52" spans="1:23" ht="69.95" customHeight="1" x14ac:dyDescent="0.25">
      <c r="A52" s="1"/>
      <c r="B52" s="333"/>
      <c r="C52" s="333"/>
      <c r="D52" s="342"/>
      <c r="E52" s="333"/>
      <c r="F52" s="349"/>
      <c r="G52" s="349"/>
      <c r="H52" s="349"/>
      <c r="I52" s="349"/>
      <c r="J52" s="124"/>
      <c r="K52" s="131" t="s">
        <v>99</v>
      </c>
      <c r="L52" s="145"/>
      <c r="M52" s="145"/>
      <c r="N52" s="145" t="str">
        <f t="shared" si="1"/>
        <v/>
      </c>
      <c r="O52" s="145" t="str">
        <f t="shared" si="0"/>
        <v/>
      </c>
      <c r="P52" s="16"/>
      <c r="Q52" s="148"/>
      <c r="R52" s="124"/>
      <c r="S52" s="123" t="str">
        <f t="shared" si="7"/>
        <v/>
      </c>
      <c r="T52" s="124"/>
      <c r="U52" s="123"/>
      <c r="V52" s="293"/>
      <c r="W52" s="62"/>
    </row>
    <row r="53" spans="1:23" ht="69.95" customHeight="1" x14ac:dyDescent="0.25">
      <c r="A53" s="1"/>
      <c r="B53" s="333"/>
      <c r="C53" s="333"/>
      <c r="D53" s="342"/>
      <c r="E53" s="333"/>
      <c r="F53" s="349"/>
      <c r="G53" s="349"/>
      <c r="H53" s="349"/>
      <c r="I53" s="349"/>
      <c r="J53" s="132" t="s">
        <v>100</v>
      </c>
      <c r="K53" s="131" t="s">
        <v>101</v>
      </c>
      <c r="L53" s="145"/>
      <c r="M53" s="145"/>
      <c r="N53" s="145" t="str">
        <f t="shared" si="1"/>
        <v/>
      </c>
      <c r="O53" s="145" t="str">
        <f t="shared" si="0"/>
        <v/>
      </c>
      <c r="P53" s="16"/>
      <c r="Q53" s="148"/>
      <c r="R53" s="31"/>
      <c r="S53" s="129"/>
      <c r="T53" s="124"/>
      <c r="U53" s="123"/>
      <c r="V53" s="293"/>
      <c r="W53" s="62"/>
    </row>
    <row r="54" spans="1:23" ht="69.95" customHeight="1" x14ac:dyDescent="0.25">
      <c r="A54" s="1"/>
      <c r="B54" s="333"/>
      <c r="C54" s="333"/>
      <c r="D54" s="342"/>
      <c r="E54" s="333"/>
      <c r="F54" s="349"/>
      <c r="G54" s="349"/>
      <c r="H54" s="349"/>
      <c r="I54" s="349"/>
      <c r="J54" s="124" t="str">
        <f>IF(J52="","","0.0")</f>
        <v/>
      </c>
      <c r="K54" s="131" t="s">
        <v>102</v>
      </c>
      <c r="L54" s="145"/>
      <c r="M54" s="145"/>
      <c r="N54" s="145" t="str">
        <f t="shared" si="1"/>
        <v/>
      </c>
      <c r="O54" s="145" t="str">
        <f t="shared" si="0"/>
        <v/>
      </c>
      <c r="P54" s="16"/>
      <c r="Q54" s="148"/>
      <c r="R54" s="124"/>
      <c r="S54" s="123" t="str">
        <f>IF(R54&lt;&gt;"", 0, "")</f>
        <v/>
      </c>
      <c r="T54" s="124"/>
      <c r="U54" s="123"/>
      <c r="V54" s="293"/>
      <c r="W54" s="62"/>
    </row>
    <row r="55" spans="1:23" ht="69.95" customHeight="1" x14ac:dyDescent="0.25">
      <c r="A55" s="1"/>
      <c r="B55" s="333"/>
      <c r="C55" s="333"/>
      <c r="D55" s="342"/>
      <c r="E55" s="333"/>
      <c r="F55" s="349"/>
      <c r="G55" s="349"/>
      <c r="H55" s="349"/>
      <c r="I55" s="349"/>
      <c r="J55" s="43"/>
      <c r="K55" s="131" t="s">
        <v>111</v>
      </c>
      <c r="L55" s="145"/>
      <c r="M55" s="145"/>
      <c r="N55" s="145" t="str">
        <f t="shared" si="1"/>
        <v/>
      </c>
      <c r="O55" s="145" t="str">
        <f t="shared" si="0"/>
        <v/>
      </c>
      <c r="P55" s="16"/>
      <c r="Q55" s="148"/>
      <c r="R55" s="31"/>
      <c r="S55" s="129"/>
      <c r="T55" s="124"/>
      <c r="U55" s="123"/>
      <c r="V55" s="293"/>
      <c r="W55" s="62"/>
    </row>
    <row r="56" spans="1:23" ht="69.95" customHeight="1" x14ac:dyDescent="0.25">
      <c r="A56" s="1"/>
      <c r="B56" s="334"/>
      <c r="C56" s="334"/>
      <c r="D56" s="345"/>
      <c r="E56" s="334"/>
      <c r="F56" s="350"/>
      <c r="G56" s="350"/>
      <c r="H56" s="350"/>
      <c r="I56" s="350"/>
      <c r="J56" s="43"/>
      <c r="K56" s="131" t="s">
        <v>112</v>
      </c>
      <c r="L56" s="145"/>
      <c r="M56" s="145"/>
      <c r="N56" s="145" t="str">
        <f t="shared" si="1"/>
        <v/>
      </c>
      <c r="O56" s="145" t="str">
        <f t="shared" si="0"/>
        <v/>
      </c>
      <c r="P56" s="16"/>
      <c r="Q56" s="149"/>
      <c r="R56" s="31"/>
      <c r="S56" s="129"/>
      <c r="T56" s="124"/>
      <c r="U56" s="123"/>
      <c r="V56" s="294"/>
      <c r="W56" s="295"/>
    </row>
    <row r="57" spans="1:23" ht="69.95" customHeight="1" x14ac:dyDescent="0.25">
      <c r="A57" s="1"/>
      <c r="B57" s="332">
        <v>8</v>
      </c>
      <c r="C57" s="332"/>
      <c r="D57" s="339"/>
      <c r="E57" s="332"/>
      <c r="F57" s="348"/>
      <c r="G57" s="348"/>
      <c r="H57" s="348"/>
      <c r="I57" s="348"/>
      <c r="J57" s="132" t="s">
        <v>97</v>
      </c>
      <c r="K57" s="131" t="s">
        <v>98</v>
      </c>
      <c r="L57" s="145"/>
      <c r="M57" s="145"/>
      <c r="N57" s="145" t="str">
        <f t="shared" si="1"/>
        <v/>
      </c>
      <c r="O57" s="145" t="str">
        <f t="shared" si="0"/>
        <v/>
      </c>
      <c r="P57" s="16"/>
      <c r="Q57" s="130"/>
      <c r="R57" s="124"/>
      <c r="S57" s="123" t="str">
        <f t="shared" ref="S57:S58" si="8">IF(R57&lt;&gt;"", 0, "")</f>
        <v/>
      </c>
      <c r="T57" s="124"/>
      <c r="U57" s="123"/>
      <c r="V57" s="291"/>
      <c r="W57" s="292"/>
    </row>
    <row r="58" spans="1:23" ht="69.95" customHeight="1" x14ac:dyDescent="0.25">
      <c r="A58" s="1"/>
      <c r="B58" s="333"/>
      <c r="C58" s="333"/>
      <c r="D58" s="342"/>
      <c r="E58" s="333"/>
      <c r="F58" s="349"/>
      <c r="G58" s="349"/>
      <c r="H58" s="349"/>
      <c r="I58" s="349"/>
      <c r="J58" s="124"/>
      <c r="K58" s="131" t="s">
        <v>99</v>
      </c>
      <c r="L58" s="145"/>
      <c r="M58" s="145"/>
      <c r="N58" s="145" t="str">
        <f t="shared" si="1"/>
        <v/>
      </c>
      <c r="O58" s="145" t="str">
        <f t="shared" si="0"/>
        <v/>
      </c>
      <c r="P58" s="16"/>
      <c r="Q58" s="148"/>
      <c r="R58" s="124"/>
      <c r="S58" s="123" t="str">
        <f t="shared" si="8"/>
        <v/>
      </c>
      <c r="T58" s="124"/>
      <c r="U58" s="123"/>
      <c r="V58" s="293"/>
      <c r="W58" s="62"/>
    </row>
    <row r="59" spans="1:23" ht="69.95" customHeight="1" x14ac:dyDescent="0.25">
      <c r="A59" s="1"/>
      <c r="B59" s="333"/>
      <c r="C59" s="333"/>
      <c r="D59" s="342"/>
      <c r="E59" s="333"/>
      <c r="F59" s="349"/>
      <c r="G59" s="349"/>
      <c r="H59" s="349"/>
      <c r="I59" s="349"/>
      <c r="J59" s="132" t="s">
        <v>100</v>
      </c>
      <c r="K59" s="131" t="s">
        <v>101</v>
      </c>
      <c r="L59" s="145"/>
      <c r="M59" s="145"/>
      <c r="N59" s="145" t="str">
        <f t="shared" si="1"/>
        <v/>
      </c>
      <c r="O59" s="145" t="str">
        <f t="shared" si="0"/>
        <v/>
      </c>
      <c r="P59" s="16"/>
      <c r="Q59" s="148"/>
      <c r="R59" s="31"/>
      <c r="S59" s="129"/>
      <c r="T59" s="124"/>
      <c r="U59" s="123"/>
      <c r="V59" s="293"/>
      <c r="W59" s="62"/>
    </row>
    <row r="60" spans="1:23" ht="69.95" customHeight="1" x14ac:dyDescent="0.25">
      <c r="A60" s="1"/>
      <c r="B60" s="333"/>
      <c r="C60" s="333"/>
      <c r="D60" s="342"/>
      <c r="E60" s="333"/>
      <c r="F60" s="349"/>
      <c r="G60" s="349"/>
      <c r="H60" s="349"/>
      <c r="I60" s="349"/>
      <c r="J60" s="124" t="str">
        <f>IF(J58="","","0.0")</f>
        <v/>
      </c>
      <c r="K60" s="131" t="s">
        <v>102</v>
      </c>
      <c r="L60" s="145"/>
      <c r="M60" s="145"/>
      <c r="N60" s="145" t="str">
        <f t="shared" si="1"/>
        <v/>
      </c>
      <c r="O60" s="145" t="str">
        <f t="shared" si="0"/>
        <v/>
      </c>
      <c r="P60" s="16"/>
      <c r="Q60" s="148"/>
      <c r="R60" s="124"/>
      <c r="S60" s="123" t="str">
        <f>IF(R60&lt;&gt;"", 0, "")</f>
        <v/>
      </c>
      <c r="T60" s="124"/>
      <c r="U60" s="123"/>
      <c r="V60" s="293"/>
      <c r="W60" s="62"/>
    </row>
    <row r="61" spans="1:23" ht="69.95" customHeight="1" x14ac:dyDescent="0.25">
      <c r="A61" s="1"/>
      <c r="B61" s="333"/>
      <c r="C61" s="333"/>
      <c r="D61" s="342"/>
      <c r="E61" s="333"/>
      <c r="F61" s="349"/>
      <c r="G61" s="349"/>
      <c r="H61" s="349"/>
      <c r="I61" s="349"/>
      <c r="J61" s="43"/>
      <c r="K61" s="131" t="s">
        <v>111</v>
      </c>
      <c r="L61" s="145"/>
      <c r="M61" s="145"/>
      <c r="N61" s="145" t="str">
        <f t="shared" si="1"/>
        <v/>
      </c>
      <c r="O61" s="145" t="str">
        <f t="shared" si="0"/>
        <v/>
      </c>
      <c r="P61" s="16"/>
      <c r="Q61" s="148"/>
      <c r="R61" s="31"/>
      <c r="S61" s="129"/>
      <c r="T61" s="124"/>
      <c r="U61" s="123"/>
      <c r="V61" s="293"/>
      <c r="W61" s="62"/>
    </row>
    <row r="62" spans="1:23" ht="69.95" customHeight="1" x14ac:dyDescent="0.25">
      <c r="A62" s="1"/>
      <c r="B62" s="334"/>
      <c r="C62" s="334"/>
      <c r="D62" s="345"/>
      <c r="E62" s="334"/>
      <c r="F62" s="350"/>
      <c r="G62" s="350"/>
      <c r="H62" s="350"/>
      <c r="I62" s="350"/>
      <c r="J62" s="43"/>
      <c r="K62" s="131" t="s">
        <v>112</v>
      </c>
      <c r="L62" s="145"/>
      <c r="M62" s="145"/>
      <c r="N62" s="145" t="str">
        <f t="shared" si="1"/>
        <v/>
      </c>
      <c r="O62" s="145" t="str">
        <f t="shared" si="0"/>
        <v/>
      </c>
      <c r="P62" s="16"/>
      <c r="Q62" s="149"/>
      <c r="R62" s="18"/>
      <c r="S62" s="33"/>
      <c r="T62" s="121"/>
      <c r="U62" s="130"/>
      <c r="V62" s="294"/>
      <c r="W62" s="295"/>
    </row>
    <row r="63" spans="1:23" ht="69.95" customHeight="1" x14ac:dyDescent="0.25">
      <c r="A63" s="1"/>
      <c r="B63" s="332" t="s">
        <v>20</v>
      </c>
      <c r="C63" s="339" t="s">
        <v>103</v>
      </c>
      <c r="D63" s="340"/>
      <c r="E63" s="340"/>
      <c r="F63" s="340"/>
      <c r="G63" s="340"/>
      <c r="H63" s="340"/>
      <c r="I63" s="340"/>
      <c r="J63" s="341"/>
      <c r="K63" s="131" t="s">
        <v>104</v>
      </c>
      <c r="L63" s="305"/>
      <c r="M63" s="306"/>
      <c r="N63" s="306"/>
      <c r="O63" s="145" t="str">
        <f t="shared" si="0"/>
        <v/>
      </c>
      <c r="P63" s="16"/>
      <c r="Q63" s="150"/>
      <c r="R63" s="17"/>
      <c r="S63" s="17"/>
      <c r="T63" s="17"/>
      <c r="U63" s="17"/>
      <c r="V63" s="160"/>
      <c r="W63" s="161"/>
    </row>
    <row r="64" spans="1:23" ht="69.95" customHeight="1" x14ac:dyDescent="0.25">
      <c r="A64" s="1"/>
      <c r="B64" s="333"/>
      <c r="C64" s="342"/>
      <c r="D64" s="343"/>
      <c r="E64" s="343"/>
      <c r="F64" s="343"/>
      <c r="G64" s="343"/>
      <c r="H64" s="343"/>
      <c r="I64" s="343"/>
      <c r="J64" s="344"/>
      <c r="K64" s="131" t="s">
        <v>105</v>
      </c>
      <c r="L64" s="305"/>
      <c r="M64" s="306"/>
      <c r="N64" s="306"/>
      <c r="O64" s="145" t="str">
        <f t="shared" si="0"/>
        <v/>
      </c>
      <c r="P64" s="16"/>
      <c r="Q64" s="151"/>
      <c r="R64" s="17"/>
      <c r="S64" s="17"/>
      <c r="T64" s="17"/>
      <c r="U64" s="17"/>
      <c r="V64" s="156"/>
      <c r="W64" s="157"/>
    </row>
    <row r="65" spans="1:23" ht="69.95" customHeight="1" x14ac:dyDescent="0.25">
      <c r="A65" s="1"/>
      <c r="B65" s="333"/>
      <c r="C65" s="342"/>
      <c r="D65" s="343"/>
      <c r="E65" s="343"/>
      <c r="F65" s="343"/>
      <c r="G65" s="343"/>
      <c r="H65" s="343"/>
      <c r="I65" s="343"/>
      <c r="J65" s="344"/>
      <c r="K65" s="131" t="s">
        <v>106</v>
      </c>
      <c r="L65" s="305"/>
      <c r="M65" s="306"/>
      <c r="N65" s="306"/>
      <c r="O65" s="145" t="str">
        <f t="shared" si="0"/>
        <v/>
      </c>
      <c r="P65" s="16"/>
      <c r="Q65" s="151"/>
      <c r="R65" s="17"/>
      <c r="S65" s="17"/>
      <c r="T65" s="17"/>
      <c r="U65" s="17"/>
      <c r="V65" s="156"/>
      <c r="W65" s="157"/>
    </row>
    <row r="66" spans="1:23" ht="69.95" customHeight="1" x14ac:dyDescent="0.25">
      <c r="A66" s="1"/>
      <c r="B66" s="333"/>
      <c r="C66" s="342"/>
      <c r="D66" s="343"/>
      <c r="E66" s="343"/>
      <c r="F66" s="343"/>
      <c r="G66" s="343"/>
      <c r="H66" s="343"/>
      <c r="I66" s="343"/>
      <c r="J66" s="344"/>
      <c r="K66" s="131" t="s">
        <v>107</v>
      </c>
      <c r="L66" s="305"/>
      <c r="M66" s="306"/>
      <c r="N66" s="306"/>
      <c r="O66" s="145" t="str">
        <f t="shared" si="0"/>
        <v/>
      </c>
      <c r="P66" s="16"/>
      <c r="Q66" s="151"/>
      <c r="R66" s="17"/>
      <c r="S66" s="17"/>
      <c r="T66" s="17"/>
      <c r="U66" s="17"/>
      <c r="V66" s="156"/>
      <c r="W66" s="157"/>
    </row>
    <row r="67" spans="1:23" ht="69.95" customHeight="1" x14ac:dyDescent="0.25">
      <c r="A67" s="1"/>
      <c r="B67" s="333"/>
      <c r="C67" s="342"/>
      <c r="D67" s="343"/>
      <c r="E67" s="343"/>
      <c r="F67" s="343"/>
      <c r="G67" s="343"/>
      <c r="H67" s="343"/>
      <c r="I67" s="343"/>
      <c r="J67" s="344"/>
      <c r="K67" s="131" t="s">
        <v>80</v>
      </c>
      <c r="L67" s="145"/>
      <c r="M67" s="145"/>
      <c r="N67" s="145" t="str">
        <f t="shared" ref="N67:N68" si="9">IF(M67="","",M67-L67)</f>
        <v/>
      </c>
      <c r="O67" s="145" t="str">
        <f t="shared" si="0"/>
        <v/>
      </c>
      <c r="P67" s="16"/>
      <c r="Q67" s="151"/>
      <c r="R67" s="17"/>
      <c r="S67" s="17"/>
      <c r="T67" s="17"/>
      <c r="U67" s="17"/>
      <c r="V67" s="156"/>
      <c r="W67" s="157"/>
    </row>
    <row r="68" spans="1:23" ht="69.95" customHeight="1" x14ac:dyDescent="0.25">
      <c r="A68" s="1"/>
      <c r="B68" s="334"/>
      <c r="C68" s="345"/>
      <c r="D68" s="346"/>
      <c r="E68" s="346"/>
      <c r="F68" s="346"/>
      <c r="G68" s="346"/>
      <c r="H68" s="346"/>
      <c r="I68" s="346"/>
      <c r="J68" s="347"/>
      <c r="K68" s="131" t="s">
        <v>81</v>
      </c>
      <c r="L68" s="145"/>
      <c r="M68" s="145"/>
      <c r="N68" s="145" t="str">
        <f t="shared" si="9"/>
        <v/>
      </c>
      <c r="O68" s="145" t="str">
        <f t="shared" si="0"/>
        <v/>
      </c>
      <c r="P68" s="16"/>
      <c r="Q68" s="152"/>
      <c r="R68" s="17"/>
      <c r="S68" s="17"/>
      <c r="T68" s="17"/>
      <c r="U68" s="17"/>
      <c r="V68" s="158"/>
      <c r="W68" s="159"/>
    </row>
    <row r="69" spans="1:23" ht="69.95" customHeight="1" x14ac:dyDescent="0.25">
      <c r="A69" s="1"/>
      <c r="B69" s="332" t="s">
        <v>21</v>
      </c>
      <c r="C69" s="335" t="s">
        <v>108</v>
      </c>
      <c r="D69" s="335"/>
      <c r="E69" s="335"/>
      <c r="F69" s="335"/>
      <c r="G69" s="335"/>
      <c r="H69" s="335"/>
      <c r="I69" s="335"/>
      <c r="J69" s="335"/>
      <c r="K69" s="131" t="s">
        <v>104</v>
      </c>
      <c r="L69" s="305"/>
      <c r="M69" s="306"/>
      <c r="N69" s="306"/>
      <c r="O69" s="145" t="str">
        <f t="shared" si="0"/>
        <v/>
      </c>
      <c r="P69" s="16"/>
      <c r="Q69" s="150"/>
      <c r="R69" s="17"/>
      <c r="S69" s="17"/>
      <c r="T69" s="17"/>
      <c r="U69" s="17"/>
      <c r="V69" s="160"/>
      <c r="W69" s="161"/>
    </row>
    <row r="70" spans="1:23" ht="69.95" customHeight="1" x14ac:dyDescent="0.25">
      <c r="A70" s="1"/>
      <c r="B70" s="333"/>
      <c r="C70" s="335"/>
      <c r="D70" s="335"/>
      <c r="E70" s="335"/>
      <c r="F70" s="335"/>
      <c r="G70" s="335"/>
      <c r="H70" s="335"/>
      <c r="I70" s="335"/>
      <c r="J70" s="335"/>
      <c r="K70" s="131" t="s">
        <v>105</v>
      </c>
      <c r="L70" s="305"/>
      <c r="M70" s="306"/>
      <c r="N70" s="306"/>
      <c r="O70" s="145" t="str">
        <f t="shared" si="0"/>
        <v/>
      </c>
      <c r="P70" s="16"/>
      <c r="Q70" s="151"/>
      <c r="R70" s="17"/>
      <c r="S70" s="17"/>
      <c r="T70" s="17"/>
      <c r="U70" s="17"/>
      <c r="V70" s="156"/>
      <c r="W70" s="157"/>
    </row>
    <row r="71" spans="1:23" ht="69.95" customHeight="1" x14ac:dyDescent="0.25">
      <c r="A71" s="1"/>
      <c r="B71" s="333"/>
      <c r="C71" s="335"/>
      <c r="D71" s="335"/>
      <c r="E71" s="335"/>
      <c r="F71" s="335"/>
      <c r="G71" s="335"/>
      <c r="H71" s="335"/>
      <c r="I71" s="335"/>
      <c r="J71" s="335"/>
      <c r="K71" s="131" t="s">
        <v>106</v>
      </c>
      <c r="L71" s="305"/>
      <c r="M71" s="306"/>
      <c r="N71" s="306"/>
      <c r="O71" s="145" t="str">
        <f t="shared" si="0"/>
        <v/>
      </c>
      <c r="P71" s="16"/>
      <c r="Q71" s="151"/>
      <c r="R71" s="17"/>
      <c r="S71" s="17"/>
      <c r="T71" s="17"/>
      <c r="U71" s="17"/>
      <c r="V71" s="156"/>
      <c r="W71" s="157"/>
    </row>
    <row r="72" spans="1:23" ht="69.95" customHeight="1" x14ac:dyDescent="0.25">
      <c r="A72" s="1"/>
      <c r="B72" s="333"/>
      <c r="C72" s="335"/>
      <c r="D72" s="335"/>
      <c r="E72" s="335"/>
      <c r="F72" s="335"/>
      <c r="G72" s="335"/>
      <c r="H72" s="335"/>
      <c r="I72" s="335"/>
      <c r="J72" s="335"/>
      <c r="K72" s="131" t="s">
        <v>107</v>
      </c>
      <c r="L72" s="305"/>
      <c r="M72" s="306"/>
      <c r="N72" s="306"/>
      <c r="O72" s="145" t="str">
        <f t="shared" si="0"/>
        <v/>
      </c>
      <c r="P72" s="16"/>
      <c r="Q72" s="151"/>
      <c r="R72" s="17"/>
      <c r="S72" s="17"/>
      <c r="T72" s="17"/>
      <c r="U72" s="17"/>
      <c r="V72" s="156"/>
      <c r="W72" s="157"/>
    </row>
    <row r="73" spans="1:23" ht="69.95" customHeight="1" x14ac:dyDescent="0.25">
      <c r="A73" s="1"/>
      <c r="B73" s="333"/>
      <c r="C73" s="335"/>
      <c r="D73" s="335"/>
      <c r="E73" s="335"/>
      <c r="F73" s="335"/>
      <c r="G73" s="335"/>
      <c r="H73" s="335"/>
      <c r="I73" s="335"/>
      <c r="J73" s="335"/>
      <c r="K73" s="131" t="s">
        <v>80</v>
      </c>
      <c r="L73" s="145"/>
      <c r="M73" s="145"/>
      <c r="N73" s="145" t="str">
        <f t="shared" ref="N73:N74" si="10">IF(M73="","",M73-L73)</f>
        <v/>
      </c>
      <c r="O73" s="145" t="str">
        <f t="shared" si="0"/>
        <v/>
      </c>
      <c r="P73" s="16"/>
      <c r="Q73" s="151"/>
      <c r="R73" s="17"/>
      <c r="S73" s="17"/>
      <c r="T73" s="17"/>
      <c r="U73" s="17"/>
      <c r="V73" s="156"/>
      <c r="W73" s="157"/>
    </row>
    <row r="74" spans="1:23" ht="69.95" customHeight="1" x14ac:dyDescent="0.25">
      <c r="A74" s="1"/>
      <c r="B74" s="334"/>
      <c r="C74" s="335"/>
      <c r="D74" s="335"/>
      <c r="E74" s="335"/>
      <c r="F74" s="335"/>
      <c r="G74" s="335"/>
      <c r="H74" s="335"/>
      <c r="I74" s="335"/>
      <c r="J74" s="335"/>
      <c r="K74" s="131" t="s">
        <v>81</v>
      </c>
      <c r="L74" s="145"/>
      <c r="M74" s="145"/>
      <c r="N74" s="145" t="str">
        <f t="shared" si="10"/>
        <v/>
      </c>
      <c r="O74" s="145" t="str">
        <f t="shared" si="0"/>
        <v/>
      </c>
      <c r="P74" s="16"/>
      <c r="Q74" s="152"/>
      <c r="R74" s="17"/>
      <c r="S74" s="17"/>
      <c r="T74" s="17"/>
      <c r="U74" s="17"/>
      <c r="V74" s="158"/>
      <c r="W74" s="159"/>
    </row>
    <row r="75" spans="1:23" ht="69.95" customHeight="1" x14ac:dyDescent="0.25">
      <c r="A75" s="1"/>
      <c r="B75" s="122"/>
      <c r="C75" s="126"/>
      <c r="D75" s="126"/>
      <c r="E75" s="126"/>
      <c r="F75" s="126"/>
      <c r="G75" s="126"/>
      <c r="H75" s="126"/>
      <c r="I75" s="126"/>
      <c r="J75" s="126"/>
      <c r="K75" s="126"/>
      <c r="L75" s="133"/>
      <c r="M75" s="134"/>
      <c r="N75" s="134"/>
      <c r="O75" s="125"/>
      <c r="P75" s="19"/>
      <c r="Q75" s="44"/>
      <c r="R75" s="20"/>
      <c r="S75" s="20"/>
      <c r="T75" s="20"/>
      <c r="U75" s="20"/>
      <c r="V75" s="125"/>
      <c r="W75" s="127"/>
    </row>
    <row r="76" spans="1:23" ht="39" customHeight="1" x14ac:dyDescent="0.25">
      <c r="A76" s="1"/>
      <c r="B76" s="336"/>
      <c r="C76" s="337"/>
      <c r="D76" s="337"/>
      <c r="E76" s="337"/>
      <c r="F76" s="337"/>
      <c r="G76" s="337"/>
      <c r="H76" s="337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127"/>
    </row>
    <row r="77" spans="1:23" ht="60" customHeight="1" x14ac:dyDescent="0.25">
      <c r="A77" s="1"/>
      <c r="B77" s="21"/>
      <c r="C77" s="323" t="s">
        <v>17</v>
      </c>
      <c r="D77" s="323"/>
      <c r="E77" s="338" t="s">
        <v>194</v>
      </c>
      <c r="F77" s="338"/>
      <c r="G77" s="22"/>
      <c r="H77" s="49"/>
      <c r="I77" s="323" t="s">
        <v>110</v>
      </c>
      <c r="J77" s="323"/>
      <c r="K77" s="323"/>
      <c r="L77" s="331" t="s">
        <v>195</v>
      </c>
      <c r="M77" s="331"/>
      <c r="N77" s="49"/>
      <c r="O77" s="49"/>
      <c r="P77" s="49"/>
      <c r="Q77" s="49"/>
      <c r="R77" s="1"/>
      <c r="S77" s="55"/>
      <c r="T77" s="56"/>
      <c r="U77" s="1"/>
      <c r="V77" s="1"/>
      <c r="W77" s="8"/>
    </row>
    <row r="78" spans="1:23" s="46" customFormat="1" ht="60" customHeight="1" x14ac:dyDescent="0.55000000000000004">
      <c r="A78" s="27"/>
      <c r="B78" s="24"/>
      <c r="C78" s="25"/>
      <c r="D78" s="25"/>
      <c r="E78" s="25"/>
      <c r="F78" s="25"/>
      <c r="G78" s="25"/>
      <c r="H78" s="25"/>
      <c r="I78" s="323"/>
      <c r="J78" s="323"/>
      <c r="K78" s="323"/>
      <c r="L78" s="57"/>
      <c r="M78" s="25"/>
      <c r="N78" s="25"/>
      <c r="O78" s="25"/>
      <c r="P78" s="25"/>
      <c r="Q78" s="26"/>
      <c r="R78" s="58"/>
      <c r="S78" s="27"/>
      <c r="T78" s="27"/>
      <c r="U78" s="30" t="s">
        <v>109</v>
      </c>
      <c r="V78" s="27"/>
      <c r="W78" s="59"/>
    </row>
    <row r="79" spans="1:23" ht="60" customHeight="1" x14ac:dyDescent="0.25">
      <c r="A79" s="1"/>
      <c r="B79" s="21"/>
      <c r="C79" s="323" t="s">
        <v>18</v>
      </c>
      <c r="D79" s="323"/>
      <c r="E79" s="330">
        <f>D8</f>
        <v>0</v>
      </c>
      <c r="F79" s="331"/>
      <c r="G79" s="61"/>
      <c r="H79" s="50"/>
      <c r="I79" s="324" t="s">
        <v>18</v>
      </c>
      <c r="J79" s="324"/>
      <c r="K79" s="1"/>
      <c r="L79" s="325">
        <f>D8</f>
        <v>0</v>
      </c>
      <c r="M79" s="326"/>
      <c r="N79" s="50"/>
      <c r="O79" s="50"/>
      <c r="P79" s="50"/>
      <c r="Q79" s="50"/>
      <c r="R79" s="1"/>
      <c r="S79" s="1"/>
      <c r="T79" s="1"/>
      <c r="U79" s="1"/>
      <c r="V79" s="3"/>
      <c r="W79" s="62"/>
    </row>
    <row r="80" spans="1:23" s="46" customFormat="1" ht="39" customHeight="1" x14ac:dyDescent="0.55000000000000004">
      <c r="A80" s="27"/>
      <c r="B80" s="28"/>
      <c r="C80" s="25"/>
      <c r="D80" s="25"/>
      <c r="E80" s="25"/>
      <c r="F80" s="25"/>
      <c r="G80" s="25"/>
      <c r="H80" s="25"/>
      <c r="I80" s="25"/>
      <c r="J80" s="29"/>
      <c r="K80" s="25"/>
      <c r="L80" s="26"/>
      <c r="M80" s="26"/>
      <c r="N80" s="26"/>
      <c r="O80" s="26"/>
      <c r="P80" s="26"/>
      <c r="Q80" s="26"/>
      <c r="R80" s="27"/>
      <c r="S80" s="27"/>
      <c r="T80" s="27"/>
      <c r="U80" s="27"/>
      <c r="V80" s="327" t="s">
        <v>122</v>
      </c>
      <c r="W80" s="328"/>
    </row>
    <row r="81" spans="1:23" s="46" customFormat="1" ht="54" customHeight="1" x14ac:dyDescent="0.55000000000000004">
      <c r="A81" s="27"/>
      <c r="B81" s="63"/>
      <c r="C81" s="64"/>
      <c r="D81" s="65"/>
      <c r="E81" s="66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8"/>
      <c r="Q81" s="68"/>
      <c r="R81" s="69"/>
      <c r="S81" s="69"/>
      <c r="T81" s="69"/>
      <c r="U81" s="69"/>
      <c r="V81" s="326"/>
      <c r="W81" s="329"/>
    </row>
  </sheetData>
  <protectedRanges>
    <protectedRange sqref="M16:M19 M22:M25 M28:M31 M34:M37 M40:M43 M46:M49 Q17:Q19 B63:C73 B76:W76 E63:N66 M52:M55 M58:M61 Q75:W75 B15:G62 E69:N72 E67:M68 E75:O75 E73:M74 W63:W64 V65:W67 Q63:U74 W68:W70 V71:W73 W74 Q23:Q25 Q29:Q31 Q35:Q37 Q41:Q43 Q47:Q49 Q53:Q55 Q59:Q61 I15:K62" name="p40ae67166de39ef3f3ec01bbdae900a3"/>
    <protectedRange sqref="U6:U8 S6:S8 W6:W8" name="pc594b6ecd9b303ee1785ffe3b4f4380d_1"/>
    <protectedRange sqref="L11 M7 E11:E12 L6:L7 M9 L8:M8 L12:M12" name="p547f5a980904daf0dfa79ab76f7eb7f1_1"/>
    <protectedRange sqref="E6:E8 G5:G6" name="p915cfce853e1a0fa81a642efe2ca8f86_1"/>
    <protectedRange sqref="C81 S77:T77 U78" name="p62f34c08bc43a732167a4cb2a22494e9"/>
    <protectedRange sqref="H77 J81:K81 H79 E79 E81 E77 M79:Q79 J77 L77:Q77" name="pd76f2506e825e80154285506ac3cb46a_1"/>
    <protectedRange sqref="L9" name="p547f5a980904daf0dfa79ab76f7eb7f1_1_1"/>
    <protectedRange sqref="H15:H62" name="p40ae67166de39ef3f3ec01bbdae900a3_1"/>
    <protectedRange sqref="D6:D9" name="p915cfce853e1a0fa81a642efe2ca8f86_1_1"/>
    <protectedRange sqref="W15:W16 W26:W28 W32:W34 W38:W40 W44:W46 W20:W22 W50:W52 W56:W58 R62:U62 W62 R15:U16 R17:W19 R20:U22 R23:W25 R26:U28 R29:W31 R32:U34 R35:W37 R38:U40 R41:W43 R44:U46 R47:W49 R50:U52 R53:W55 R56:U58 R59:W61" name="p40ae67166de39ef3f3ec01bbdae900a3_2"/>
  </protectedRanges>
  <mergeCells count="96">
    <mergeCell ref="T13:W13"/>
    <mergeCell ref="V14:W14"/>
    <mergeCell ref="B2:E3"/>
    <mergeCell ref="F2:U3"/>
    <mergeCell ref="V2:W2"/>
    <mergeCell ref="B13:B14"/>
    <mergeCell ref="C13:C14"/>
    <mergeCell ref="D13:D14"/>
    <mergeCell ref="E13:E14"/>
    <mergeCell ref="F13:F14"/>
    <mergeCell ref="G13:G14"/>
    <mergeCell ref="H13:H14"/>
    <mergeCell ref="I13:I14"/>
    <mergeCell ref="J13:J14"/>
    <mergeCell ref="K13:K14"/>
    <mergeCell ref="L13:Q13"/>
    <mergeCell ref="R13:S13"/>
    <mergeCell ref="H15:H20"/>
    <mergeCell ref="I15:I20"/>
    <mergeCell ref="B21:B26"/>
    <mergeCell ref="C21:C26"/>
    <mergeCell ref="D21:D26"/>
    <mergeCell ref="E21:E26"/>
    <mergeCell ref="F21:F26"/>
    <mergeCell ref="G21:G26"/>
    <mergeCell ref="H21:H26"/>
    <mergeCell ref="I21:I26"/>
    <mergeCell ref="B15:B20"/>
    <mergeCell ref="C15:C20"/>
    <mergeCell ref="D15:D20"/>
    <mergeCell ref="E15:E20"/>
    <mergeCell ref="F15:F20"/>
    <mergeCell ref="G15:G20"/>
    <mergeCell ref="H27:H32"/>
    <mergeCell ref="I27:I32"/>
    <mergeCell ref="B33:B38"/>
    <mergeCell ref="C33:C38"/>
    <mergeCell ref="D33:D38"/>
    <mergeCell ref="E33:E38"/>
    <mergeCell ref="F33:F38"/>
    <mergeCell ref="G33:G38"/>
    <mergeCell ref="H33:H38"/>
    <mergeCell ref="I33:I38"/>
    <mergeCell ref="B27:B32"/>
    <mergeCell ref="C27:C32"/>
    <mergeCell ref="D27:D32"/>
    <mergeCell ref="E27:E32"/>
    <mergeCell ref="F27:F32"/>
    <mergeCell ref="G27:G32"/>
    <mergeCell ref="H39:H44"/>
    <mergeCell ref="I39:I44"/>
    <mergeCell ref="B45:B50"/>
    <mergeCell ref="C45:C50"/>
    <mergeCell ref="D45:D50"/>
    <mergeCell ref="E45:E50"/>
    <mergeCell ref="F45:F50"/>
    <mergeCell ref="G45:G50"/>
    <mergeCell ref="H45:H50"/>
    <mergeCell ref="I45:I50"/>
    <mergeCell ref="B39:B44"/>
    <mergeCell ref="C39:C44"/>
    <mergeCell ref="D39:D44"/>
    <mergeCell ref="E39:E44"/>
    <mergeCell ref="F39:F44"/>
    <mergeCell ref="G39:G44"/>
    <mergeCell ref="H51:H56"/>
    <mergeCell ref="I51:I56"/>
    <mergeCell ref="B57:B62"/>
    <mergeCell ref="C57:C62"/>
    <mergeCell ref="D57:D62"/>
    <mergeCell ref="E57:E62"/>
    <mergeCell ref="F57:F62"/>
    <mergeCell ref="G57:G62"/>
    <mergeCell ref="H57:H62"/>
    <mergeCell ref="I57:I62"/>
    <mergeCell ref="B51:B56"/>
    <mergeCell ref="C51:C56"/>
    <mergeCell ref="D51:D56"/>
    <mergeCell ref="E51:E56"/>
    <mergeCell ref="F51:F56"/>
    <mergeCell ref="G51:G56"/>
    <mergeCell ref="V81:W81"/>
    <mergeCell ref="B63:B68"/>
    <mergeCell ref="C63:J68"/>
    <mergeCell ref="B69:B74"/>
    <mergeCell ref="C69:J74"/>
    <mergeCell ref="B76:V76"/>
    <mergeCell ref="C77:D77"/>
    <mergeCell ref="E77:F77"/>
    <mergeCell ref="I77:K78"/>
    <mergeCell ref="L77:M77"/>
    <mergeCell ref="C79:D79"/>
    <mergeCell ref="E79:F79"/>
    <mergeCell ref="I79:J79"/>
    <mergeCell ref="L79:M79"/>
    <mergeCell ref="V80:W80"/>
  </mergeCells>
  <conditionalFormatting sqref="W4">
    <cfRule type="cellIs" dxfId="7" priority="1" operator="equal">
      <formula>"DEFECT"</formula>
    </cfRule>
    <cfRule type="cellIs" dxfId="6" priority="2" operator="equal">
      <formula>"MONITOR"</formula>
    </cfRule>
  </conditionalFormatting>
  <dataValidations count="8">
    <dataValidation type="list" allowBlank="1" showInputMessage="1" sqref="M6" xr:uid="{8D77BAB0-09CB-4B4C-A796-BA66AA9976B2}">
      <formula1>"GIS,VCB,AIS,GCB,RMU"</formula1>
    </dataValidation>
    <dataValidation type="list" allowBlank="1" showInputMessage="1" sqref="L11" xr:uid="{B4966DB1-CBA5-42EC-BF8A-8984EEE13732}">
      <formula1>"36kV,12kV"</formula1>
    </dataValidation>
    <dataValidation type="list" allowBlank="1" showInputMessage="1" sqref="L10" xr:uid="{4DA063DA-39B4-4C03-8DCA-304E4601F860}">
      <formula1>"SBB,DBB"</formula1>
    </dataValidation>
    <dataValidation type="list" allowBlank="1" showInputMessage="1" showErrorMessage="1" sqref="W4" xr:uid="{F8637F2B-1D6A-4F3E-A2B9-272E6649E9D7}">
      <formula1>"NORMAL,DEFECT,MONITOR"</formula1>
    </dataValidation>
    <dataValidation type="list" allowBlank="1" showInputMessage="1" sqref="H15:H62" xr:uid="{2C4FE04B-7B15-4798-B8F7-566B39FE311D}">
      <formula1>"MAIN,RESERVE,N/A"</formula1>
    </dataValidation>
    <dataValidation type="list" allowBlank="1" showInputMessage="1" sqref="G15:G62" xr:uid="{E15AF215-5646-471D-A16B-ABBFB1A31DA7}">
      <formula1>"CLOSE,TRIP,N/A"</formula1>
    </dataValidation>
    <dataValidation type="list" allowBlank="1" showInputMessage="1" sqref="F15:F62" xr:uid="{0A96DB3A-734B-4708-944D-FC894F1332BF}">
      <formula1>"SERVICE,TEST,RACK OUT,N/A"</formula1>
    </dataValidation>
    <dataValidation type="list" allowBlank="1" showInputMessage="1" sqref="E15:E62" xr:uid="{4327917C-5038-4977-93F7-77DCE3E50C4D}">
      <formula1>"XLPE,PILC,N/A,NOT ACCESSIBLE"</formula1>
    </dataValidation>
  </dataValidations>
  <pageMargins left="3.937007874015748E-2" right="3.937007874015748E-2" top="0" bottom="0" header="0.31496062992125984" footer="0.31496062992125984"/>
  <pageSetup scale="1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4B18B-1483-4CCC-B5DD-1B0C0B8CB384}">
  <sheetPr>
    <tabColor rgb="FF92D050"/>
    <pageSetUpPr fitToPage="1"/>
  </sheetPr>
  <dimension ref="A1:W81"/>
  <sheetViews>
    <sheetView zoomScale="25" zoomScaleNormal="25" workbookViewId="0">
      <selection activeCell="W4" sqref="W4"/>
    </sheetView>
  </sheetViews>
  <sheetFormatPr defaultRowHeight="12.75" customHeight="1" x14ac:dyDescent="0.25"/>
  <cols>
    <col min="1" max="1" width="9.140625" style="45"/>
    <col min="2" max="2" width="22.7109375" style="45" customWidth="1"/>
    <col min="3" max="3" width="63.7109375" style="45" customWidth="1"/>
    <col min="4" max="4" width="110.7109375" style="45" customWidth="1"/>
    <col min="5" max="8" width="50.140625" style="45" customWidth="1"/>
    <col min="9" max="10" width="43" style="45" customWidth="1"/>
    <col min="11" max="11" width="88.42578125" style="45" customWidth="1"/>
    <col min="12" max="16" width="64.7109375" style="45" customWidth="1"/>
    <col min="17" max="17" width="85.85546875" style="45" customWidth="1"/>
    <col min="18" max="20" width="42.85546875" style="45" customWidth="1"/>
    <col min="21" max="21" width="85.5703125" style="45" customWidth="1"/>
    <col min="22" max="22" width="57" style="45" customWidth="1"/>
    <col min="23" max="23" width="42.7109375" style="45" customWidth="1"/>
    <col min="24" max="247" width="9.140625" style="45"/>
    <col min="248" max="248" width="16" style="45" customWidth="1"/>
    <col min="249" max="249" width="27.7109375" style="45" customWidth="1"/>
    <col min="250" max="250" width="65.7109375" style="45" customWidth="1"/>
    <col min="251" max="251" width="21.85546875" style="45" bestFit="1" customWidth="1"/>
    <col min="252" max="252" width="30.140625" style="45" customWidth="1"/>
    <col min="253" max="253" width="62" style="45" customWidth="1"/>
    <col min="254" max="254" width="44" style="45" customWidth="1"/>
    <col min="255" max="255" width="43.140625" style="45" customWidth="1"/>
    <col min="256" max="256" width="45" style="45" customWidth="1"/>
    <col min="257" max="257" width="35.5703125" style="45" customWidth="1"/>
    <col min="258" max="258" width="37.140625" style="45" customWidth="1"/>
    <col min="259" max="259" width="76.7109375" style="45" customWidth="1"/>
    <col min="260" max="260" width="37.7109375" style="45" customWidth="1"/>
    <col min="261" max="261" width="37.85546875" style="45" customWidth="1"/>
    <col min="262" max="262" width="39.85546875" style="45" customWidth="1"/>
    <col min="263" max="263" width="53.140625" style="45" customWidth="1"/>
    <col min="264" max="264" width="35.28515625" style="45" customWidth="1"/>
    <col min="265" max="265" width="31" style="45" customWidth="1"/>
    <col min="266" max="266" width="29.140625" style="45" customWidth="1"/>
    <col min="267" max="267" width="30.140625" style="45" customWidth="1"/>
    <col min="268" max="268" width="49.140625" style="45" customWidth="1"/>
    <col min="269" max="269" width="31.85546875" style="45" customWidth="1"/>
    <col min="270" max="270" width="39.140625" style="45" customWidth="1"/>
    <col min="271" max="271" width="53" style="45" bestFit="1" customWidth="1"/>
    <col min="272" max="272" width="33.42578125" style="45" bestFit="1" customWidth="1"/>
    <col min="273" max="273" width="28.140625" style="45" customWidth="1"/>
    <col min="274" max="278" width="6.7109375" style="45" customWidth="1"/>
    <col min="279" max="279" width="1.7109375" style="45" customWidth="1"/>
    <col min="280" max="503" width="9.140625" style="45"/>
    <col min="504" max="504" width="16" style="45" customWidth="1"/>
    <col min="505" max="505" width="27.7109375" style="45" customWidth="1"/>
    <col min="506" max="506" width="65.7109375" style="45" customWidth="1"/>
    <col min="507" max="507" width="21.85546875" style="45" bestFit="1" customWidth="1"/>
    <col min="508" max="508" width="30.140625" style="45" customWidth="1"/>
    <col min="509" max="509" width="62" style="45" customWidth="1"/>
    <col min="510" max="510" width="44" style="45" customWidth="1"/>
    <col min="511" max="511" width="43.140625" style="45" customWidth="1"/>
    <col min="512" max="512" width="45" style="45" customWidth="1"/>
    <col min="513" max="513" width="35.5703125" style="45" customWidth="1"/>
    <col min="514" max="514" width="37.140625" style="45" customWidth="1"/>
    <col min="515" max="515" width="76.7109375" style="45" customWidth="1"/>
    <col min="516" max="516" width="37.7109375" style="45" customWidth="1"/>
    <col min="517" max="517" width="37.85546875" style="45" customWidth="1"/>
    <col min="518" max="518" width="39.85546875" style="45" customWidth="1"/>
    <col min="519" max="519" width="53.140625" style="45" customWidth="1"/>
    <col min="520" max="520" width="35.28515625" style="45" customWidth="1"/>
    <col min="521" max="521" width="31" style="45" customWidth="1"/>
    <col min="522" max="522" width="29.140625" style="45" customWidth="1"/>
    <col min="523" max="523" width="30.140625" style="45" customWidth="1"/>
    <col min="524" max="524" width="49.140625" style="45" customWidth="1"/>
    <col min="525" max="525" width="31.85546875" style="45" customWidth="1"/>
    <col min="526" max="526" width="39.140625" style="45" customWidth="1"/>
    <col min="527" max="527" width="53" style="45" bestFit="1" customWidth="1"/>
    <col min="528" max="528" width="33.42578125" style="45" bestFit="1" customWidth="1"/>
    <col min="529" max="529" width="28.140625" style="45" customWidth="1"/>
    <col min="530" max="534" width="6.7109375" style="45" customWidth="1"/>
    <col min="535" max="535" width="1.7109375" style="45" customWidth="1"/>
    <col min="536" max="759" width="9.140625" style="45"/>
    <col min="760" max="760" width="16" style="45" customWidth="1"/>
    <col min="761" max="761" width="27.7109375" style="45" customWidth="1"/>
    <col min="762" max="762" width="65.7109375" style="45" customWidth="1"/>
    <col min="763" max="763" width="21.85546875" style="45" bestFit="1" customWidth="1"/>
    <col min="764" max="764" width="30.140625" style="45" customWidth="1"/>
    <col min="765" max="765" width="62" style="45" customWidth="1"/>
    <col min="766" max="766" width="44" style="45" customWidth="1"/>
    <col min="767" max="767" width="43.140625" style="45" customWidth="1"/>
    <col min="768" max="768" width="45" style="45" customWidth="1"/>
    <col min="769" max="769" width="35.5703125" style="45" customWidth="1"/>
    <col min="770" max="770" width="37.140625" style="45" customWidth="1"/>
    <col min="771" max="771" width="76.7109375" style="45" customWidth="1"/>
    <col min="772" max="772" width="37.7109375" style="45" customWidth="1"/>
    <col min="773" max="773" width="37.85546875" style="45" customWidth="1"/>
    <col min="774" max="774" width="39.85546875" style="45" customWidth="1"/>
    <col min="775" max="775" width="53.140625" style="45" customWidth="1"/>
    <col min="776" max="776" width="35.28515625" style="45" customWidth="1"/>
    <col min="777" max="777" width="31" style="45" customWidth="1"/>
    <col min="778" max="778" width="29.140625" style="45" customWidth="1"/>
    <col min="779" max="779" width="30.140625" style="45" customWidth="1"/>
    <col min="780" max="780" width="49.140625" style="45" customWidth="1"/>
    <col min="781" max="781" width="31.85546875" style="45" customWidth="1"/>
    <col min="782" max="782" width="39.140625" style="45" customWidth="1"/>
    <col min="783" max="783" width="53" style="45" bestFit="1" customWidth="1"/>
    <col min="784" max="784" width="33.42578125" style="45" bestFit="1" customWidth="1"/>
    <col min="785" max="785" width="28.140625" style="45" customWidth="1"/>
    <col min="786" max="790" width="6.7109375" style="45" customWidth="1"/>
    <col min="791" max="791" width="1.7109375" style="45" customWidth="1"/>
    <col min="792" max="1015" width="9.140625" style="45"/>
    <col min="1016" max="1016" width="16" style="45" customWidth="1"/>
    <col min="1017" max="1017" width="27.7109375" style="45" customWidth="1"/>
    <col min="1018" max="1018" width="65.7109375" style="45" customWidth="1"/>
    <col min="1019" max="1019" width="21.85546875" style="45" bestFit="1" customWidth="1"/>
    <col min="1020" max="1020" width="30.140625" style="45" customWidth="1"/>
    <col min="1021" max="1021" width="62" style="45" customWidth="1"/>
    <col min="1022" max="1022" width="44" style="45" customWidth="1"/>
    <col min="1023" max="1023" width="43.140625" style="45" customWidth="1"/>
    <col min="1024" max="1024" width="45" style="45" customWidth="1"/>
    <col min="1025" max="1025" width="35.5703125" style="45" customWidth="1"/>
    <col min="1026" max="1026" width="37.140625" style="45" customWidth="1"/>
    <col min="1027" max="1027" width="76.7109375" style="45" customWidth="1"/>
    <col min="1028" max="1028" width="37.7109375" style="45" customWidth="1"/>
    <col min="1029" max="1029" width="37.85546875" style="45" customWidth="1"/>
    <col min="1030" max="1030" width="39.85546875" style="45" customWidth="1"/>
    <col min="1031" max="1031" width="53.140625" style="45" customWidth="1"/>
    <col min="1032" max="1032" width="35.28515625" style="45" customWidth="1"/>
    <col min="1033" max="1033" width="31" style="45" customWidth="1"/>
    <col min="1034" max="1034" width="29.140625" style="45" customWidth="1"/>
    <col min="1035" max="1035" width="30.140625" style="45" customWidth="1"/>
    <col min="1036" max="1036" width="49.140625" style="45" customWidth="1"/>
    <col min="1037" max="1037" width="31.85546875" style="45" customWidth="1"/>
    <col min="1038" max="1038" width="39.140625" style="45" customWidth="1"/>
    <col min="1039" max="1039" width="53" style="45" bestFit="1" customWidth="1"/>
    <col min="1040" max="1040" width="33.42578125" style="45" bestFit="1" customWidth="1"/>
    <col min="1041" max="1041" width="28.140625" style="45" customWidth="1"/>
    <col min="1042" max="1046" width="6.7109375" style="45" customWidth="1"/>
    <col min="1047" max="1047" width="1.7109375" style="45" customWidth="1"/>
    <col min="1048" max="1271" width="9.140625" style="45"/>
    <col min="1272" max="1272" width="16" style="45" customWidth="1"/>
    <col min="1273" max="1273" width="27.7109375" style="45" customWidth="1"/>
    <col min="1274" max="1274" width="65.7109375" style="45" customWidth="1"/>
    <col min="1275" max="1275" width="21.85546875" style="45" bestFit="1" customWidth="1"/>
    <col min="1276" max="1276" width="30.140625" style="45" customWidth="1"/>
    <col min="1277" max="1277" width="62" style="45" customWidth="1"/>
    <col min="1278" max="1278" width="44" style="45" customWidth="1"/>
    <col min="1279" max="1279" width="43.140625" style="45" customWidth="1"/>
    <col min="1280" max="1280" width="45" style="45" customWidth="1"/>
    <col min="1281" max="1281" width="35.5703125" style="45" customWidth="1"/>
    <col min="1282" max="1282" width="37.140625" style="45" customWidth="1"/>
    <col min="1283" max="1283" width="76.7109375" style="45" customWidth="1"/>
    <col min="1284" max="1284" width="37.7109375" style="45" customWidth="1"/>
    <col min="1285" max="1285" width="37.85546875" style="45" customWidth="1"/>
    <col min="1286" max="1286" width="39.85546875" style="45" customWidth="1"/>
    <col min="1287" max="1287" width="53.140625" style="45" customWidth="1"/>
    <col min="1288" max="1288" width="35.28515625" style="45" customWidth="1"/>
    <col min="1289" max="1289" width="31" style="45" customWidth="1"/>
    <col min="1290" max="1290" width="29.140625" style="45" customWidth="1"/>
    <col min="1291" max="1291" width="30.140625" style="45" customWidth="1"/>
    <col min="1292" max="1292" width="49.140625" style="45" customWidth="1"/>
    <col min="1293" max="1293" width="31.85546875" style="45" customWidth="1"/>
    <col min="1294" max="1294" width="39.140625" style="45" customWidth="1"/>
    <col min="1295" max="1295" width="53" style="45" bestFit="1" customWidth="1"/>
    <col min="1296" max="1296" width="33.42578125" style="45" bestFit="1" customWidth="1"/>
    <col min="1297" max="1297" width="28.140625" style="45" customWidth="1"/>
    <col min="1298" max="1302" width="6.7109375" style="45" customWidth="1"/>
    <col min="1303" max="1303" width="1.7109375" style="45" customWidth="1"/>
    <col min="1304" max="1527" width="9.140625" style="45"/>
    <col min="1528" max="1528" width="16" style="45" customWidth="1"/>
    <col min="1529" max="1529" width="27.7109375" style="45" customWidth="1"/>
    <col min="1530" max="1530" width="65.7109375" style="45" customWidth="1"/>
    <col min="1531" max="1531" width="21.85546875" style="45" bestFit="1" customWidth="1"/>
    <col min="1532" max="1532" width="30.140625" style="45" customWidth="1"/>
    <col min="1533" max="1533" width="62" style="45" customWidth="1"/>
    <col min="1534" max="1534" width="44" style="45" customWidth="1"/>
    <col min="1535" max="1535" width="43.140625" style="45" customWidth="1"/>
    <col min="1536" max="1536" width="45" style="45" customWidth="1"/>
    <col min="1537" max="1537" width="35.5703125" style="45" customWidth="1"/>
    <col min="1538" max="1538" width="37.140625" style="45" customWidth="1"/>
    <col min="1539" max="1539" width="76.7109375" style="45" customWidth="1"/>
    <col min="1540" max="1540" width="37.7109375" style="45" customWidth="1"/>
    <col min="1541" max="1541" width="37.85546875" style="45" customWidth="1"/>
    <col min="1542" max="1542" width="39.85546875" style="45" customWidth="1"/>
    <col min="1543" max="1543" width="53.140625" style="45" customWidth="1"/>
    <col min="1544" max="1544" width="35.28515625" style="45" customWidth="1"/>
    <col min="1545" max="1545" width="31" style="45" customWidth="1"/>
    <col min="1546" max="1546" width="29.140625" style="45" customWidth="1"/>
    <col min="1547" max="1547" width="30.140625" style="45" customWidth="1"/>
    <col min="1548" max="1548" width="49.140625" style="45" customWidth="1"/>
    <col min="1549" max="1549" width="31.85546875" style="45" customWidth="1"/>
    <col min="1550" max="1550" width="39.140625" style="45" customWidth="1"/>
    <col min="1551" max="1551" width="53" style="45" bestFit="1" customWidth="1"/>
    <col min="1552" max="1552" width="33.42578125" style="45" bestFit="1" customWidth="1"/>
    <col min="1553" max="1553" width="28.140625" style="45" customWidth="1"/>
    <col min="1554" max="1558" width="6.7109375" style="45" customWidth="1"/>
    <col min="1559" max="1559" width="1.7109375" style="45" customWidth="1"/>
    <col min="1560" max="1783" width="9.140625" style="45"/>
    <col min="1784" max="1784" width="16" style="45" customWidth="1"/>
    <col min="1785" max="1785" width="27.7109375" style="45" customWidth="1"/>
    <col min="1786" max="1786" width="65.7109375" style="45" customWidth="1"/>
    <col min="1787" max="1787" width="21.85546875" style="45" bestFit="1" customWidth="1"/>
    <col min="1788" max="1788" width="30.140625" style="45" customWidth="1"/>
    <col min="1789" max="1789" width="62" style="45" customWidth="1"/>
    <col min="1790" max="1790" width="44" style="45" customWidth="1"/>
    <col min="1791" max="1791" width="43.140625" style="45" customWidth="1"/>
    <col min="1792" max="1792" width="45" style="45" customWidth="1"/>
    <col min="1793" max="1793" width="35.5703125" style="45" customWidth="1"/>
    <col min="1794" max="1794" width="37.140625" style="45" customWidth="1"/>
    <col min="1795" max="1795" width="76.7109375" style="45" customWidth="1"/>
    <col min="1796" max="1796" width="37.7109375" style="45" customWidth="1"/>
    <col min="1797" max="1797" width="37.85546875" style="45" customWidth="1"/>
    <col min="1798" max="1798" width="39.85546875" style="45" customWidth="1"/>
    <col min="1799" max="1799" width="53.140625" style="45" customWidth="1"/>
    <col min="1800" max="1800" width="35.28515625" style="45" customWidth="1"/>
    <col min="1801" max="1801" width="31" style="45" customWidth="1"/>
    <col min="1802" max="1802" width="29.140625" style="45" customWidth="1"/>
    <col min="1803" max="1803" width="30.140625" style="45" customWidth="1"/>
    <col min="1804" max="1804" width="49.140625" style="45" customWidth="1"/>
    <col min="1805" max="1805" width="31.85546875" style="45" customWidth="1"/>
    <col min="1806" max="1806" width="39.140625" style="45" customWidth="1"/>
    <col min="1807" max="1807" width="53" style="45" bestFit="1" customWidth="1"/>
    <col min="1808" max="1808" width="33.42578125" style="45" bestFit="1" customWidth="1"/>
    <col min="1809" max="1809" width="28.140625" style="45" customWidth="1"/>
    <col min="1810" max="1814" width="6.7109375" style="45" customWidth="1"/>
    <col min="1815" max="1815" width="1.7109375" style="45" customWidth="1"/>
    <col min="1816" max="2039" width="9.140625" style="45"/>
    <col min="2040" max="2040" width="16" style="45" customWidth="1"/>
    <col min="2041" max="2041" width="27.7109375" style="45" customWidth="1"/>
    <col min="2042" max="2042" width="65.7109375" style="45" customWidth="1"/>
    <col min="2043" max="2043" width="21.85546875" style="45" bestFit="1" customWidth="1"/>
    <col min="2044" max="2044" width="30.140625" style="45" customWidth="1"/>
    <col min="2045" max="2045" width="62" style="45" customWidth="1"/>
    <col min="2046" max="2046" width="44" style="45" customWidth="1"/>
    <col min="2047" max="2047" width="43.140625" style="45" customWidth="1"/>
    <col min="2048" max="2048" width="45" style="45" customWidth="1"/>
    <col min="2049" max="2049" width="35.5703125" style="45" customWidth="1"/>
    <col min="2050" max="2050" width="37.140625" style="45" customWidth="1"/>
    <col min="2051" max="2051" width="76.7109375" style="45" customWidth="1"/>
    <col min="2052" max="2052" width="37.7109375" style="45" customWidth="1"/>
    <col min="2053" max="2053" width="37.85546875" style="45" customWidth="1"/>
    <col min="2054" max="2054" width="39.85546875" style="45" customWidth="1"/>
    <col min="2055" max="2055" width="53.140625" style="45" customWidth="1"/>
    <col min="2056" max="2056" width="35.28515625" style="45" customWidth="1"/>
    <col min="2057" max="2057" width="31" style="45" customWidth="1"/>
    <col min="2058" max="2058" width="29.140625" style="45" customWidth="1"/>
    <col min="2059" max="2059" width="30.140625" style="45" customWidth="1"/>
    <col min="2060" max="2060" width="49.140625" style="45" customWidth="1"/>
    <col min="2061" max="2061" width="31.85546875" style="45" customWidth="1"/>
    <col min="2062" max="2062" width="39.140625" style="45" customWidth="1"/>
    <col min="2063" max="2063" width="53" style="45" bestFit="1" customWidth="1"/>
    <col min="2064" max="2064" width="33.42578125" style="45" bestFit="1" customWidth="1"/>
    <col min="2065" max="2065" width="28.140625" style="45" customWidth="1"/>
    <col min="2066" max="2070" width="6.7109375" style="45" customWidth="1"/>
    <col min="2071" max="2071" width="1.7109375" style="45" customWidth="1"/>
    <col min="2072" max="2295" width="9.140625" style="45"/>
    <col min="2296" max="2296" width="16" style="45" customWidth="1"/>
    <col min="2297" max="2297" width="27.7109375" style="45" customWidth="1"/>
    <col min="2298" max="2298" width="65.7109375" style="45" customWidth="1"/>
    <col min="2299" max="2299" width="21.85546875" style="45" bestFit="1" customWidth="1"/>
    <col min="2300" max="2300" width="30.140625" style="45" customWidth="1"/>
    <col min="2301" max="2301" width="62" style="45" customWidth="1"/>
    <col min="2302" max="2302" width="44" style="45" customWidth="1"/>
    <col min="2303" max="2303" width="43.140625" style="45" customWidth="1"/>
    <col min="2304" max="2304" width="45" style="45" customWidth="1"/>
    <col min="2305" max="2305" width="35.5703125" style="45" customWidth="1"/>
    <col min="2306" max="2306" width="37.140625" style="45" customWidth="1"/>
    <col min="2307" max="2307" width="76.7109375" style="45" customWidth="1"/>
    <col min="2308" max="2308" width="37.7109375" style="45" customWidth="1"/>
    <col min="2309" max="2309" width="37.85546875" style="45" customWidth="1"/>
    <col min="2310" max="2310" width="39.85546875" style="45" customWidth="1"/>
    <col min="2311" max="2311" width="53.140625" style="45" customWidth="1"/>
    <col min="2312" max="2312" width="35.28515625" style="45" customWidth="1"/>
    <col min="2313" max="2313" width="31" style="45" customWidth="1"/>
    <col min="2314" max="2314" width="29.140625" style="45" customWidth="1"/>
    <col min="2315" max="2315" width="30.140625" style="45" customWidth="1"/>
    <col min="2316" max="2316" width="49.140625" style="45" customWidth="1"/>
    <col min="2317" max="2317" width="31.85546875" style="45" customWidth="1"/>
    <col min="2318" max="2318" width="39.140625" style="45" customWidth="1"/>
    <col min="2319" max="2319" width="53" style="45" bestFit="1" customWidth="1"/>
    <col min="2320" max="2320" width="33.42578125" style="45" bestFit="1" customWidth="1"/>
    <col min="2321" max="2321" width="28.140625" style="45" customWidth="1"/>
    <col min="2322" max="2326" width="6.7109375" style="45" customWidth="1"/>
    <col min="2327" max="2327" width="1.7109375" style="45" customWidth="1"/>
    <col min="2328" max="2551" width="9.140625" style="45"/>
    <col min="2552" max="2552" width="16" style="45" customWidth="1"/>
    <col min="2553" max="2553" width="27.7109375" style="45" customWidth="1"/>
    <col min="2554" max="2554" width="65.7109375" style="45" customWidth="1"/>
    <col min="2555" max="2555" width="21.85546875" style="45" bestFit="1" customWidth="1"/>
    <col min="2556" max="2556" width="30.140625" style="45" customWidth="1"/>
    <col min="2557" max="2557" width="62" style="45" customWidth="1"/>
    <col min="2558" max="2558" width="44" style="45" customWidth="1"/>
    <col min="2559" max="2559" width="43.140625" style="45" customWidth="1"/>
    <col min="2560" max="2560" width="45" style="45" customWidth="1"/>
    <col min="2561" max="2561" width="35.5703125" style="45" customWidth="1"/>
    <col min="2562" max="2562" width="37.140625" style="45" customWidth="1"/>
    <col min="2563" max="2563" width="76.7109375" style="45" customWidth="1"/>
    <col min="2564" max="2564" width="37.7109375" style="45" customWidth="1"/>
    <col min="2565" max="2565" width="37.85546875" style="45" customWidth="1"/>
    <col min="2566" max="2566" width="39.85546875" style="45" customWidth="1"/>
    <col min="2567" max="2567" width="53.140625" style="45" customWidth="1"/>
    <col min="2568" max="2568" width="35.28515625" style="45" customWidth="1"/>
    <col min="2569" max="2569" width="31" style="45" customWidth="1"/>
    <col min="2570" max="2570" width="29.140625" style="45" customWidth="1"/>
    <col min="2571" max="2571" width="30.140625" style="45" customWidth="1"/>
    <col min="2572" max="2572" width="49.140625" style="45" customWidth="1"/>
    <col min="2573" max="2573" width="31.85546875" style="45" customWidth="1"/>
    <col min="2574" max="2574" width="39.140625" style="45" customWidth="1"/>
    <col min="2575" max="2575" width="53" style="45" bestFit="1" customWidth="1"/>
    <col min="2576" max="2576" width="33.42578125" style="45" bestFit="1" customWidth="1"/>
    <col min="2577" max="2577" width="28.140625" style="45" customWidth="1"/>
    <col min="2578" max="2582" width="6.7109375" style="45" customWidth="1"/>
    <col min="2583" max="2583" width="1.7109375" style="45" customWidth="1"/>
    <col min="2584" max="2807" width="9.140625" style="45"/>
    <col min="2808" max="2808" width="16" style="45" customWidth="1"/>
    <col min="2809" max="2809" width="27.7109375" style="45" customWidth="1"/>
    <col min="2810" max="2810" width="65.7109375" style="45" customWidth="1"/>
    <col min="2811" max="2811" width="21.85546875" style="45" bestFit="1" customWidth="1"/>
    <col min="2812" max="2812" width="30.140625" style="45" customWidth="1"/>
    <col min="2813" max="2813" width="62" style="45" customWidth="1"/>
    <col min="2814" max="2814" width="44" style="45" customWidth="1"/>
    <col min="2815" max="2815" width="43.140625" style="45" customWidth="1"/>
    <col min="2816" max="2816" width="45" style="45" customWidth="1"/>
    <col min="2817" max="2817" width="35.5703125" style="45" customWidth="1"/>
    <col min="2818" max="2818" width="37.140625" style="45" customWidth="1"/>
    <col min="2819" max="2819" width="76.7109375" style="45" customWidth="1"/>
    <col min="2820" max="2820" width="37.7109375" style="45" customWidth="1"/>
    <col min="2821" max="2821" width="37.85546875" style="45" customWidth="1"/>
    <col min="2822" max="2822" width="39.85546875" style="45" customWidth="1"/>
    <col min="2823" max="2823" width="53.140625" style="45" customWidth="1"/>
    <col min="2824" max="2824" width="35.28515625" style="45" customWidth="1"/>
    <col min="2825" max="2825" width="31" style="45" customWidth="1"/>
    <col min="2826" max="2826" width="29.140625" style="45" customWidth="1"/>
    <col min="2827" max="2827" width="30.140625" style="45" customWidth="1"/>
    <col min="2828" max="2828" width="49.140625" style="45" customWidth="1"/>
    <col min="2829" max="2829" width="31.85546875" style="45" customWidth="1"/>
    <col min="2830" max="2830" width="39.140625" style="45" customWidth="1"/>
    <col min="2831" max="2831" width="53" style="45" bestFit="1" customWidth="1"/>
    <col min="2832" max="2832" width="33.42578125" style="45" bestFit="1" customWidth="1"/>
    <col min="2833" max="2833" width="28.140625" style="45" customWidth="1"/>
    <col min="2834" max="2838" width="6.7109375" style="45" customWidth="1"/>
    <col min="2839" max="2839" width="1.7109375" style="45" customWidth="1"/>
    <col min="2840" max="3063" width="9.140625" style="45"/>
    <col min="3064" max="3064" width="16" style="45" customWidth="1"/>
    <col min="3065" max="3065" width="27.7109375" style="45" customWidth="1"/>
    <col min="3066" max="3066" width="65.7109375" style="45" customWidth="1"/>
    <col min="3067" max="3067" width="21.85546875" style="45" bestFit="1" customWidth="1"/>
    <col min="3068" max="3068" width="30.140625" style="45" customWidth="1"/>
    <col min="3069" max="3069" width="62" style="45" customWidth="1"/>
    <col min="3070" max="3070" width="44" style="45" customWidth="1"/>
    <col min="3071" max="3071" width="43.140625" style="45" customWidth="1"/>
    <col min="3072" max="3072" width="45" style="45" customWidth="1"/>
    <col min="3073" max="3073" width="35.5703125" style="45" customWidth="1"/>
    <col min="3074" max="3074" width="37.140625" style="45" customWidth="1"/>
    <col min="3075" max="3075" width="76.7109375" style="45" customWidth="1"/>
    <col min="3076" max="3076" width="37.7109375" style="45" customWidth="1"/>
    <col min="3077" max="3077" width="37.85546875" style="45" customWidth="1"/>
    <col min="3078" max="3078" width="39.85546875" style="45" customWidth="1"/>
    <col min="3079" max="3079" width="53.140625" style="45" customWidth="1"/>
    <col min="3080" max="3080" width="35.28515625" style="45" customWidth="1"/>
    <col min="3081" max="3081" width="31" style="45" customWidth="1"/>
    <col min="3082" max="3082" width="29.140625" style="45" customWidth="1"/>
    <col min="3083" max="3083" width="30.140625" style="45" customWidth="1"/>
    <col min="3084" max="3084" width="49.140625" style="45" customWidth="1"/>
    <col min="3085" max="3085" width="31.85546875" style="45" customWidth="1"/>
    <col min="3086" max="3086" width="39.140625" style="45" customWidth="1"/>
    <col min="3087" max="3087" width="53" style="45" bestFit="1" customWidth="1"/>
    <col min="3088" max="3088" width="33.42578125" style="45" bestFit="1" customWidth="1"/>
    <col min="3089" max="3089" width="28.140625" style="45" customWidth="1"/>
    <col min="3090" max="3094" width="6.7109375" style="45" customWidth="1"/>
    <col min="3095" max="3095" width="1.7109375" style="45" customWidth="1"/>
    <col min="3096" max="3319" width="9.140625" style="45"/>
    <col min="3320" max="3320" width="16" style="45" customWidth="1"/>
    <col min="3321" max="3321" width="27.7109375" style="45" customWidth="1"/>
    <col min="3322" max="3322" width="65.7109375" style="45" customWidth="1"/>
    <col min="3323" max="3323" width="21.85546875" style="45" bestFit="1" customWidth="1"/>
    <col min="3324" max="3324" width="30.140625" style="45" customWidth="1"/>
    <col min="3325" max="3325" width="62" style="45" customWidth="1"/>
    <col min="3326" max="3326" width="44" style="45" customWidth="1"/>
    <col min="3327" max="3327" width="43.140625" style="45" customWidth="1"/>
    <col min="3328" max="3328" width="45" style="45" customWidth="1"/>
    <col min="3329" max="3329" width="35.5703125" style="45" customWidth="1"/>
    <col min="3330" max="3330" width="37.140625" style="45" customWidth="1"/>
    <col min="3331" max="3331" width="76.7109375" style="45" customWidth="1"/>
    <col min="3332" max="3332" width="37.7109375" style="45" customWidth="1"/>
    <col min="3333" max="3333" width="37.85546875" style="45" customWidth="1"/>
    <col min="3334" max="3334" width="39.85546875" style="45" customWidth="1"/>
    <col min="3335" max="3335" width="53.140625" style="45" customWidth="1"/>
    <col min="3336" max="3336" width="35.28515625" style="45" customWidth="1"/>
    <col min="3337" max="3337" width="31" style="45" customWidth="1"/>
    <col min="3338" max="3338" width="29.140625" style="45" customWidth="1"/>
    <col min="3339" max="3339" width="30.140625" style="45" customWidth="1"/>
    <col min="3340" max="3340" width="49.140625" style="45" customWidth="1"/>
    <col min="3341" max="3341" width="31.85546875" style="45" customWidth="1"/>
    <col min="3342" max="3342" width="39.140625" style="45" customWidth="1"/>
    <col min="3343" max="3343" width="53" style="45" bestFit="1" customWidth="1"/>
    <col min="3344" max="3344" width="33.42578125" style="45" bestFit="1" customWidth="1"/>
    <col min="3345" max="3345" width="28.140625" style="45" customWidth="1"/>
    <col min="3346" max="3350" width="6.7109375" style="45" customWidth="1"/>
    <col min="3351" max="3351" width="1.7109375" style="45" customWidth="1"/>
    <col min="3352" max="3575" width="9.140625" style="45"/>
    <col min="3576" max="3576" width="16" style="45" customWidth="1"/>
    <col min="3577" max="3577" width="27.7109375" style="45" customWidth="1"/>
    <col min="3578" max="3578" width="65.7109375" style="45" customWidth="1"/>
    <col min="3579" max="3579" width="21.85546875" style="45" bestFit="1" customWidth="1"/>
    <col min="3580" max="3580" width="30.140625" style="45" customWidth="1"/>
    <col min="3581" max="3581" width="62" style="45" customWidth="1"/>
    <col min="3582" max="3582" width="44" style="45" customWidth="1"/>
    <col min="3583" max="3583" width="43.140625" style="45" customWidth="1"/>
    <col min="3584" max="3584" width="45" style="45" customWidth="1"/>
    <col min="3585" max="3585" width="35.5703125" style="45" customWidth="1"/>
    <col min="3586" max="3586" width="37.140625" style="45" customWidth="1"/>
    <col min="3587" max="3587" width="76.7109375" style="45" customWidth="1"/>
    <col min="3588" max="3588" width="37.7109375" style="45" customWidth="1"/>
    <col min="3589" max="3589" width="37.85546875" style="45" customWidth="1"/>
    <col min="3590" max="3590" width="39.85546875" style="45" customWidth="1"/>
    <col min="3591" max="3591" width="53.140625" style="45" customWidth="1"/>
    <col min="3592" max="3592" width="35.28515625" style="45" customWidth="1"/>
    <col min="3593" max="3593" width="31" style="45" customWidth="1"/>
    <col min="3594" max="3594" width="29.140625" style="45" customWidth="1"/>
    <col min="3595" max="3595" width="30.140625" style="45" customWidth="1"/>
    <col min="3596" max="3596" width="49.140625" style="45" customWidth="1"/>
    <col min="3597" max="3597" width="31.85546875" style="45" customWidth="1"/>
    <col min="3598" max="3598" width="39.140625" style="45" customWidth="1"/>
    <col min="3599" max="3599" width="53" style="45" bestFit="1" customWidth="1"/>
    <col min="3600" max="3600" width="33.42578125" style="45" bestFit="1" customWidth="1"/>
    <col min="3601" max="3601" width="28.140625" style="45" customWidth="1"/>
    <col min="3602" max="3606" width="6.7109375" style="45" customWidth="1"/>
    <col min="3607" max="3607" width="1.7109375" style="45" customWidth="1"/>
    <col min="3608" max="3831" width="9.140625" style="45"/>
    <col min="3832" max="3832" width="16" style="45" customWidth="1"/>
    <col min="3833" max="3833" width="27.7109375" style="45" customWidth="1"/>
    <col min="3834" max="3834" width="65.7109375" style="45" customWidth="1"/>
    <col min="3835" max="3835" width="21.85546875" style="45" bestFit="1" customWidth="1"/>
    <col min="3836" max="3836" width="30.140625" style="45" customWidth="1"/>
    <col min="3837" max="3837" width="62" style="45" customWidth="1"/>
    <col min="3838" max="3838" width="44" style="45" customWidth="1"/>
    <col min="3839" max="3839" width="43.140625" style="45" customWidth="1"/>
    <col min="3840" max="3840" width="45" style="45" customWidth="1"/>
    <col min="3841" max="3841" width="35.5703125" style="45" customWidth="1"/>
    <col min="3842" max="3842" width="37.140625" style="45" customWidth="1"/>
    <col min="3843" max="3843" width="76.7109375" style="45" customWidth="1"/>
    <col min="3844" max="3844" width="37.7109375" style="45" customWidth="1"/>
    <col min="3845" max="3845" width="37.85546875" style="45" customWidth="1"/>
    <col min="3846" max="3846" width="39.85546875" style="45" customWidth="1"/>
    <col min="3847" max="3847" width="53.140625" style="45" customWidth="1"/>
    <col min="3848" max="3848" width="35.28515625" style="45" customWidth="1"/>
    <col min="3849" max="3849" width="31" style="45" customWidth="1"/>
    <col min="3850" max="3850" width="29.140625" style="45" customWidth="1"/>
    <col min="3851" max="3851" width="30.140625" style="45" customWidth="1"/>
    <col min="3852" max="3852" width="49.140625" style="45" customWidth="1"/>
    <col min="3853" max="3853" width="31.85546875" style="45" customWidth="1"/>
    <col min="3854" max="3854" width="39.140625" style="45" customWidth="1"/>
    <col min="3855" max="3855" width="53" style="45" bestFit="1" customWidth="1"/>
    <col min="3856" max="3856" width="33.42578125" style="45" bestFit="1" customWidth="1"/>
    <col min="3857" max="3857" width="28.140625" style="45" customWidth="1"/>
    <col min="3858" max="3862" width="6.7109375" style="45" customWidth="1"/>
    <col min="3863" max="3863" width="1.7109375" style="45" customWidth="1"/>
    <col min="3864" max="4087" width="9.140625" style="45"/>
    <col min="4088" max="4088" width="16" style="45" customWidth="1"/>
    <col min="4089" max="4089" width="27.7109375" style="45" customWidth="1"/>
    <col min="4090" max="4090" width="65.7109375" style="45" customWidth="1"/>
    <col min="4091" max="4091" width="21.85546875" style="45" bestFit="1" customWidth="1"/>
    <col min="4092" max="4092" width="30.140625" style="45" customWidth="1"/>
    <col min="4093" max="4093" width="62" style="45" customWidth="1"/>
    <col min="4094" max="4094" width="44" style="45" customWidth="1"/>
    <col min="4095" max="4095" width="43.140625" style="45" customWidth="1"/>
    <col min="4096" max="4096" width="45" style="45" customWidth="1"/>
    <col min="4097" max="4097" width="35.5703125" style="45" customWidth="1"/>
    <col min="4098" max="4098" width="37.140625" style="45" customWidth="1"/>
    <col min="4099" max="4099" width="76.7109375" style="45" customWidth="1"/>
    <col min="4100" max="4100" width="37.7109375" style="45" customWidth="1"/>
    <col min="4101" max="4101" width="37.85546875" style="45" customWidth="1"/>
    <col min="4102" max="4102" width="39.85546875" style="45" customWidth="1"/>
    <col min="4103" max="4103" width="53.140625" style="45" customWidth="1"/>
    <col min="4104" max="4104" width="35.28515625" style="45" customWidth="1"/>
    <col min="4105" max="4105" width="31" style="45" customWidth="1"/>
    <col min="4106" max="4106" width="29.140625" style="45" customWidth="1"/>
    <col min="4107" max="4107" width="30.140625" style="45" customWidth="1"/>
    <col min="4108" max="4108" width="49.140625" style="45" customWidth="1"/>
    <col min="4109" max="4109" width="31.85546875" style="45" customWidth="1"/>
    <col min="4110" max="4110" width="39.140625" style="45" customWidth="1"/>
    <col min="4111" max="4111" width="53" style="45" bestFit="1" customWidth="1"/>
    <col min="4112" max="4112" width="33.42578125" style="45" bestFit="1" customWidth="1"/>
    <col min="4113" max="4113" width="28.140625" style="45" customWidth="1"/>
    <col min="4114" max="4118" width="6.7109375" style="45" customWidth="1"/>
    <col min="4119" max="4119" width="1.7109375" style="45" customWidth="1"/>
    <col min="4120" max="4343" width="9.140625" style="45"/>
    <col min="4344" max="4344" width="16" style="45" customWidth="1"/>
    <col min="4345" max="4345" width="27.7109375" style="45" customWidth="1"/>
    <col min="4346" max="4346" width="65.7109375" style="45" customWidth="1"/>
    <col min="4347" max="4347" width="21.85546875" style="45" bestFit="1" customWidth="1"/>
    <col min="4348" max="4348" width="30.140625" style="45" customWidth="1"/>
    <col min="4349" max="4349" width="62" style="45" customWidth="1"/>
    <col min="4350" max="4350" width="44" style="45" customWidth="1"/>
    <col min="4351" max="4351" width="43.140625" style="45" customWidth="1"/>
    <col min="4352" max="4352" width="45" style="45" customWidth="1"/>
    <col min="4353" max="4353" width="35.5703125" style="45" customWidth="1"/>
    <col min="4354" max="4354" width="37.140625" style="45" customWidth="1"/>
    <col min="4355" max="4355" width="76.7109375" style="45" customWidth="1"/>
    <col min="4356" max="4356" width="37.7109375" style="45" customWidth="1"/>
    <col min="4357" max="4357" width="37.85546875" style="45" customWidth="1"/>
    <col min="4358" max="4358" width="39.85546875" style="45" customWidth="1"/>
    <col min="4359" max="4359" width="53.140625" style="45" customWidth="1"/>
    <col min="4360" max="4360" width="35.28515625" style="45" customWidth="1"/>
    <col min="4361" max="4361" width="31" style="45" customWidth="1"/>
    <col min="4362" max="4362" width="29.140625" style="45" customWidth="1"/>
    <col min="4363" max="4363" width="30.140625" style="45" customWidth="1"/>
    <col min="4364" max="4364" width="49.140625" style="45" customWidth="1"/>
    <col min="4365" max="4365" width="31.85546875" style="45" customWidth="1"/>
    <col min="4366" max="4366" width="39.140625" style="45" customWidth="1"/>
    <col min="4367" max="4367" width="53" style="45" bestFit="1" customWidth="1"/>
    <col min="4368" max="4368" width="33.42578125" style="45" bestFit="1" customWidth="1"/>
    <col min="4369" max="4369" width="28.140625" style="45" customWidth="1"/>
    <col min="4370" max="4374" width="6.7109375" style="45" customWidth="1"/>
    <col min="4375" max="4375" width="1.7109375" style="45" customWidth="1"/>
    <col min="4376" max="4599" width="9.140625" style="45"/>
    <col min="4600" max="4600" width="16" style="45" customWidth="1"/>
    <col min="4601" max="4601" width="27.7109375" style="45" customWidth="1"/>
    <col min="4602" max="4602" width="65.7109375" style="45" customWidth="1"/>
    <col min="4603" max="4603" width="21.85546875" style="45" bestFit="1" customWidth="1"/>
    <col min="4604" max="4604" width="30.140625" style="45" customWidth="1"/>
    <col min="4605" max="4605" width="62" style="45" customWidth="1"/>
    <col min="4606" max="4606" width="44" style="45" customWidth="1"/>
    <col min="4607" max="4607" width="43.140625" style="45" customWidth="1"/>
    <col min="4608" max="4608" width="45" style="45" customWidth="1"/>
    <col min="4609" max="4609" width="35.5703125" style="45" customWidth="1"/>
    <col min="4610" max="4610" width="37.140625" style="45" customWidth="1"/>
    <col min="4611" max="4611" width="76.7109375" style="45" customWidth="1"/>
    <col min="4612" max="4612" width="37.7109375" style="45" customWidth="1"/>
    <col min="4613" max="4613" width="37.85546875" style="45" customWidth="1"/>
    <col min="4614" max="4614" width="39.85546875" style="45" customWidth="1"/>
    <col min="4615" max="4615" width="53.140625" style="45" customWidth="1"/>
    <col min="4616" max="4616" width="35.28515625" style="45" customWidth="1"/>
    <col min="4617" max="4617" width="31" style="45" customWidth="1"/>
    <col min="4618" max="4618" width="29.140625" style="45" customWidth="1"/>
    <col min="4619" max="4619" width="30.140625" style="45" customWidth="1"/>
    <col min="4620" max="4620" width="49.140625" style="45" customWidth="1"/>
    <col min="4621" max="4621" width="31.85546875" style="45" customWidth="1"/>
    <col min="4622" max="4622" width="39.140625" style="45" customWidth="1"/>
    <col min="4623" max="4623" width="53" style="45" bestFit="1" customWidth="1"/>
    <col min="4624" max="4624" width="33.42578125" style="45" bestFit="1" customWidth="1"/>
    <col min="4625" max="4625" width="28.140625" style="45" customWidth="1"/>
    <col min="4626" max="4630" width="6.7109375" style="45" customWidth="1"/>
    <col min="4631" max="4631" width="1.7109375" style="45" customWidth="1"/>
    <col min="4632" max="4855" width="9.140625" style="45"/>
    <col min="4856" max="4856" width="16" style="45" customWidth="1"/>
    <col min="4857" max="4857" width="27.7109375" style="45" customWidth="1"/>
    <col min="4858" max="4858" width="65.7109375" style="45" customWidth="1"/>
    <col min="4859" max="4859" width="21.85546875" style="45" bestFit="1" customWidth="1"/>
    <col min="4860" max="4860" width="30.140625" style="45" customWidth="1"/>
    <col min="4861" max="4861" width="62" style="45" customWidth="1"/>
    <col min="4862" max="4862" width="44" style="45" customWidth="1"/>
    <col min="4863" max="4863" width="43.140625" style="45" customWidth="1"/>
    <col min="4864" max="4864" width="45" style="45" customWidth="1"/>
    <col min="4865" max="4865" width="35.5703125" style="45" customWidth="1"/>
    <col min="4866" max="4866" width="37.140625" style="45" customWidth="1"/>
    <col min="4867" max="4867" width="76.7109375" style="45" customWidth="1"/>
    <col min="4868" max="4868" width="37.7109375" style="45" customWidth="1"/>
    <col min="4869" max="4869" width="37.85546875" style="45" customWidth="1"/>
    <col min="4870" max="4870" width="39.85546875" style="45" customWidth="1"/>
    <col min="4871" max="4871" width="53.140625" style="45" customWidth="1"/>
    <col min="4872" max="4872" width="35.28515625" style="45" customWidth="1"/>
    <col min="4873" max="4873" width="31" style="45" customWidth="1"/>
    <col min="4874" max="4874" width="29.140625" style="45" customWidth="1"/>
    <col min="4875" max="4875" width="30.140625" style="45" customWidth="1"/>
    <col min="4876" max="4876" width="49.140625" style="45" customWidth="1"/>
    <col min="4877" max="4877" width="31.85546875" style="45" customWidth="1"/>
    <col min="4878" max="4878" width="39.140625" style="45" customWidth="1"/>
    <col min="4879" max="4879" width="53" style="45" bestFit="1" customWidth="1"/>
    <col min="4880" max="4880" width="33.42578125" style="45" bestFit="1" customWidth="1"/>
    <col min="4881" max="4881" width="28.140625" style="45" customWidth="1"/>
    <col min="4882" max="4886" width="6.7109375" style="45" customWidth="1"/>
    <col min="4887" max="4887" width="1.7109375" style="45" customWidth="1"/>
    <col min="4888" max="5111" width="9.140625" style="45"/>
    <col min="5112" max="5112" width="16" style="45" customWidth="1"/>
    <col min="5113" max="5113" width="27.7109375" style="45" customWidth="1"/>
    <col min="5114" max="5114" width="65.7109375" style="45" customWidth="1"/>
    <col min="5115" max="5115" width="21.85546875" style="45" bestFit="1" customWidth="1"/>
    <col min="5116" max="5116" width="30.140625" style="45" customWidth="1"/>
    <col min="5117" max="5117" width="62" style="45" customWidth="1"/>
    <col min="5118" max="5118" width="44" style="45" customWidth="1"/>
    <col min="5119" max="5119" width="43.140625" style="45" customWidth="1"/>
    <col min="5120" max="5120" width="45" style="45" customWidth="1"/>
    <col min="5121" max="5121" width="35.5703125" style="45" customWidth="1"/>
    <col min="5122" max="5122" width="37.140625" style="45" customWidth="1"/>
    <col min="5123" max="5123" width="76.7109375" style="45" customWidth="1"/>
    <col min="5124" max="5124" width="37.7109375" style="45" customWidth="1"/>
    <col min="5125" max="5125" width="37.85546875" style="45" customWidth="1"/>
    <col min="5126" max="5126" width="39.85546875" style="45" customWidth="1"/>
    <col min="5127" max="5127" width="53.140625" style="45" customWidth="1"/>
    <col min="5128" max="5128" width="35.28515625" style="45" customWidth="1"/>
    <col min="5129" max="5129" width="31" style="45" customWidth="1"/>
    <col min="5130" max="5130" width="29.140625" style="45" customWidth="1"/>
    <col min="5131" max="5131" width="30.140625" style="45" customWidth="1"/>
    <col min="5132" max="5132" width="49.140625" style="45" customWidth="1"/>
    <col min="5133" max="5133" width="31.85546875" style="45" customWidth="1"/>
    <col min="5134" max="5134" width="39.140625" style="45" customWidth="1"/>
    <col min="5135" max="5135" width="53" style="45" bestFit="1" customWidth="1"/>
    <col min="5136" max="5136" width="33.42578125" style="45" bestFit="1" customWidth="1"/>
    <col min="5137" max="5137" width="28.140625" style="45" customWidth="1"/>
    <col min="5138" max="5142" width="6.7109375" style="45" customWidth="1"/>
    <col min="5143" max="5143" width="1.7109375" style="45" customWidth="1"/>
    <col min="5144" max="5367" width="9.140625" style="45"/>
    <col min="5368" max="5368" width="16" style="45" customWidth="1"/>
    <col min="5369" max="5369" width="27.7109375" style="45" customWidth="1"/>
    <col min="5370" max="5370" width="65.7109375" style="45" customWidth="1"/>
    <col min="5371" max="5371" width="21.85546875" style="45" bestFit="1" customWidth="1"/>
    <col min="5372" max="5372" width="30.140625" style="45" customWidth="1"/>
    <col min="5373" max="5373" width="62" style="45" customWidth="1"/>
    <col min="5374" max="5374" width="44" style="45" customWidth="1"/>
    <col min="5375" max="5375" width="43.140625" style="45" customWidth="1"/>
    <col min="5376" max="5376" width="45" style="45" customWidth="1"/>
    <col min="5377" max="5377" width="35.5703125" style="45" customWidth="1"/>
    <col min="5378" max="5378" width="37.140625" style="45" customWidth="1"/>
    <col min="5379" max="5379" width="76.7109375" style="45" customWidth="1"/>
    <col min="5380" max="5380" width="37.7109375" style="45" customWidth="1"/>
    <col min="5381" max="5381" width="37.85546875" style="45" customWidth="1"/>
    <col min="5382" max="5382" width="39.85546875" style="45" customWidth="1"/>
    <col min="5383" max="5383" width="53.140625" style="45" customWidth="1"/>
    <col min="5384" max="5384" width="35.28515625" style="45" customWidth="1"/>
    <col min="5385" max="5385" width="31" style="45" customWidth="1"/>
    <col min="5386" max="5386" width="29.140625" style="45" customWidth="1"/>
    <col min="5387" max="5387" width="30.140625" style="45" customWidth="1"/>
    <col min="5388" max="5388" width="49.140625" style="45" customWidth="1"/>
    <col min="5389" max="5389" width="31.85546875" style="45" customWidth="1"/>
    <col min="5390" max="5390" width="39.140625" style="45" customWidth="1"/>
    <col min="5391" max="5391" width="53" style="45" bestFit="1" customWidth="1"/>
    <col min="5392" max="5392" width="33.42578125" style="45" bestFit="1" customWidth="1"/>
    <col min="5393" max="5393" width="28.140625" style="45" customWidth="1"/>
    <col min="5394" max="5398" width="6.7109375" style="45" customWidth="1"/>
    <col min="5399" max="5399" width="1.7109375" style="45" customWidth="1"/>
    <col min="5400" max="5623" width="9.140625" style="45"/>
    <col min="5624" max="5624" width="16" style="45" customWidth="1"/>
    <col min="5625" max="5625" width="27.7109375" style="45" customWidth="1"/>
    <col min="5626" max="5626" width="65.7109375" style="45" customWidth="1"/>
    <col min="5627" max="5627" width="21.85546875" style="45" bestFit="1" customWidth="1"/>
    <col min="5628" max="5628" width="30.140625" style="45" customWidth="1"/>
    <col min="5629" max="5629" width="62" style="45" customWidth="1"/>
    <col min="5630" max="5630" width="44" style="45" customWidth="1"/>
    <col min="5631" max="5631" width="43.140625" style="45" customWidth="1"/>
    <col min="5632" max="5632" width="45" style="45" customWidth="1"/>
    <col min="5633" max="5633" width="35.5703125" style="45" customWidth="1"/>
    <col min="5634" max="5634" width="37.140625" style="45" customWidth="1"/>
    <col min="5635" max="5635" width="76.7109375" style="45" customWidth="1"/>
    <col min="5636" max="5636" width="37.7109375" style="45" customWidth="1"/>
    <col min="5637" max="5637" width="37.85546875" style="45" customWidth="1"/>
    <col min="5638" max="5638" width="39.85546875" style="45" customWidth="1"/>
    <col min="5639" max="5639" width="53.140625" style="45" customWidth="1"/>
    <col min="5640" max="5640" width="35.28515625" style="45" customWidth="1"/>
    <col min="5641" max="5641" width="31" style="45" customWidth="1"/>
    <col min="5642" max="5642" width="29.140625" style="45" customWidth="1"/>
    <col min="5643" max="5643" width="30.140625" style="45" customWidth="1"/>
    <col min="5644" max="5644" width="49.140625" style="45" customWidth="1"/>
    <col min="5645" max="5645" width="31.85546875" style="45" customWidth="1"/>
    <col min="5646" max="5646" width="39.140625" style="45" customWidth="1"/>
    <col min="5647" max="5647" width="53" style="45" bestFit="1" customWidth="1"/>
    <col min="5648" max="5648" width="33.42578125" style="45" bestFit="1" customWidth="1"/>
    <col min="5649" max="5649" width="28.140625" style="45" customWidth="1"/>
    <col min="5650" max="5654" width="6.7109375" style="45" customWidth="1"/>
    <col min="5655" max="5655" width="1.7109375" style="45" customWidth="1"/>
    <col min="5656" max="5879" width="9.140625" style="45"/>
    <col min="5880" max="5880" width="16" style="45" customWidth="1"/>
    <col min="5881" max="5881" width="27.7109375" style="45" customWidth="1"/>
    <col min="5882" max="5882" width="65.7109375" style="45" customWidth="1"/>
    <col min="5883" max="5883" width="21.85546875" style="45" bestFit="1" customWidth="1"/>
    <col min="5884" max="5884" width="30.140625" style="45" customWidth="1"/>
    <col min="5885" max="5885" width="62" style="45" customWidth="1"/>
    <col min="5886" max="5886" width="44" style="45" customWidth="1"/>
    <col min="5887" max="5887" width="43.140625" style="45" customWidth="1"/>
    <col min="5888" max="5888" width="45" style="45" customWidth="1"/>
    <col min="5889" max="5889" width="35.5703125" style="45" customWidth="1"/>
    <col min="5890" max="5890" width="37.140625" style="45" customWidth="1"/>
    <col min="5891" max="5891" width="76.7109375" style="45" customWidth="1"/>
    <col min="5892" max="5892" width="37.7109375" style="45" customWidth="1"/>
    <col min="5893" max="5893" width="37.85546875" style="45" customWidth="1"/>
    <col min="5894" max="5894" width="39.85546875" style="45" customWidth="1"/>
    <col min="5895" max="5895" width="53.140625" style="45" customWidth="1"/>
    <col min="5896" max="5896" width="35.28515625" style="45" customWidth="1"/>
    <col min="5897" max="5897" width="31" style="45" customWidth="1"/>
    <col min="5898" max="5898" width="29.140625" style="45" customWidth="1"/>
    <col min="5899" max="5899" width="30.140625" style="45" customWidth="1"/>
    <col min="5900" max="5900" width="49.140625" style="45" customWidth="1"/>
    <col min="5901" max="5901" width="31.85546875" style="45" customWidth="1"/>
    <col min="5902" max="5902" width="39.140625" style="45" customWidth="1"/>
    <col min="5903" max="5903" width="53" style="45" bestFit="1" customWidth="1"/>
    <col min="5904" max="5904" width="33.42578125" style="45" bestFit="1" customWidth="1"/>
    <col min="5905" max="5905" width="28.140625" style="45" customWidth="1"/>
    <col min="5906" max="5910" width="6.7109375" style="45" customWidth="1"/>
    <col min="5911" max="5911" width="1.7109375" style="45" customWidth="1"/>
    <col min="5912" max="6135" width="9.140625" style="45"/>
    <col min="6136" max="6136" width="16" style="45" customWidth="1"/>
    <col min="6137" max="6137" width="27.7109375" style="45" customWidth="1"/>
    <col min="6138" max="6138" width="65.7109375" style="45" customWidth="1"/>
    <col min="6139" max="6139" width="21.85546875" style="45" bestFit="1" customWidth="1"/>
    <col min="6140" max="6140" width="30.140625" style="45" customWidth="1"/>
    <col min="6141" max="6141" width="62" style="45" customWidth="1"/>
    <col min="6142" max="6142" width="44" style="45" customWidth="1"/>
    <col min="6143" max="6143" width="43.140625" style="45" customWidth="1"/>
    <col min="6144" max="6144" width="45" style="45" customWidth="1"/>
    <col min="6145" max="6145" width="35.5703125" style="45" customWidth="1"/>
    <col min="6146" max="6146" width="37.140625" style="45" customWidth="1"/>
    <col min="6147" max="6147" width="76.7109375" style="45" customWidth="1"/>
    <col min="6148" max="6148" width="37.7109375" style="45" customWidth="1"/>
    <col min="6149" max="6149" width="37.85546875" style="45" customWidth="1"/>
    <col min="6150" max="6150" width="39.85546875" style="45" customWidth="1"/>
    <col min="6151" max="6151" width="53.140625" style="45" customWidth="1"/>
    <col min="6152" max="6152" width="35.28515625" style="45" customWidth="1"/>
    <col min="6153" max="6153" width="31" style="45" customWidth="1"/>
    <col min="6154" max="6154" width="29.140625" style="45" customWidth="1"/>
    <col min="6155" max="6155" width="30.140625" style="45" customWidth="1"/>
    <col min="6156" max="6156" width="49.140625" style="45" customWidth="1"/>
    <col min="6157" max="6157" width="31.85546875" style="45" customWidth="1"/>
    <col min="6158" max="6158" width="39.140625" style="45" customWidth="1"/>
    <col min="6159" max="6159" width="53" style="45" bestFit="1" customWidth="1"/>
    <col min="6160" max="6160" width="33.42578125" style="45" bestFit="1" customWidth="1"/>
    <col min="6161" max="6161" width="28.140625" style="45" customWidth="1"/>
    <col min="6162" max="6166" width="6.7109375" style="45" customWidth="1"/>
    <col min="6167" max="6167" width="1.7109375" style="45" customWidth="1"/>
    <col min="6168" max="6391" width="9.140625" style="45"/>
    <col min="6392" max="6392" width="16" style="45" customWidth="1"/>
    <col min="6393" max="6393" width="27.7109375" style="45" customWidth="1"/>
    <col min="6394" max="6394" width="65.7109375" style="45" customWidth="1"/>
    <col min="6395" max="6395" width="21.85546875" style="45" bestFit="1" customWidth="1"/>
    <col min="6396" max="6396" width="30.140625" style="45" customWidth="1"/>
    <col min="6397" max="6397" width="62" style="45" customWidth="1"/>
    <col min="6398" max="6398" width="44" style="45" customWidth="1"/>
    <col min="6399" max="6399" width="43.140625" style="45" customWidth="1"/>
    <col min="6400" max="6400" width="45" style="45" customWidth="1"/>
    <col min="6401" max="6401" width="35.5703125" style="45" customWidth="1"/>
    <col min="6402" max="6402" width="37.140625" style="45" customWidth="1"/>
    <col min="6403" max="6403" width="76.7109375" style="45" customWidth="1"/>
    <col min="6404" max="6404" width="37.7109375" style="45" customWidth="1"/>
    <col min="6405" max="6405" width="37.85546875" style="45" customWidth="1"/>
    <col min="6406" max="6406" width="39.85546875" style="45" customWidth="1"/>
    <col min="6407" max="6407" width="53.140625" style="45" customWidth="1"/>
    <col min="6408" max="6408" width="35.28515625" style="45" customWidth="1"/>
    <col min="6409" max="6409" width="31" style="45" customWidth="1"/>
    <col min="6410" max="6410" width="29.140625" style="45" customWidth="1"/>
    <col min="6411" max="6411" width="30.140625" style="45" customWidth="1"/>
    <col min="6412" max="6412" width="49.140625" style="45" customWidth="1"/>
    <col min="6413" max="6413" width="31.85546875" style="45" customWidth="1"/>
    <col min="6414" max="6414" width="39.140625" style="45" customWidth="1"/>
    <col min="6415" max="6415" width="53" style="45" bestFit="1" customWidth="1"/>
    <col min="6416" max="6416" width="33.42578125" style="45" bestFit="1" customWidth="1"/>
    <col min="6417" max="6417" width="28.140625" style="45" customWidth="1"/>
    <col min="6418" max="6422" width="6.7109375" style="45" customWidth="1"/>
    <col min="6423" max="6423" width="1.7109375" style="45" customWidth="1"/>
    <col min="6424" max="6647" width="9.140625" style="45"/>
    <col min="6648" max="6648" width="16" style="45" customWidth="1"/>
    <col min="6649" max="6649" width="27.7109375" style="45" customWidth="1"/>
    <col min="6650" max="6650" width="65.7109375" style="45" customWidth="1"/>
    <col min="6651" max="6651" width="21.85546875" style="45" bestFit="1" customWidth="1"/>
    <col min="6652" max="6652" width="30.140625" style="45" customWidth="1"/>
    <col min="6653" max="6653" width="62" style="45" customWidth="1"/>
    <col min="6654" max="6654" width="44" style="45" customWidth="1"/>
    <col min="6655" max="6655" width="43.140625" style="45" customWidth="1"/>
    <col min="6656" max="6656" width="45" style="45" customWidth="1"/>
    <col min="6657" max="6657" width="35.5703125" style="45" customWidth="1"/>
    <col min="6658" max="6658" width="37.140625" style="45" customWidth="1"/>
    <col min="6659" max="6659" width="76.7109375" style="45" customWidth="1"/>
    <col min="6660" max="6660" width="37.7109375" style="45" customWidth="1"/>
    <col min="6661" max="6661" width="37.85546875" style="45" customWidth="1"/>
    <col min="6662" max="6662" width="39.85546875" style="45" customWidth="1"/>
    <col min="6663" max="6663" width="53.140625" style="45" customWidth="1"/>
    <col min="6664" max="6664" width="35.28515625" style="45" customWidth="1"/>
    <col min="6665" max="6665" width="31" style="45" customWidth="1"/>
    <col min="6666" max="6666" width="29.140625" style="45" customWidth="1"/>
    <col min="6667" max="6667" width="30.140625" style="45" customWidth="1"/>
    <col min="6668" max="6668" width="49.140625" style="45" customWidth="1"/>
    <col min="6669" max="6669" width="31.85546875" style="45" customWidth="1"/>
    <col min="6670" max="6670" width="39.140625" style="45" customWidth="1"/>
    <col min="6671" max="6671" width="53" style="45" bestFit="1" customWidth="1"/>
    <col min="6672" max="6672" width="33.42578125" style="45" bestFit="1" customWidth="1"/>
    <col min="6673" max="6673" width="28.140625" style="45" customWidth="1"/>
    <col min="6674" max="6678" width="6.7109375" style="45" customWidth="1"/>
    <col min="6679" max="6679" width="1.7109375" style="45" customWidth="1"/>
    <col min="6680" max="6903" width="9.140625" style="45"/>
    <col min="6904" max="6904" width="16" style="45" customWidth="1"/>
    <col min="6905" max="6905" width="27.7109375" style="45" customWidth="1"/>
    <col min="6906" max="6906" width="65.7109375" style="45" customWidth="1"/>
    <col min="6907" max="6907" width="21.85546875" style="45" bestFit="1" customWidth="1"/>
    <col min="6908" max="6908" width="30.140625" style="45" customWidth="1"/>
    <col min="6909" max="6909" width="62" style="45" customWidth="1"/>
    <col min="6910" max="6910" width="44" style="45" customWidth="1"/>
    <col min="6911" max="6911" width="43.140625" style="45" customWidth="1"/>
    <col min="6912" max="6912" width="45" style="45" customWidth="1"/>
    <col min="6913" max="6913" width="35.5703125" style="45" customWidth="1"/>
    <col min="6914" max="6914" width="37.140625" style="45" customWidth="1"/>
    <col min="6915" max="6915" width="76.7109375" style="45" customWidth="1"/>
    <col min="6916" max="6916" width="37.7109375" style="45" customWidth="1"/>
    <col min="6917" max="6917" width="37.85546875" style="45" customWidth="1"/>
    <col min="6918" max="6918" width="39.85546875" style="45" customWidth="1"/>
    <col min="6919" max="6919" width="53.140625" style="45" customWidth="1"/>
    <col min="6920" max="6920" width="35.28515625" style="45" customWidth="1"/>
    <col min="6921" max="6921" width="31" style="45" customWidth="1"/>
    <col min="6922" max="6922" width="29.140625" style="45" customWidth="1"/>
    <col min="6923" max="6923" width="30.140625" style="45" customWidth="1"/>
    <col min="6924" max="6924" width="49.140625" style="45" customWidth="1"/>
    <col min="6925" max="6925" width="31.85546875" style="45" customWidth="1"/>
    <col min="6926" max="6926" width="39.140625" style="45" customWidth="1"/>
    <col min="6927" max="6927" width="53" style="45" bestFit="1" customWidth="1"/>
    <col min="6928" max="6928" width="33.42578125" style="45" bestFit="1" customWidth="1"/>
    <col min="6929" max="6929" width="28.140625" style="45" customWidth="1"/>
    <col min="6930" max="6934" width="6.7109375" style="45" customWidth="1"/>
    <col min="6935" max="6935" width="1.7109375" style="45" customWidth="1"/>
    <col min="6936" max="7159" width="9.140625" style="45"/>
    <col min="7160" max="7160" width="16" style="45" customWidth="1"/>
    <col min="7161" max="7161" width="27.7109375" style="45" customWidth="1"/>
    <col min="7162" max="7162" width="65.7109375" style="45" customWidth="1"/>
    <col min="7163" max="7163" width="21.85546875" style="45" bestFit="1" customWidth="1"/>
    <col min="7164" max="7164" width="30.140625" style="45" customWidth="1"/>
    <col min="7165" max="7165" width="62" style="45" customWidth="1"/>
    <col min="7166" max="7166" width="44" style="45" customWidth="1"/>
    <col min="7167" max="7167" width="43.140625" style="45" customWidth="1"/>
    <col min="7168" max="7168" width="45" style="45" customWidth="1"/>
    <col min="7169" max="7169" width="35.5703125" style="45" customWidth="1"/>
    <col min="7170" max="7170" width="37.140625" style="45" customWidth="1"/>
    <col min="7171" max="7171" width="76.7109375" style="45" customWidth="1"/>
    <col min="7172" max="7172" width="37.7109375" style="45" customWidth="1"/>
    <col min="7173" max="7173" width="37.85546875" style="45" customWidth="1"/>
    <col min="7174" max="7174" width="39.85546875" style="45" customWidth="1"/>
    <col min="7175" max="7175" width="53.140625" style="45" customWidth="1"/>
    <col min="7176" max="7176" width="35.28515625" style="45" customWidth="1"/>
    <col min="7177" max="7177" width="31" style="45" customWidth="1"/>
    <col min="7178" max="7178" width="29.140625" style="45" customWidth="1"/>
    <col min="7179" max="7179" width="30.140625" style="45" customWidth="1"/>
    <col min="7180" max="7180" width="49.140625" style="45" customWidth="1"/>
    <col min="7181" max="7181" width="31.85546875" style="45" customWidth="1"/>
    <col min="7182" max="7182" width="39.140625" style="45" customWidth="1"/>
    <col min="7183" max="7183" width="53" style="45" bestFit="1" customWidth="1"/>
    <col min="7184" max="7184" width="33.42578125" style="45" bestFit="1" customWidth="1"/>
    <col min="7185" max="7185" width="28.140625" style="45" customWidth="1"/>
    <col min="7186" max="7190" width="6.7109375" style="45" customWidth="1"/>
    <col min="7191" max="7191" width="1.7109375" style="45" customWidth="1"/>
    <col min="7192" max="7415" width="9.140625" style="45"/>
    <col min="7416" max="7416" width="16" style="45" customWidth="1"/>
    <col min="7417" max="7417" width="27.7109375" style="45" customWidth="1"/>
    <col min="7418" max="7418" width="65.7109375" style="45" customWidth="1"/>
    <col min="7419" max="7419" width="21.85546875" style="45" bestFit="1" customWidth="1"/>
    <col min="7420" max="7420" width="30.140625" style="45" customWidth="1"/>
    <col min="7421" max="7421" width="62" style="45" customWidth="1"/>
    <col min="7422" max="7422" width="44" style="45" customWidth="1"/>
    <col min="7423" max="7423" width="43.140625" style="45" customWidth="1"/>
    <col min="7424" max="7424" width="45" style="45" customWidth="1"/>
    <col min="7425" max="7425" width="35.5703125" style="45" customWidth="1"/>
    <col min="7426" max="7426" width="37.140625" style="45" customWidth="1"/>
    <col min="7427" max="7427" width="76.7109375" style="45" customWidth="1"/>
    <col min="7428" max="7428" width="37.7109375" style="45" customWidth="1"/>
    <col min="7429" max="7429" width="37.85546875" style="45" customWidth="1"/>
    <col min="7430" max="7430" width="39.85546875" style="45" customWidth="1"/>
    <col min="7431" max="7431" width="53.140625" style="45" customWidth="1"/>
    <col min="7432" max="7432" width="35.28515625" style="45" customWidth="1"/>
    <col min="7433" max="7433" width="31" style="45" customWidth="1"/>
    <col min="7434" max="7434" width="29.140625" style="45" customWidth="1"/>
    <col min="7435" max="7435" width="30.140625" style="45" customWidth="1"/>
    <col min="7436" max="7436" width="49.140625" style="45" customWidth="1"/>
    <col min="7437" max="7437" width="31.85546875" style="45" customWidth="1"/>
    <col min="7438" max="7438" width="39.140625" style="45" customWidth="1"/>
    <col min="7439" max="7439" width="53" style="45" bestFit="1" customWidth="1"/>
    <col min="7440" max="7440" width="33.42578125" style="45" bestFit="1" customWidth="1"/>
    <col min="7441" max="7441" width="28.140625" style="45" customWidth="1"/>
    <col min="7442" max="7446" width="6.7109375" style="45" customWidth="1"/>
    <col min="7447" max="7447" width="1.7109375" style="45" customWidth="1"/>
    <col min="7448" max="7671" width="9.140625" style="45"/>
    <col min="7672" max="7672" width="16" style="45" customWidth="1"/>
    <col min="7673" max="7673" width="27.7109375" style="45" customWidth="1"/>
    <col min="7674" max="7674" width="65.7109375" style="45" customWidth="1"/>
    <col min="7675" max="7675" width="21.85546875" style="45" bestFit="1" customWidth="1"/>
    <col min="7676" max="7676" width="30.140625" style="45" customWidth="1"/>
    <col min="7677" max="7677" width="62" style="45" customWidth="1"/>
    <col min="7678" max="7678" width="44" style="45" customWidth="1"/>
    <col min="7679" max="7679" width="43.140625" style="45" customWidth="1"/>
    <col min="7680" max="7680" width="45" style="45" customWidth="1"/>
    <col min="7681" max="7681" width="35.5703125" style="45" customWidth="1"/>
    <col min="7682" max="7682" width="37.140625" style="45" customWidth="1"/>
    <col min="7683" max="7683" width="76.7109375" style="45" customWidth="1"/>
    <col min="7684" max="7684" width="37.7109375" style="45" customWidth="1"/>
    <col min="7685" max="7685" width="37.85546875" style="45" customWidth="1"/>
    <col min="7686" max="7686" width="39.85546875" style="45" customWidth="1"/>
    <col min="7687" max="7687" width="53.140625" style="45" customWidth="1"/>
    <col min="7688" max="7688" width="35.28515625" style="45" customWidth="1"/>
    <col min="7689" max="7689" width="31" style="45" customWidth="1"/>
    <col min="7690" max="7690" width="29.140625" style="45" customWidth="1"/>
    <col min="7691" max="7691" width="30.140625" style="45" customWidth="1"/>
    <col min="7692" max="7692" width="49.140625" style="45" customWidth="1"/>
    <col min="7693" max="7693" width="31.85546875" style="45" customWidth="1"/>
    <col min="7694" max="7694" width="39.140625" style="45" customWidth="1"/>
    <col min="7695" max="7695" width="53" style="45" bestFit="1" customWidth="1"/>
    <col min="7696" max="7696" width="33.42578125" style="45" bestFit="1" customWidth="1"/>
    <col min="7697" max="7697" width="28.140625" style="45" customWidth="1"/>
    <col min="7698" max="7702" width="6.7109375" style="45" customWidth="1"/>
    <col min="7703" max="7703" width="1.7109375" style="45" customWidth="1"/>
    <col min="7704" max="7927" width="9.140625" style="45"/>
    <col min="7928" max="7928" width="16" style="45" customWidth="1"/>
    <col min="7929" max="7929" width="27.7109375" style="45" customWidth="1"/>
    <col min="7930" max="7930" width="65.7109375" style="45" customWidth="1"/>
    <col min="7931" max="7931" width="21.85546875" style="45" bestFit="1" customWidth="1"/>
    <col min="7932" max="7932" width="30.140625" style="45" customWidth="1"/>
    <col min="7933" max="7933" width="62" style="45" customWidth="1"/>
    <col min="7934" max="7934" width="44" style="45" customWidth="1"/>
    <col min="7935" max="7935" width="43.140625" style="45" customWidth="1"/>
    <col min="7936" max="7936" width="45" style="45" customWidth="1"/>
    <col min="7937" max="7937" width="35.5703125" style="45" customWidth="1"/>
    <col min="7938" max="7938" width="37.140625" style="45" customWidth="1"/>
    <col min="7939" max="7939" width="76.7109375" style="45" customWidth="1"/>
    <col min="7940" max="7940" width="37.7109375" style="45" customWidth="1"/>
    <col min="7941" max="7941" width="37.85546875" style="45" customWidth="1"/>
    <col min="7942" max="7942" width="39.85546875" style="45" customWidth="1"/>
    <col min="7943" max="7943" width="53.140625" style="45" customWidth="1"/>
    <col min="7944" max="7944" width="35.28515625" style="45" customWidth="1"/>
    <col min="7945" max="7945" width="31" style="45" customWidth="1"/>
    <col min="7946" max="7946" width="29.140625" style="45" customWidth="1"/>
    <col min="7947" max="7947" width="30.140625" style="45" customWidth="1"/>
    <col min="7948" max="7948" width="49.140625" style="45" customWidth="1"/>
    <col min="7949" max="7949" width="31.85546875" style="45" customWidth="1"/>
    <col min="7950" max="7950" width="39.140625" style="45" customWidth="1"/>
    <col min="7951" max="7951" width="53" style="45" bestFit="1" customWidth="1"/>
    <col min="7952" max="7952" width="33.42578125" style="45" bestFit="1" customWidth="1"/>
    <col min="7953" max="7953" width="28.140625" style="45" customWidth="1"/>
    <col min="7954" max="7958" width="6.7109375" style="45" customWidth="1"/>
    <col min="7959" max="7959" width="1.7109375" style="45" customWidth="1"/>
    <col min="7960" max="8183" width="9.140625" style="45"/>
    <col min="8184" max="8184" width="16" style="45" customWidth="1"/>
    <col min="8185" max="8185" width="27.7109375" style="45" customWidth="1"/>
    <col min="8186" max="8186" width="65.7109375" style="45" customWidth="1"/>
    <col min="8187" max="8187" width="21.85546875" style="45" bestFit="1" customWidth="1"/>
    <col min="8188" max="8188" width="30.140625" style="45" customWidth="1"/>
    <col min="8189" max="8189" width="62" style="45" customWidth="1"/>
    <col min="8190" max="8190" width="44" style="45" customWidth="1"/>
    <col min="8191" max="8191" width="43.140625" style="45" customWidth="1"/>
    <col min="8192" max="8192" width="45" style="45" customWidth="1"/>
    <col min="8193" max="8193" width="35.5703125" style="45" customWidth="1"/>
    <col min="8194" max="8194" width="37.140625" style="45" customWidth="1"/>
    <col min="8195" max="8195" width="76.7109375" style="45" customWidth="1"/>
    <col min="8196" max="8196" width="37.7109375" style="45" customWidth="1"/>
    <col min="8197" max="8197" width="37.85546875" style="45" customWidth="1"/>
    <col min="8198" max="8198" width="39.85546875" style="45" customWidth="1"/>
    <col min="8199" max="8199" width="53.140625" style="45" customWidth="1"/>
    <col min="8200" max="8200" width="35.28515625" style="45" customWidth="1"/>
    <col min="8201" max="8201" width="31" style="45" customWidth="1"/>
    <col min="8202" max="8202" width="29.140625" style="45" customWidth="1"/>
    <col min="8203" max="8203" width="30.140625" style="45" customWidth="1"/>
    <col min="8204" max="8204" width="49.140625" style="45" customWidth="1"/>
    <col min="8205" max="8205" width="31.85546875" style="45" customWidth="1"/>
    <col min="8206" max="8206" width="39.140625" style="45" customWidth="1"/>
    <col min="8207" max="8207" width="53" style="45" bestFit="1" customWidth="1"/>
    <col min="8208" max="8208" width="33.42578125" style="45" bestFit="1" customWidth="1"/>
    <col min="8209" max="8209" width="28.140625" style="45" customWidth="1"/>
    <col min="8210" max="8214" width="6.7109375" style="45" customWidth="1"/>
    <col min="8215" max="8215" width="1.7109375" style="45" customWidth="1"/>
    <col min="8216" max="8439" width="9.140625" style="45"/>
    <col min="8440" max="8440" width="16" style="45" customWidth="1"/>
    <col min="8441" max="8441" width="27.7109375" style="45" customWidth="1"/>
    <col min="8442" max="8442" width="65.7109375" style="45" customWidth="1"/>
    <col min="8443" max="8443" width="21.85546875" style="45" bestFit="1" customWidth="1"/>
    <col min="8444" max="8444" width="30.140625" style="45" customWidth="1"/>
    <col min="8445" max="8445" width="62" style="45" customWidth="1"/>
    <col min="8446" max="8446" width="44" style="45" customWidth="1"/>
    <col min="8447" max="8447" width="43.140625" style="45" customWidth="1"/>
    <col min="8448" max="8448" width="45" style="45" customWidth="1"/>
    <col min="8449" max="8449" width="35.5703125" style="45" customWidth="1"/>
    <col min="8450" max="8450" width="37.140625" style="45" customWidth="1"/>
    <col min="8451" max="8451" width="76.7109375" style="45" customWidth="1"/>
    <col min="8452" max="8452" width="37.7109375" style="45" customWidth="1"/>
    <col min="8453" max="8453" width="37.85546875" style="45" customWidth="1"/>
    <col min="8454" max="8454" width="39.85546875" style="45" customWidth="1"/>
    <col min="8455" max="8455" width="53.140625" style="45" customWidth="1"/>
    <col min="8456" max="8456" width="35.28515625" style="45" customWidth="1"/>
    <col min="8457" max="8457" width="31" style="45" customWidth="1"/>
    <col min="8458" max="8458" width="29.140625" style="45" customWidth="1"/>
    <col min="8459" max="8459" width="30.140625" style="45" customWidth="1"/>
    <col min="8460" max="8460" width="49.140625" style="45" customWidth="1"/>
    <col min="8461" max="8461" width="31.85546875" style="45" customWidth="1"/>
    <col min="8462" max="8462" width="39.140625" style="45" customWidth="1"/>
    <col min="8463" max="8463" width="53" style="45" bestFit="1" customWidth="1"/>
    <col min="8464" max="8464" width="33.42578125" style="45" bestFit="1" customWidth="1"/>
    <col min="8465" max="8465" width="28.140625" style="45" customWidth="1"/>
    <col min="8466" max="8470" width="6.7109375" style="45" customWidth="1"/>
    <col min="8471" max="8471" width="1.7109375" style="45" customWidth="1"/>
    <col min="8472" max="8695" width="9.140625" style="45"/>
    <col min="8696" max="8696" width="16" style="45" customWidth="1"/>
    <col min="8697" max="8697" width="27.7109375" style="45" customWidth="1"/>
    <col min="8698" max="8698" width="65.7109375" style="45" customWidth="1"/>
    <col min="8699" max="8699" width="21.85546875" style="45" bestFit="1" customWidth="1"/>
    <col min="8700" max="8700" width="30.140625" style="45" customWidth="1"/>
    <col min="8701" max="8701" width="62" style="45" customWidth="1"/>
    <col min="8702" max="8702" width="44" style="45" customWidth="1"/>
    <col min="8703" max="8703" width="43.140625" style="45" customWidth="1"/>
    <col min="8704" max="8704" width="45" style="45" customWidth="1"/>
    <col min="8705" max="8705" width="35.5703125" style="45" customWidth="1"/>
    <col min="8706" max="8706" width="37.140625" style="45" customWidth="1"/>
    <col min="8707" max="8707" width="76.7109375" style="45" customWidth="1"/>
    <col min="8708" max="8708" width="37.7109375" style="45" customWidth="1"/>
    <col min="8709" max="8709" width="37.85546875" style="45" customWidth="1"/>
    <col min="8710" max="8710" width="39.85546875" style="45" customWidth="1"/>
    <col min="8711" max="8711" width="53.140625" style="45" customWidth="1"/>
    <col min="8712" max="8712" width="35.28515625" style="45" customWidth="1"/>
    <col min="8713" max="8713" width="31" style="45" customWidth="1"/>
    <col min="8714" max="8714" width="29.140625" style="45" customWidth="1"/>
    <col min="8715" max="8715" width="30.140625" style="45" customWidth="1"/>
    <col min="8716" max="8716" width="49.140625" style="45" customWidth="1"/>
    <col min="8717" max="8717" width="31.85546875" style="45" customWidth="1"/>
    <col min="8718" max="8718" width="39.140625" style="45" customWidth="1"/>
    <col min="8719" max="8719" width="53" style="45" bestFit="1" customWidth="1"/>
    <col min="8720" max="8720" width="33.42578125" style="45" bestFit="1" customWidth="1"/>
    <col min="8721" max="8721" width="28.140625" style="45" customWidth="1"/>
    <col min="8722" max="8726" width="6.7109375" style="45" customWidth="1"/>
    <col min="8727" max="8727" width="1.7109375" style="45" customWidth="1"/>
    <col min="8728" max="8951" width="9.140625" style="45"/>
    <col min="8952" max="8952" width="16" style="45" customWidth="1"/>
    <col min="8953" max="8953" width="27.7109375" style="45" customWidth="1"/>
    <col min="8954" max="8954" width="65.7109375" style="45" customWidth="1"/>
    <col min="8955" max="8955" width="21.85546875" style="45" bestFit="1" customWidth="1"/>
    <col min="8956" max="8956" width="30.140625" style="45" customWidth="1"/>
    <col min="8957" max="8957" width="62" style="45" customWidth="1"/>
    <col min="8958" max="8958" width="44" style="45" customWidth="1"/>
    <col min="8959" max="8959" width="43.140625" style="45" customWidth="1"/>
    <col min="8960" max="8960" width="45" style="45" customWidth="1"/>
    <col min="8961" max="8961" width="35.5703125" style="45" customWidth="1"/>
    <col min="8962" max="8962" width="37.140625" style="45" customWidth="1"/>
    <col min="8963" max="8963" width="76.7109375" style="45" customWidth="1"/>
    <col min="8964" max="8964" width="37.7109375" style="45" customWidth="1"/>
    <col min="8965" max="8965" width="37.85546875" style="45" customWidth="1"/>
    <col min="8966" max="8966" width="39.85546875" style="45" customWidth="1"/>
    <col min="8967" max="8967" width="53.140625" style="45" customWidth="1"/>
    <col min="8968" max="8968" width="35.28515625" style="45" customWidth="1"/>
    <col min="8969" max="8969" width="31" style="45" customWidth="1"/>
    <col min="8970" max="8970" width="29.140625" style="45" customWidth="1"/>
    <col min="8971" max="8971" width="30.140625" style="45" customWidth="1"/>
    <col min="8972" max="8972" width="49.140625" style="45" customWidth="1"/>
    <col min="8973" max="8973" width="31.85546875" style="45" customWidth="1"/>
    <col min="8974" max="8974" width="39.140625" style="45" customWidth="1"/>
    <col min="8975" max="8975" width="53" style="45" bestFit="1" customWidth="1"/>
    <col min="8976" max="8976" width="33.42578125" style="45" bestFit="1" customWidth="1"/>
    <col min="8977" max="8977" width="28.140625" style="45" customWidth="1"/>
    <col min="8978" max="8982" width="6.7109375" style="45" customWidth="1"/>
    <col min="8983" max="8983" width="1.7109375" style="45" customWidth="1"/>
    <col min="8984" max="9207" width="9.140625" style="45"/>
    <col min="9208" max="9208" width="16" style="45" customWidth="1"/>
    <col min="9209" max="9209" width="27.7109375" style="45" customWidth="1"/>
    <col min="9210" max="9210" width="65.7109375" style="45" customWidth="1"/>
    <col min="9211" max="9211" width="21.85546875" style="45" bestFit="1" customWidth="1"/>
    <col min="9212" max="9212" width="30.140625" style="45" customWidth="1"/>
    <col min="9213" max="9213" width="62" style="45" customWidth="1"/>
    <col min="9214" max="9214" width="44" style="45" customWidth="1"/>
    <col min="9215" max="9215" width="43.140625" style="45" customWidth="1"/>
    <col min="9216" max="9216" width="45" style="45" customWidth="1"/>
    <col min="9217" max="9217" width="35.5703125" style="45" customWidth="1"/>
    <col min="9218" max="9218" width="37.140625" style="45" customWidth="1"/>
    <col min="9219" max="9219" width="76.7109375" style="45" customWidth="1"/>
    <col min="9220" max="9220" width="37.7109375" style="45" customWidth="1"/>
    <col min="9221" max="9221" width="37.85546875" style="45" customWidth="1"/>
    <col min="9222" max="9222" width="39.85546875" style="45" customWidth="1"/>
    <col min="9223" max="9223" width="53.140625" style="45" customWidth="1"/>
    <col min="9224" max="9224" width="35.28515625" style="45" customWidth="1"/>
    <col min="9225" max="9225" width="31" style="45" customWidth="1"/>
    <col min="9226" max="9226" width="29.140625" style="45" customWidth="1"/>
    <col min="9227" max="9227" width="30.140625" style="45" customWidth="1"/>
    <col min="9228" max="9228" width="49.140625" style="45" customWidth="1"/>
    <col min="9229" max="9229" width="31.85546875" style="45" customWidth="1"/>
    <col min="9230" max="9230" width="39.140625" style="45" customWidth="1"/>
    <col min="9231" max="9231" width="53" style="45" bestFit="1" customWidth="1"/>
    <col min="9232" max="9232" width="33.42578125" style="45" bestFit="1" customWidth="1"/>
    <col min="9233" max="9233" width="28.140625" style="45" customWidth="1"/>
    <col min="9234" max="9238" width="6.7109375" style="45" customWidth="1"/>
    <col min="9239" max="9239" width="1.7109375" style="45" customWidth="1"/>
    <col min="9240" max="9463" width="9.140625" style="45"/>
    <col min="9464" max="9464" width="16" style="45" customWidth="1"/>
    <col min="9465" max="9465" width="27.7109375" style="45" customWidth="1"/>
    <col min="9466" max="9466" width="65.7109375" style="45" customWidth="1"/>
    <col min="9467" max="9467" width="21.85546875" style="45" bestFit="1" customWidth="1"/>
    <col min="9468" max="9468" width="30.140625" style="45" customWidth="1"/>
    <col min="9469" max="9469" width="62" style="45" customWidth="1"/>
    <col min="9470" max="9470" width="44" style="45" customWidth="1"/>
    <col min="9471" max="9471" width="43.140625" style="45" customWidth="1"/>
    <col min="9472" max="9472" width="45" style="45" customWidth="1"/>
    <col min="9473" max="9473" width="35.5703125" style="45" customWidth="1"/>
    <col min="9474" max="9474" width="37.140625" style="45" customWidth="1"/>
    <col min="9475" max="9475" width="76.7109375" style="45" customWidth="1"/>
    <col min="9476" max="9476" width="37.7109375" style="45" customWidth="1"/>
    <col min="9477" max="9477" width="37.85546875" style="45" customWidth="1"/>
    <col min="9478" max="9478" width="39.85546875" style="45" customWidth="1"/>
    <col min="9479" max="9479" width="53.140625" style="45" customWidth="1"/>
    <col min="9480" max="9480" width="35.28515625" style="45" customWidth="1"/>
    <col min="9481" max="9481" width="31" style="45" customWidth="1"/>
    <col min="9482" max="9482" width="29.140625" style="45" customWidth="1"/>
    <col min="9483" max="9483" width="30.140625" style="45" customWidth="1"/>
    <col min="9484" max="9484" width="49.140625" style="45" customWidth="1"/>
    <col min="9485" max="9485" width="31.85546875" style="45" customWidth="1"/>
    <col min="9486" max="9486" width="39.140625" style="45" customWidth="1"/>
    <col min="9487" max="9487" width="53" style="45" bestFit="1" customWidth="1"/>
    <col min="9488" max="9488" width="33.42578125" style="45" bestFit="1" customWidth="1"/>
    <col min="9489" max="9489" width="28.140625" style="45" customWidth="1"/>
    <col min="9490" max="9494" width="6.7109375" style="45" customWidth="1"/>
    <col min="9495" max="9495" width="1.7109375" style="45" customWidth="1"/>
    <col min="9496" max="9719" width="9.140625" style="45"/>
    <col min="9720" max="9720" width="16" style="45" customWidth="1"/>
    <col min="9721" max="9721" width="27.7109375" style="45" customWidth="1"/>
    <col min="9722" max="9722" width="65.7109375" style="45" customWidth="1"/>
    <col min="9723" max="9723" width="21.85546875" style="45" bestFit="1" customWidth="1"/>
    <col min="9724" max="9724" width="30.140625" style="45" customWidth="1"/>
    <col min="9725" max="9725" width="62" style="45" customWidth="1"/>
    <col min="9726" max="9726" width="44" style="45" customWidth="1"/>
    <col min="9727" max="9727" width="43.140625" style="45" customWidth="1"/>
    <col min="9728" max="9728" width="45" style="45" customWidth="1"/>
    <col min="9729" max="9729" width="35.5703125" style="45" customWidth="1"/>
    <col min="9730" max="9730" width="37.140625" style="45" customWidth="1"/>
    <col min="9731" max="9731" width="76.7109375" style="45" customWidth="1"/>
    <col min="9732" max="9732" width="37.7109375" style="45" customWidth="1"/>
    <col min="9733" max="9733" width="37.85546875" style="45" customWidth="1"/>
    <col min="9734" max="9734" width="39.85546875" style="45" customWidth="1"/>
    <col min="9735" max="9735" width="53.140625" style="45" customWidth="1"/>
    <col min="9736" max="9736" width="35.28515625" style="45" customWidth="1"/>
    <col min="9737" max="9737" width="31" style="45" customWidth="1"/>
    <col min="9738" max="9738" width="29.140625" style="45" customWidth="1"/>
    <col min="9739" max="9739" width="30.140625" style="45" customWidth="1"/>
    <col min="9740" max="9740" width="49.140625" style="45" customWidth="1"/>
    <col min="9741" max="9741" width="31.85546875" style="45" customWidth="1"/>
    <col min="9742" max="9742" width="39.140625" style="45" customWidth="1"/>
    <col min="9743" max="9743" width="53" style="45" bestFit="1" customWidth="1"/>
    <col min="9744" max="9744" width="33.42578125" style="45" bestFit="1" customWidth="1"/>
    <col min="9745" max="9745" width="28.140625" style="45" customWidth="1"/>
    <col min="9746" max="9750" width="6.7109375" style="45" customWidth="1"/>
    <col min="9751" max="9751" width="1.7109375" style="45" customWidth="1"/>
    <col min="9752" max="9975" width="9.140625" style="45"/>
    <col min="9976" max="9976" width="16" style="45" customWidth="1"/>
    <col min="9977" max="9977" width="27.7109375" style="45" customWidth="1"/>
    <col min="9978" max="9978" width="65.7109375" style="45" customWidth="1"/>
    <col min="9979" max="9979" width="21.85546875" style="45" bestFit="1" customWidth="1"/>
    <col min="9980" max="9980" width="30.140625" style="45" customWidth="1"/>
    <col min="9981" max="9981" width="62" style="45" customWidth="1"/>
    <col min="9982" max="9982" width="44" style="45" customWidth="1"/>
    <col min="9983" max="9983" width="43.140625" style="45" customWidth="1"/>
    <col min="9984" max="9984" width="45" style="45" customWidth="1"/>
    <col min="9985" max="9985" width="35.5703125" style="45" customWidth="1"/>
    <col min="9986" max="9986" width="37.140625" style="45" customWidth="1"/>
    <col min="9987" max="9987" width="76.7109375" style="45" customWidth="1"/>
    <col min="9988" max="9988" width="37.7109375" style="45" customWidth="1"/>
    <col min="9989" max="9989" width="37.85546875" style="45" customWidth="1"/>
    <col min="9990" max="9990" width="39.85546875" style="45" customWidth="1"/>
    <col min="9991" max="9991" width="53.140625" style="45" customWidth="1"/>
    <col min="9992" max="9992" width="35.28515625" style="45" customWidth="1"/>
    <col min="9993" max="9993" width="31" style="45" customWidth="1"/>
    <col min="9994" max="9994" width="29.140625" style="45" customWidth="1"/>
    <col min="9995" max="9995" width="30.140625" style="45" customWidth="1"/>
    <col min="9996" max="9996" width="49.140625" style="45" customWidth="1"/>
    <col min="9997" max="9997" width="31.85546875" style="45" customWidth="1"/>
    <col min="9998" max="9998" width="39.140625" style="45" customWidth="1"/>
    <col min="9999" max="9999" width="53" style="45" bestFit="1" customWidth="1"/>
    <col min="10000" max="10000" width="33.42578125" style="45" bestFit="1" customWidth="1"/>
    <col min="10001" max="10001" width="28.140625" style="45" customWidth="1"/>
    <col min="10002" max="10006" width="6.7109375" style="45" customWidth="1"/>
    <col min="10007" max="10007" width="1.7109375" style="45" customWidth="1"/>
    <col min="10008" max="10231" width="9.140625" style="45"/>
    <col min="10232" max="10232" width="16" style="45" customWidth="1"/>
    <col min="10233" max="10233" width="27.7109375" style="45" customWidth="1"/>
    <col min="10234" max="10234" width="65.7109375" style="45" customWidth="1"/>
    <col min="10235" max="10235" width="21.85546875" style="45" bestFit="1" customWidth="1"/>
    <col min="10236" max="10236" width="30.140625" style="45" customWidth="1"/>
    <col min="10237" max="10237" width="62" style="45" customWidth="1"/>
    <col min="10238" max="10238" width="44" style="45" customWidth="1"/>
    <col min="10239" max="10239" width="43.140625" style="45" customWidth="1"/>
    <col min="10240" max="10240" width="45" style="45" customWidth="1"/>
    <col min="10241" max="10241" width="35.5703125" style="45" customWidth="1"/>
    <col min="10242" max="10242" width="37.140625" style="45" customWidth="1"/>
    <col min="10243" max="10243" width="76.7109375" style="45" customWidth="1"/>
    <col min="10244" max="10244" width="37.7109375" style="45" customWidth="1"/>
    <col min="10245" max="10245" width="37.85546875" style="45" customWidth="1"/>
    <col min="10246" max="10246" width="39.85546875" style="45" customWidth="1"/>
    <col min="10247" max="10247" width="53.140625" style="45" customWidth="1"/>
    <col min="10248" max="10248" width="35.28515625" style="45" customWidth="1"/>
    <col min="10249" max="10249" width="31" style="45" customWidth="1"/>
    <col min="10250" max="10250" width="29.140625" style="45" customWidth="1"/>
    <col min="10251" max="10251" width="30.140625" style="45" customWidth="1"/>
    <col min="10252" max="10252" width="49.140625" style="45" customWidth="1"/>
    <col min="10253" max="10253" width="31.85546875" style="45" customWidth="1"/>
    <col min="10254" max="10254" width="39.140625" style="45" customWidth="1"/>
    <col min="10255" max="10255" width="53" style="45" bestFit="1" customWidth="1"/>
    <col min="10256" max="10256" width="33.42578125" style="45" bestFit="1" customWidth="1"/>
    <col min="10257" max="10257" width="28.140625" style="45" customWidth="1"/>
    <col min="10258" max="10262" width="6.7109375" style="45" customWidth="1"/>
    <col min="10263" max="10263" width="1.7109375" style="45" customWidth="1"/>
    <col min="10264" max="10487" width="9.140625" style="45"/>
    <col min="10488" max="10488" width="16" style="45" customWidth="1"/>
    <col min="10489" max="10489" width="27.7109375" style="45" customWidth="1"/>
    <col min="10490" max="10490" width="65.7109375" style="45" customWidth="1"/>
    <col min="10491" max="10491" width="21.85546875" style="45" bestFit="1" customWidth="1"/>
    <col min="10492" max="10492" width="30.140625" style="45" customWidth="1"/>
    <col min="10493" max="10493" width="62" style="45" customWidth="1"/>
    <col min="10494" max="10494" width="44" style="45" customWidth="1"/>
    <col min="10495" max="10495" width="43.140625" style="45" customWidth="1"/>
    <col min="10496" max="10496" width="45" style="45" customWidth="1"/>
    <col min="10497" max="10497" width="35.5703125" style="45" customWidth="1"/>
    <col min="10498" max="10498" width="37.140625" style="45" customWidth="1"/>
    <col min="10499" max="10499" width="76.7109375" style="45" customWidth="1"/>
    <col min="10500" max="10500" width="37.7109375" style="45" customWidth="1"/>
    <col min="10501" max="10501" width="37.85546875" style="45" customWidth="1"/>
    <col min="10502" max="10502" width="39.85546875" style="45" customWidth="1"/>
    <col min="10503" max="10503" width="53.140625" style="45" customWidth="1"/>
    <col min="10504" max="10504" width="35.28515625" style="45" customWidth="1"/>
    <col min="10505" max="10505" width="31" style="45" customWidth="1"/>
    <col min="10506" max="10506" width="29.140625" style="45" customWidth="1"/>
    <col min="10507" max="10507" width="30.140625" style="45" customWidth="1"/>
    <col min="10508" max="10508" width="49.140625" style="45" customWidth="1"/>
    <col min="10509" max="10509" width="31.85546875" style="45" customWidth="1"/>
    <col min="10510" max="10510" width="39.140625" style="45" customWidth="1"/>
    <col min="10511" max="10511" width="53" style="45" bestFit="1" customWidth="1"/>
    <col min="10512" max="10512" width="33.42578125" style="45" bestFit="1" customWidth="1"/>
    <col min="10513" max="10513" width="28.140625" style="45" customWidth="1"/>
    <col min="10514" max="10518" width="6.7109375" style="45" customWidth="1"/>
    <col min="10519" max="10519" width="1.7109375" style="45" customWidth="1"/>
    <col min="10520" max="10743" width="9.140625" style="45"/>
    <col min="10744" max="10744" width="16" style="45" customWidth="1"/>
    <col min="10745" max="10745" width="27.7109375" style="45" customWidth="1"/>
    <col min="10746" max="10746" width="65.7109375" style="45" customWidth="1"/>
    <col min="10747" max="10747" width="21.85546875" style="45" bestFit="1" customWidth="1"/>
    <col min="10748" max="10748" width="30.140625" style="45" customWidth="1"/>
    <col min="10749" max="10749" width="62" style="45" customWidth="1"/>
    <col min="10750" max="10750" width="44" style="45" customWidth="1"/>
    <col min="10751" max="10751" width="43.140625" style="45" customWidth="1"/>
    <col min="10752" max="10752" width="45" style="45" customWidth="1"/>
    <col min="10753" max="10753" width="35.5703125" style="45" customWidth="1"/>
    <col min="10754" max="10754" width="37.140625" style="45" customWidth="1"/>
    <col min="10755" max="10755" width="76.7109375" style="45" customWidth="1"/>
    <col min="10756" max="10756" width="37.7109375" style="45" customWidth="1"/>
    <col min="10757" max="10757" width="37.85546875" style="45" customWidth="1"/>
    <col min="10758" max="10758" width="39.85546875" style="45" customWidth="1"/>
    <col min="10759" max="10759" width="53.140625" style="45" customWidth="1"/>
    <col min="10760" max="10760" width="35.28515625" style="45" customWidth="1"/>
    <col min="10761" max="10761" width="31" style="45" customWidth="1"/>
    <col min="10762" max="10762" width="29.140625" style="45" customWidth="1"/>
    <col min="10763" max="10763" width="30.140625" style="45" customWidth="1"/>
    <col min="10764" max="10764" width="49.140625" style="45" customWidth="1"/>
    <col min="10765" max="10765" width="31.85546875" style="45" customWidth="1"/>
    <col min="10766" max="10766" width="39.140625" style="45" customWidth="1"/>
    <col min="10767" max="10767" width="53" style="45" bestFit="1" customWidth="1"/>
    <col min="10768" max="10768" width="33.42578125" style="45" bestFit="1" customWidth="1"/>
    <col min="10769" max="10769" width="28.140625" style="45" customWidth="1"/>
    <col min="10770" max="10774" width="6.7109375" style="45" customWidth="1"/>
    <col min="10775" max="10775" width="1.7109375" style="45" customWidth="1"/>
    <col min="10776" max="10999" width="9.140625" style="45"/>
    <col min="11000" max="11000" width="16" style="45" customWidth="1"/>
    <col min="11001" max="11001" width="27.7109375" style="45" customWidth="1"/>
    <col min="11002" max="11002" width="65.7109375" style="45" customWidth="1"/>
    <col min="11003" max="11003" width="21.85546875" style="45" bestFit="1" customWidth="1"/>
    <col min="11004" max="11004" width="30.140625" style="45" customWidth="1"/>
    <col min="11005" max="11005" width="62" style="45" customWidth="1"/>
    <col min="11006" max="11006" width="44" style="45" customWidth="1"/>
    <col min="11007" max="11007" width="43.140625" style="45" customWidth="1"/>
    <col min="11008" max="11008" width="45" style="45" customWidth="1"/>
    <col min="11009" max="11009" width="35.5703125" style="45" customWidth="1"/>
    <col min="11010" max="11010" width="37.140625" style="45" customWidth="1"/>
    <col min="11011" max="11011" width="76.7109375" style="45" customWidth="1"/>
    <col min="11012" max="11012" width="37.7109375" style="45" customWidth="1"/>
    <col min="11013" max="11013" width="37.85546875" style="45" customWidth="1"/>
    <col min="11014" max="11014" width="39.85546875" style="45" customWidth="1"/>
    <col min="11015" max="11015" width="53.140625" style="45" customWidth="1"/>
    <col min="11016" max="11016" width="35.28515625" style="45" customWidth="1"/>
    <col min="11017" max="11017" width="31" style="45" customWidth="1"/>
    <col min="11018" max="11018" width="29.140625" style="45" customWidth="1"/>
    <col min="11019" max="11019" width="30.140625" style="45" customWidth="1"/>
    <col min="11020" max="11020" width="49.140625" style="45" customWidth="1"/>
    <col min="11021" max="11021" width="31.85546875" style="45" customWidth="1"/>
    <col min="11022" max="11022" width="39.140625" style="45" customWidth="1"/>
    <col min="11023" max="11023" width="53" style="45" bestFit="1" customWidth="1"/>
    <col min="11024" max="11024" width="33.42578125" style="45" bestFit="1" customWidth="1"/>
    <col min="11025" max="11025" width="28.140625" style="45" customWidth="1"/>
    <col min="11026" max="11030" width="6.7109375" style="45" customWidth="1"/>
    <col min="11031" max="11031" width="1.7109375" style="45" customWidth="1"/>
    <col min="11032" max="11255" width="9.140625" style="45"/>
    <col min="11256" max="11256" width="16" style="45" customWidth="1"/>
    <col min="11257" max="11257" width="27.7109375" style="45" customWidth="1"/>
    <col min="11258" max="11258" width="65.7109375" style="45" customWidth="1"/>
    <col min="11259" max="11259" width="21.85546875" style="45" bestFit="1" customWidth="1"/>
    <col min="11260" max="11260" width="30.140625" style="45" customWidth="1"/>
    <col min="11261" max="11261" width="62" style="45" customWidth="1"/>
    <col min="11262" max="11262" width="44" style="45" customWidth="1"/>
    <col min="11263" max="11263" width="43.140625" style="45" customWidth="1"/>
    <col min="11264" max="11264" width="45" style="45" customWidth="1"/>
    <col min="11265" max="11265" width="35.5703125" style="45" customWidth="1"/>
    <col min="11266" max="11266" width="37.140625" style="45" customWidth="1"/>
    <col min="11267" max="11267" width="76.7109375" style="45" customWidth="1"/>
    <col min="11268" max="11268" width="37.7109375" style="45" customWidth="1"/>
    <col min="11269" max="11269" width="37.85546875" style="45" customWidth="1"/>
    <col min="11270" max="11270" width="39.85546875" style="45" customWidth="1"/>
    <col min="11271" max="11271" width="53.140625" style="45" customWidth="1"/>
    <col min="11272" max="11272" width="35.28515625" style="45" customWidth="1"/>
    <col min="11273" max="11273" width="31" style="45" customWidth="1"/>
    <col min="11274" max="11274" width="29.140625" style="45" customWidth="1"/>
    <col min="11275" max="11275" width="30.140625" style="45" customWidth="1"/>
    <col min="11276" max="11276" width="49.140625" style="45" customWidth="1"/>
    <col min="11277" max="11277" width="31.85546875" style="45" customWidth="1"/>
    <col min="11278" max="11278" width="39.140625" style="45" customWidth="1"/>
    <col min="11279" max="11279" width="53" style="45" bestFit="1" customWidth="1"/>
    <col min="11280" max="11280" width="33.42578125" style="45" bestFit="1" customWidth="1"/>
    <col min="11281" max="11281" width="28.140625" style="45" customWidth="1"/>
    <col min="11282" max="11286" width="6.7109375" style="45" customWidth="1"/>
    <col min="11287" max="11287" width="1.7109375" style="45" customWidth="1"/>
    <col min="11288" max="11511" width="9.140625" style="45"/>
    <col min="11512" max="11512" width="16" style="45" customWidth="1"/>
    <col min="11513" max="11513" width="27.7109375" style="45" customWidth="1"/>
    <col min="11514" max="11514" width="65.7109375" style="45" customWidth="1"/>
    <col min="11515" max="11515" width="21.85546875" style="45" bestFit="1" customWidth="1"/>
    <col min="11516" max="11516" width="30.140625" style="45" customWidth="1"/>
    <col min="11517" max="11517" width="62" style="45" customWidth="1"/>
    <col min="11518" max="11518" width="44" style="45" customWidth="1"/>
    <col min="11519" max="11519" width="43.140625" style="45" customWidth="1"/>
    <col min="11520" max="11520" width="45" style="45" customWidth="1"/>
    <col min="11521" max="11521" width="35.5703125" style="45" customWidth="1"/>
    <col min="11522" max="11522" width="37.140625" style="45" customWidth="1"/>
    <col min="11523" max="11523" width="76.7109375" style="45" customWidth="1"/>
    <col min="11524" max="11524" width="37.7109375" style="45" customWidth="1"/>
    <col min="11525" max="11525" width="37.85546875" style="45" customWidth="1"/>
    <col min="11526" max="11526" width="39.85546875" style="45" customWidth="1"/>
    <col min="11527" max="11527" width="53.140625" style="45" customWidth="1"/>
    <col min="11528" max="11528" width="35.28515625" style="45" customWidth="1"/>
    <col min="11529" max="11529" width="31" style="45" customWidth="1"/>
    <col min="11530" max="11530" width="29.140625" style="45" customWidth="1"/>
    <col min="11531" max="11531" width="30.140625" style="45" customWidth="1"/>
    <col min="11532" max="11532" width="49.140625" style="45" customWidth="1"/>
    <col min="11533" max="11533" width="31.85546875" style="45" customWidth="1"/>
    <col min="11534" max="11534" width="39.140625" style="45" customWidth="1"/>
    <col min="11535" max="11535" width="53" style="45" bestFit="1" customWidth="1"/>
    <col min="11536" max="11536" width="33.42578125" style="45" bestFit="1" customWidth="1"/>
    <col min="11537" max="11537" width="28.140625" style="45" customWidth="1"/>
    <col min="11538" max="11542" width="6.7109375" style="45" customWidth="1"/>
    <col min="11543" max="11543" width="1.7109375" style="45" customWidth="1"/>
    <col min="11544" max="11767" width="9.140625" style="45"/>
    <col min="11768" max="11768" width="16" style="45" customWidth="1"/>
    <col min="11769" max="11769" width="27.7109375" style="45" customWidth="1"/>
    <col min="11770" max="11770" width="65.7109375" style="45" customWidth="1"/>
    <col min="11771" max="11771" width="21.85546875" style="45" bestFit="1" customWidth="1"/>
    <col min="11772" max="11772" width="30.140625" style="45" customWidth="1"/>
    <col min="11773" max="11773" width="62" style="45" customWidth="1"/>
    <col min="11774" max="11774" width="44" style="45" customWidth="1"/>
    <col min="11775" max="11775" width="43.140625" style="45" customWidth="1"/>
    <col min="11776" max="11776" width="45" style="45" customWidth="1"/>
    <col min="11777" max="11777" width="35.5703125" style="45" customWidth="1"/>
    <col min="11778" max="11778" width="37.140625" style="45" customWidth="1"/>
    <col min="11779" max="11779" width="76.7109375" style="45" customWidth="1"/>
    <col min="11780" max="11780" width="37.7109375" style="45" customWidth="1"/>
    <col min="11781" max="11781" width="37.85546875" style="45" customWidth="1"/>
    <col min="11782" max="11782" width="39.85546875" style="45" customWidth="1"/>
    <col min="11783" max="11783" width="53.140625" style="45" customWidth="1"/>
    <col min="11784" max="11784" width="35.28515625" style="45" customWidth="1"/>
    <col min="11785" max="11785" width="31" style="45" customWidth="1"/>
    <col min="11786" max="11786" width="29.140625" style="45" customWidth="1"/>
    <col min="11787" max="11787" width="30.140625" style="45" customWidth="1"/>
    <col min="11788" max="11788" width="49.140625" style="45" customWidth="1"/>
    <col min="11789" max="11789" width="31.85546875" style="45" customWidth="1"/>
    <col min="11790" max="11790" width="39.140625" style="45" customWidth="1"/>
    <col min="11791" max="11791" width="53" style="45" bestFit="1" customWidth="1"/>
    <col min="11792" max="11792" width="33.42578125" style="45" bestFit="1" customWidth="1"/>
    <col min="11793" max="11793" width="28.140625" style="45" customWidth="1"/>
    <col min="11794" max="11798" width="6.7109375" style="45" customWidth="1"/>
    <col min="11799" max="11799" width="1.7109375" style="45" customWidth="1"/>
    <col min="11800" max="12023" width="9.140625" style="45"/>
    <col min="12024" max="12024" width="16" style="45" customWidth="1"/>
    <col min="12025" max="12025" width="27.7109375" style="45" customWidth="1"/>
    <col min="12026" max="12026" width="65.7109375" style="45" customWidth="1"/>
    <col min="12027" max="12027" width="21.85546875" style="45" bestFit="1" customWidth="1"/>
    <col min="12028" max="12028" width="30.140625" style="45" customWidth="1"/>
    <col min="12029" max="12029" width="62" style="45" customWidth="1"/>
    <col min="12030" max="12030" width="44" style="45" customWidth="1"/>
    <col min="12031" max="12031" width="43.140625" style="45" customWidth="1"/>
    <col min="12032" max="12032" width="45" style="45" customWidth="1"/>
    <col min="12033" max="12033" width="35.5703125" style="45" customWidth="1"/>
    <col min="12034" max="12034" width="37.140625" style="45" customWidth="1"/>
    <col min="12035" max="12035" width="76.7109375" style="45" customWidth="1"/>
    <col min="12036" max="12036" width="37.7109375" style="45" customWidth="1"/>
    <col min="12037" max="12037" width="37.85546875" style="45" customWidth="1"/>
    <col min="12038" max="12038" width="39.85546875" style="45" customWidth="1"/>
    <col min="12039" max="12039" width="53.140625" style="45" customWidth="1"/>
    <col min="12040" max="12040" width="35.28515625" style="45" customWidth="1"/>
    <col min="12041" max="12041" width="31" style="45" customWidth="1"/>
    <col min="12042" max="12042" width="29.140625" style="45" customWidth="1"/>
    <col min="12043" max="12043" width="30.140625" style="45" customWidth="1"/>
    <col min="12044" max="12044" width="49.140625" style="45" customWidth="1"/>
    <col min="12045" max="12045" width="31.85546875" style="45" customWidth="1"/>
    <col min="12046" max="12046" width="39.140625" style="45" customWidth="1"/>
    <col min="12047" max="12047" width="53" style="45" bestFit="1" customWidth="1"/>
    <col min="12048" max="12048" width="33.42578125" style="45" bestFit="1" customWidth="1"/>
    <col min="12049" max="12049" width="28.140625" style="45" customWidth="1"/>
    <col min="12050" max="12054" width="6.7109375" style="45" customWidth="1"/>
    <col min="12055" max="12055" width="1.7109375" style="45" customWidth="1"/>
    <col min="12056" max="12279" width="9.140625" style="45"/>
    <col min="12280" max="12280" width="16" style="45" customWidth="1"/>
    <col min="12281" max="12281" width="27.7109375" style="45" customWidth="1"/>
    <col min="12282" max="12282" width="65.7109375" style="45" customWidth="1"/>
    <col min="12283" max="12283" width="21.85546875" style="45" bestFit="1" customWidth="1"/>
    <col min="12284" max="12284" width="30.140625" style="45" customWidth="1"/>
    <col min="12285" max="12285" width="62" style="45" customWidth="1"/>
    <col min="12286" max="12286" width="44" style="45" customWidth="1"/>
    <col min="12287" max="12287" width="43.140625" style="45" customWidth="1"/>
    <col min="12288" max="12288" width="45" style="45" customWidth="1"/>
    <col min="12289" max="12289" width="35.5703125" style="45" customWidth="1"/>
    <col min="12290" max="12290" width="37.140625" style="45" customWidth="1"/>
    <col min="12291" max="12291" width="76.7109375" style="45" customWidth="1"/>
    <col min="12292" max="12292" width="37.7109375" style="45" customWidth="1"/>
    <col min="12293" max="12293" width="37.85546875" style="45" customWidth="1"/>
    <col min="12294" max="12294" width="39.85546875" style="45" customWidth="1"/>
    <col min="12295" max="12295" width="53.140625" style="45" customWidth="1"/>
    <col min="12296" max="12296" width="35.28515625" style="45" customWidth="1"/>
    <col min="12297" max="12297" width="31" style="45" customWidth="1"/>
    <col min="12298" max="12298" width="29.140625" style="45" customWidth="1"/>
    <col min="12299" max="12299" width="30.140625" style="45" customWidth="1"/>
    <col min="12300" max="12300" width="49.140625" style="45" customWidth="1"/>
    <col min="12301" max="12301" width="31.85546875" style="45" customWidth="1"/>
    <col min="12302" max="12302" width="39.140625" style="45" customWidth="1"/>
    <col min="12303" max="12303" width="53" style="45" bestFit="1" customWidth="1"/>
    <col min="12304" max="12304" width="33.42578125" style="45" bestFit="1" customWidth="1"/>
    <col min="12305" max="12305" width="28.140625" style="45" customWidth="1"/>
    <col min="12306" max="12310" width="6.7109375" style="45" customWidth="1"/>
    <col min="12311" max="12311" width="1.7109375" style="45" customWidth="1"/>
    <col min="12312" max="12535" width="9.140625" style="45"/>
    <col min="12536" max="12536" width="16" style="45" customWidth="1"/>
    <col min="12537" max="12537" width="27.7109375" style="45" customWidth="1"/>
    <col min="12538" max="12538" width="65.7109375" style="45" customWidth="1"/>
    <col min="12539" max="12539" width="21.85546875" style="45" bestFit="1" customWidth="1"/>
    <col min="12540" max="12540" width="30.140625" style="45" customWidth="1"/>
    <col min="12541" max="12541" width="62" style="45" customWidth="1"/>
    <col min="12542" max="12542" width="44" style="45" customWidth="1"/>
    <col min="12543" max="12543" width="43.140625" style="45" customWidth="1"/>
    <col min="12544" max="12544" width="45" style="45" customWidth="1"/>
    <col min="12545" max="12545" width="35.5703125" style="45" customWidth="1"/>
    <col min="12546" max="12546" width="37.140625" style="45" customWidth="1"/>
    <col min="12547" max="12547" width="76.7109375" style="45" customWidth="1"/>
    <col min="12548" max="12548" width="37.7109375" style="45" customWidth="1"/>
    <col min="12549" max="12549" width="37.85546875" style="45" customWidth="1"/>
    <col min="12550" max="12550" width="39.85546875" style="45" customWidth="1"/>
    <col min="12551" max="12551" width="53.140625" style="45" customWidth="1"/>
    <col min="12552" max="12552" width="35.28515625" style="45" customWidth="1"/>
    <col min="12553" max="12553" width="31" style="45" customWidth="1"/>
    <col min="12554" max="12554" width="29.140625" style="45" customWidth="1"/>
    <col min="12555" max="12555" width="30.140625" style="45" customWidth="1"/>
    <col min="12556" max="12556" width="49.140625" style="45" customWidth="1"/>
    <col min="12557" max="12557" width="31.85546875" style="45" customWidth="1"/>
    <col min="12558" max="12558" width="39.140625" style="45" customWidth="1"/>
    <col min="12559" max="12559" width="53" style="45" bestFit="1" customWidth="1"/>
    <col min="12560" max="12560" width="33.42578125" style="45" bestFit="1" customWidth="1"/>
    <col min="12561" max="12561" width="28.140625" style="45" customWidth="1"/>
    <col min="12562" max="12566" width="6.7109375" style="45" customWidth="1"/>
    <col min="12567" max="12567" width="1.7109375" style="45" customWidth="1"/>
    <col min="12568" max="12791" width="9.140625" style="45"/>
    <col min="12792" max="12792" width="16" style="45" customWidth="1"/>
    <col min="12793" max="12793" width="27.7109375" style="45" customWidth="1"/>
    <col min="12794" max="12794" width="65.7109375" style="45" customWidth="1"/>
    <col min="12795" max="12795" width="21.85546875" style="45" bestFit="1" customWidth="1"/>
    <col min="12796" max="12796" width="30.140625" style="45" customWidth="1"/>
    <col min="12797" max="12797" width="62" style="45" customWidth="1"/>
    <col min="12798" max="12798" width="44" style="45" customWidth="1"/>
    <col min="12799" max="12799" width="43.140625" style="45" customWidth="1"/>
    <col min="12800" max="12800" width="45" style="45" customWidth="1"/>
    <col min="12801" max="12801" width="35.5703125" style="45" customWidth="1"/>
    <col min="12802" max="12802" width="37.140625" style="45" customWidth="1"/>
    <col min="12803" max="12803" width="76.7109375" style="45" customWidth="1"/>
    <col min="12804" max="12804" width="37.7109375" style="45" customWidth="1"/>
    <col min="12805" max="12805" width="37.85546875" style="45" customWidth="1"/>
    <col min="12806" max="12806" width="39.85546875" style="45" customWidth="1"/>
    <col min="12807" max="12807" width="53.140625" style="45" customWidth="1"/>
    <col min="12808" max="12808" width="35.28515625" style="45" customWidth="1"/>
    <col min="12809" max="12809" width="31" style="45" customWidth="1"/>
    <col min="12810" max="12810" width="29.140625" style="45" customWidth="1"/>
    <col min="12811" max="12811" width="30.140625" style="45" customWidth="1"/>
    <col min="12812" max="12812" width="49.140625" style="45" customWidth="1"/>
    <col min="12813" max="12813" width="31.85546875" style="45" customWidth="1"/>
    <col min="12814" max="12814" width="39.140625" style="45" customWidth="1"/>
    <col min="12815" max="12815" width="53" style="45" bestFit="1" customWidth="1"/>
    <col min="12816" max="12816" width="33.42578125" style="45" bestFit="1" customWidth="1"/>
    <col min="12817" max="12817" width="28.140625" style="45" customWidth="1"/>
    <col min="12818" max="12822" width="6.7109375" style="45" customWidth="1"/>
    <col min="12823" max="12823" width="1.7109375" style="45" customWidth="1"/>
    <col min="12824" max="13047" width="9.140625" style="45"/>
    <col min="13048" max="13048" width="16" style="45" customWidth="1"/>
    <col min="13049" max="13049" width="27.7109375" style="45" customWidth="1"/>
    <col min="13050" max="13050" width="65.7109375" style="45" customWidth="1"/>
    <col min="13051" max="13051" width="21.85546875" style="45" bestFit="1" customWidth="1"/>
    <col min="13052" max="13052" width="30.140625" style="45" customWidth="1"/>
    <col min="13053" max="13053" width="62" style="45" customWidth="1"/>
    <col min="13054" max="13054" width="44" style="45" customWidth="1"/>
    <col min="13055" max="13055" width="43.140625" style="45" customWidth="1"/>
    <col min="13056" max="13056" width="45" style="45" customWidth="1"/>
    <col min="13057" max="13057" width="35.5703125" style="45" customWidth="1"/>
    <col min="13058" max="13058" width="37.140625" style="45" customWidth="1"/>
    <col min="13059" max="13059" width="76.7109375" style="45" customWidth="1"/>
    <col min="13060" max="13060" width="37.7109375" style="45" customWidth="1"/>
    <col min="13061" max="13061" width="37.85546875" style="45" customWidth="1"/>
    <col min="13062" max="13062" width="39.85546875" style="45" customWidth="1"/>
    <col min="13063" max="13063" width="53.140625" style="45" customWidth="1"/>
    <col min="13064" max="13064" width="35.28515625" style="45" customWidth="1"/>
    <col min="13065" max="13065" width="31" style="45" customWidth="1"/>
    <col min="13066" max="13066" width="29.140625" style="45" customWidth="1"/>
    <col min="13067" max="13067" width="30.140625" style="45" customWidth="1"/>
    <col min="13068" max="13068" width="49.140625" style="45" customWidth="1"/>
    <col min="13069" max="13069" width="31.85546875" style="45" customWidth="1"/>
    <col min="13070" max="13070" width="39.140625" style="45" customWidth="1"/>
    <col min="13071" max="13071" width="53" style="45" bestFit="1" customWidth="1"/>
    <col min="13072" max="13072" width="33.42578125" style="45" bestFit="1" customWidth="1"/>
    <col min="13073" max="13073" width="28.140625" style="45" customWidth="1"/>
    <col min="13074" max="13078" width="6.7109375" style="45" customWidth="1"/>
    <col min="13079" max="13079" width="1.7109375" style="45" customWidth="1"/>
    <col min="13080" max="13303" width="9.140625" style="45"/>
    <col min="13304" max="13304" width="16" style="45" customWidth="1"/>
    <col min="13305" max="13305" width="27.7109375" style="45" customWidth="1"/>
    <col min="13306" max="13306" width="65.7109375" style="45" customWidth="1"/>
    <col min="13307" max="13307" width="21.85546875" style="45" bestFit="1" customWidth="1"/>
    <col min="13308" max="13308" width="30.140625" style="45" customWidth="1"/>
    <col min="13309" max="13309" width="62" style="45" customWidth="1"/>
    <col min="13310" max="13310" width="44" style="45" customWidth="1"/>
    <col min="13311" max="13311" width="43.140625" style="45" customWidth="1"/>
    <col min="13312" max="13312" width="45" style="45" customWidth="1"/>
    <col min="13313" max="13313" width="35.5703125" style="45" customWidth="1"/>
    <col min="13314" max="13314" width="37.140625" style="45" customWidth="1"/>
    <col min="13315" max="13315" width="76.7109375" style="45" customWidth="1"/>
    <col min="13316" max="13316" width="37.7109375" style="45" customWidth="1"/>
    <col min="13317" max="13317" width="37.85546875" style="45" customWidth="1"/>
    <col min="13318" max="13318" width="39.85546875" style="45" customWidth="1"/>
    <col min="13319" max="13319" width="53.140625" style="45" customWidth="1"/>
    <col min="13320" max="13320" width="35.28515625" style="45" customWidth="1"/>
    <col min="13321" max="13321" width="31" style="45" customWidth="1"/>
    <col min="13322" max="13322" width="29.140625" style="45" customWidth="1"/>
    <col min="13323" max="13323" width="30.140625" style="45" customWidth="1"/>
    <col min="13324" max="13324" width="49.140625" style="45" customWidth="1"/>
    <col min="13325" max="13325" width="31.85546875" style="45" customWidth="1"/>
    <col min="13326" max="13326" width="39.140625" style="45" customWidth="1"/>
    <col min="13327" max="13327" width="53" style="45" bestFit="1" customWidth="1"/>
    <col min="13328" max="13328" width="33.42578125" style="45" bestFit="1" customWidth="1"/>
    <col min="13329" max="13329" width="28.140625" style="45" customWidth="1"/>
    <col min="13330" max="13334" width="6.7109375" style="45" customWidth="1"/>
    <col min="13335" max="13335" width="1.7109375" style="45" customWidth="1"/>
    <col min="13336" max="13559" width="9.140625" style="45"/>
    <col min="13560" max="13560" width="16" style="45" customWidth="1"/>
    <col min="13561" max="13561" width="27.7109375" style="45" customWidth="1"/>
    <col min="13562" max="13562" width="65.7109375" style="45" customWidth="1"/>
    <col min="13563" max="13563" width="21.85546875" style="45" bestFit="1" customWidth="1"/>
    <col min="13564" max="13564" width="30.140625" style="45" customWidth="1"/>
    <col min="13565" max="13565" width="62" style="45" customWidth="1"/>
    <col min="13566" max="13566" width="44" style="45" customWidth="1"/>
    <col min="13567" max="13567" width="43.140625" style="45" customWidth="1"/>
    <col min="13568" max="13568" width="45" style="45" customWidth="1"/>
    <col min="13569" max="13569" width="35.5703125" style="45" customWidth="1"/>
    <col min="13570" max="13570" width="37.140625" style="45" customWidth="1"/>
    <col min="13571" max="13571" width="76.7109375" style="45" customWidth="1"/>
    <col min="13572" max="13572" width="37.7109375" style="45" customWidth="1"/>
    <col min="13573" max="13573" width="37.85546875" style="45" customWidth="1"/>
    <col min="13574" max="13574" width="39.85546875" style="45" customWidth="1"/>
    <col min="13575" max="13575" width="53.140625" style="45" customWidth="1"/>
    <col min="13576" max="13576" width="35.28515625" style="45" customWidth="1"/>
    <col min="13577" max="13577" width="31" style="45" customWidth="1"/>
    <col min="13578" max="13578" width="29.140625" style="45" customWidth="1"/>
    <col min="13579" max="13579" width="30.140625" style="45" customWidth="1"/>
    <col min="13580" max="13580" width="49.140625" style="45" customWidth="1"/>
    <col min="13581" max="13581" width="31.85546875" style="45" customWidth="1"/>
    <col min="13582" max="13582" width="39.140625" style="45" customWidth="1"/>
    <col min="13583" max="13583" width="53" style="45" bestFit="1" customWidth="1"/>
    <col min="13584" max="13584" width="33.42578125" style="45" bestFit="1" customWidth="1"/>
    <col min="13585" max="13585" width="28.140625" style="45" customWidth="1"/>
    <col min="13586" max="13590" width="6.7109375" style="45" customWidth="1"/>
    <col min="13591" max="13591" width="1.7109375" style="45" customWidth="1"/>
    <col min="13592" max="13815" width="9.140625" style="45"/>
    <col min="13816" max="13816" width="16" style="45" customWidth="1"/>
    <col min="13817" max="13817" width="27.7109375" style="45" customWidth="1"/>
    <col min="13818" max="13818" width="65.7109375" style="45" customWidth="1"/>
    <col min="13819" max="13819" width="21.85546875" style="45" bestFit="1" customWidth="1"/>
    <col min="13820" max="13820" width="30.140625" style="45" customWidth="1"/>
    <col min="13821" max="13821" width="62" style="45" customWidth="1"/>
    <col min="13822" max="13822" width="44" style="45" customWidth="1"/>
    <col min="13823" max="13823" width="43.140625" style="45" customWidth="1"/>
    <col min="13824" max="13824" width="45" style="45" customWidth="1"/>
    <col min="13825" max="13825" width="35.5703125" style="45" customWidth="1"/>
    <col min="13826" max="13826" width="37.140625" style="45" customWidth="1"/>
    <col min="13827" max="13827" width="76.7109375" style="45" customWidth="1"/>
    <col min="13828" max="13828" width="37.7109375" style="45" customWidth="1"/>
    <col min="13829" max="13829" width="37.85546875" style="45" customWidth="1"/>
    <col min="13830" max="13830" width="39.85546875" style="45" customWidth="1"/>
    <col min="13831" max="13831" width="53.140625" style="45" customWidth="1"/>
    <col min="13832" max="13832" width="35.28515625" style="45" customWidth="1"/>
    <col min="13833" max="13833" width="31" style="45" customWidth="1"/>
    <col min="13834" max="13834" width="29.140625" style="45" customWidth="1"/>
    <col min="13835" max="13835" width="30.140625" style="45" customWidth="1"/>
    <col min="13836" max="13836" width="49.140625" style="45" customWidth="1"/>
    <col min="13837" max="13837" width="31.85546875" style="45" customWidth="1"/>
    <col min="13838" max="13838" width="39.140625" style="45" customWidth="1"/>
    <col min="13839" max="13839" width="53" style="45" bestFit="1" customWidth="1"/>
    <col min="13840" max="13840" width="33.42578125" style="45" bestFit="1" customWidth="1"/>
    <col min="13841" max="13841" width="28.140625" style="45" customWidth="1"/>
    <col min="13842" max="13846" width="6.7109375" style="45" customWidth="1"/>
    <col min="13847" max="13847" width="1.7109375" style="45" customWidth="1"/>
    <col min="13848" max="14071" width="9.140625" style="45"/>
    <col min="14072" max="14072" width="16" style="45" customWidth="1"/>
    <col min="14073" max="14073" width="27.7109375" style="45" customWidth="1"/>
    <col min="14074" max="14074" width="65.7109375" style="45" customWidth="1"/>
    <col min="14075" max="14075" width="21.85546875" style="45" bestFit="1" customWidth="1"/>
    <col min="14076" max="14076" width="30.140625" style="45" customWidth="1"/>
    <col min="14077" max="14077" width="62" style="45" customWidth="1"/>
    <col min="14078" max="14078" width="44" style="45" customWidth="1"/>
    <col min="14079" max="14079" width="43.140625" style="45" customWidth="1"/>
    <col min="14080" max="14080" width="45" style="45" customWidth="1"/>
    <col min="14081" max="14081" width="35.5703125" style="45" customWidth="1"/>
    <col min="14082" max="14082" width="37.140625" style="45" customWidth="1"/>
    <col min="14083" max="14083" width="76.7109375" style="45" customWidth="1"/>
    <col min="14084" max="14084" width="37.7109375" style="45" customWidth="1"/>
    <col min="14085" max="14085" width="37.85546875" style="45" customWidth="1"/>
    <col min="14086" max="14086" width="39.85546875" style="45" customWidth="1"/>
    <col min="14087" max="14087" width="53.140625" style="45" customWidth="1"/>
    <col min="14088" max="14088" width="35.28515625" style="45" customWidth="1"/>
    <col min="14089" max="14089" width="31" style="45" customWidth="1"/>
    <col min="14090" max="14090" width="29.140625" style="45" customWidth="1"/>
    <col min="14091" max="14091" width="30.140625" style="45" customWidth="1"/>
    <col min="14092" max="14092" width="49.140625" style="45" customWidth="1"/>
    <col min="14093" max="14093" width="31.85546875" style="45" customWidth="1"/>
    <col min="14094" max="14094" width="39.140625" style="45" customWidth="1"/>
    <col min="14095" max="14095" width="53" style="45" bestFit="1" customWidth="1"/>
    <col min="14096" max="14096" width="33.42578125" style="45" bestFit="1" customWidth="1"/>
    <col min="14097" max="14097" width="28.140625" style="45" customWidth="1"/>
    <col min="14098" max="14102" width="6.7109375" style="45" customWidth="1"/>
    <col min="14103" max="14103" width="1.7109375" style="45" customWidth="1"/>
    <col min="14104" max="14327" width="9.140625" style="45"/>
    <col min="14328" max="14328" width="16" style="45" customWidth="1"/>
    <col min="14329" max="14329" width="27.7109375" style="45" customWidth="1"/>
    <col min="14330" max="14330" width="65.7109375" style="45" customWidth="1"/>
    <col min="14331" max="14331" width="21.85546875" style="45" bestFit="1" customWidth="1"/>
    <col min="14332" max="14332" width="30.140625" style="45" customWidth="1"/>
    <col min="14333" max="14333" width="62" style="45" customWidth="1"/>
    <col min="14334" max="14334" width="44" style="45" customWidth="1"/>
    <col min="14335" max="14335" width="43.140625" style="45" customWidth="1"/>
    <col min="14336" max="14336" width="45" style="45" customWidth="1"/>
    <col min="14337" max="14337" width="35.5703125" style="45" customWidth="1"/>
    <col min="14338" max="14338" width="37.140625" style="45" customWidth="1"/>
    <col min="14339" max="14339" width="76.7109375" style="45" customWidth="1"/>
    <col min="14340" max="14340" width="37.7109375" style="45" customWidth="1"/>
    <col min="14341" max="14341" width="37.85546875" style="45" customWidth="1"/>
    <col min="14342" max="14342" width="39.85546875" style="45" customWidth="1"/>
    <col min="14343" max="14343" width="53.140625" style="45" customWidth="1"/>
    <col min="14344" max="14344" width="35.28515625" style="45" customWidth="1"/>
    <col min="14345" max="14345" width="31" style="45" customWidth="1"/>
    <col min="14346" max="14346" width="29.140625" style="45" customWidth="1"/>
    <col min="14347" max="14347" width="30.140625" style="45" customWidth="1"/>
    <col min="14348" max="14348" width="49.140625" style="45" customWidth="1"/>
    <col min="14349" max="14349" width="31.85546875" style="45" customWidth="1"/>
    <col min="14350" max="14350" width="39.140625" style="45" customWidth="1"/>
    <col min="14351" max="14351" width="53" style="45" bestFit="1" customWidth="1"/>
    <col min="14352" max="14352" width="33.42578125" style="45" bestFit="1" customWidth="1"/>
    <col min="14353" max="14353" width="28.140625" style="45" customWidth="1"/>
    <col min="14354" max="14358" width="6.7109375" style="45" customWidth="1"/>
    <col min="14359" max="14359" width="1.7109375" style="45" customWidth="1"/>
    <col min="14360" max="14583" width="9.140625" style="45"/>
    <col min="14584" max="14584" width="16" style="45" customWidth="1"/>
    <col min="14585" max="14585" width="27.7109375" style="45" customWidth="1"/>
    <col min="14586" max="14586" width="65.7109375" style="45" customWidth="1"/>
    <col min="14587" max="14587" width="21.85546875" style="45" bestFit="1" customWidth="1"/>
    <col min="14588" max="14588" width="30.140625" style="45" customWidth="1"/>
    <col min="14589" max="14589" width="62" style="45" customWidth="1"/>
    <col min="14590" max="14590" width="44" style="45" customWidth="1"/>
    <col min="14591" max="14591" width="43.140625" style="45" customWidth="1"/>
    <col min="14592" max="14592" width="45" style="45" customWidth="1"/>
    <col min="14593" max="14593" width="35.5703125" style="45" customWidth="1"/>
    <col min="14594" max="14594" width="37.140625" style="45" customWidth="1"/>
    <col min="14595" max="14595" width="76.7109375" style="45" customWidth="1"/>
    <col min="14596" max="14596" width="37.7109375" style="45" customWidth="1"/>
    <col min="14597" max="14597" width="37.85546875" style="45" customWidth="1"/>
    <col min="14598" max="14598" width="39.85546875" style="45" customWidth="1"/>
    <col min="14599" max="14599" width="53.140625" style="45" customWidth="1"/>
    <col min="14600" max="14600" width="35.28515625" style="45" customWidth="1"/>
    <col min="14601" max="14601" width="31" style="45" customWidth="1"/>
    <col min="14602" max="14602" width="29.140625" style="45" customWidth="1"/>
    <col min="14603" max="14603" width="30.140625" style="45" customWidth="1"/>
    <col min="14604" max="14604" width="49.140625" style="45" customWidth="1"/>
    <col min="14605" max="14605" width="31.85546875" style="45" customWidth="1"/>
    <col min="14606" max="14606" width="39.140625" style="45" customWidth="1"/>
    <col min="14607" max="14607" width="53" style="45" bestFit="1" customWidth="1"/>
    <col min="14608" max="14608" width="33.42578125" style="45" bestFit="1" customWidth="1"/>
    <col min="14609" max="14609" width="28.140625" style="45" customWidth="1"/>
    <col min="14610" max="14614" width="6.7109375" style="45" customWidth="1"/>
    <col min="14615" max="14615" width="1.7109375" style="45" customWidth="1"/>
    <col min="14616" max="14839" width="9.140625" style="45"/>
    <col min="14840" max="14840" width="16" style="45" customWidth="1"/>
    <col min="14841" max="14841" width="27.7109375" style="45" customWidth="1"/>
    <col min="14842" max="14842" width="65.7109375" style="45" customWidth="1"/>
    <col min="14843" max="14843" width="21.85546875" style="45" bestFit="1" customWidth="1"/>
    <col min="14844" max="14844" width="30.140625" style="45" customWidth="1"/>
    <col min="14845" max="14845" width="62" style="45" customWidth="1"/>
    <col min="14846" max="14846" width="44" style="45" customWidth="1"/>
    <col min="14847" max="14847" width="43.140625" style="45" customWidth="1"/>
    <col min="14848" max="14848" width="45" style="45" customWidth="1"/>
    <col min="14849" max="14849" width="35.5703125" style="45" customWidth="1"/>
    <col min="14850" max="14850" width="37.140625" style="45" customWidth="1"/>
    <col min="14851" max="14851" width="76.7109375" style="45" customWidth="1"/>
    <col min="14852" max="14852" width="37.7109375" style="45" customWidth="1"/>
    <col min="14853" max="14853" width="37.85546875" style="45" customWidth="1"/>
    <col min="14854" max="14854" width="39.85546875" style="45" customWidth="1"/>
    <col min="14855" max="14855" width="53.140625" style="45" customWidth="1"/>
    <col min="14856" max="14856" width="35.28515625" style="45" customWidth="1"/>
    <col min="14857" max="14857" width="31" style="45" customWidth="1"/>
    <col min="14858" max="14858" width="29.140625" style="45" customWidth="1"/>
    <col min="14859" max="14859" width="30.140625" style="45" customWidth="1"/>
    <col min="14860" max="14860" width="49.140625" style="45" customWidth="1"/>
    <col min="14861" max="14861" width="31.85546875" style="45" customWidth="1"/>
    <col min="14862" max="14862" width="39.140625" style="45" customWidth="1"/>
    <col min="14863" max="14863" width="53" style="45" bestFit="1" customWidth="1"/>
    <col min="14864" max="14864" width="33.42578125" style="45" bestFit="1" customWidth="1"/>
    <col min="14865" max="14865" width="28.140625" style="45" customWidth="1"/>
    <col min="14866" max="14870" width="6.7109375" style="45" customWidth="1"/>
    <col min="14871" max="14871" width="1.7109375" style="45" customWidth="1"/>
    <col min="14872" max="15095" width="9.140625" style="45"/>
    <col min="15096" max="15096" width="16" style="45" customWidth="1"/>
    <col min="15097" max="15097" width="27.7109375" style="45" customWidth="1"/>
    <col min="15098" max="15098" width="65.7109375" style="45" customWidth="1"/>
    <col min="15099" max="15099" width="21.85546875" style="45" bestFit="1" customWidth="1"/>
    <col min="15100" max="15100" width="30.140625" style="45" customWidth="1"/>
    <col min="15101" max="15101" width="62" style="45" customWidth="1"/>
    <col min="15102" max="15102" width="44" style="45" customWidth="1"/>
    <col min="15103" max="15103" width="43.140625" style="45" customWidth="1"/>
    <col min="15104" max="15104" width="45" style="45" customWidth="1"/>
    <col min="15105" max="15105" width="35.5703125" style="45" customWidth="1"/>
    <col min="15106" max="15106" width="37.140625" style="45" customWidth="1"/>
    <col min="15107" max="15107" width="76.7109375" style="45" customWidth="1"/>
    <col min="15108" max="15108" width="37.7109375" style="45" customWidth="1"/>
    <col min="15109" max="15109" width="37.85546875" style="45" customWidth="1"/>
    <col min="15110" max="15110" width="39.85546875" style="45" customWidth="1"/>
    <col min="15111" max="15111" width="53.140625" style="45" customWidth="1"/>
    <col min="15112" max="15112" width="35.28515625" style="45" customWidth="1"/>
    <col min="15113" max="15113" width="31" style="45" customWidth="1"/>
    <col min="15114" max="15114" width="29.140625" style="45" customWidth="1"/>
    <col min="15115" max="15115" width="30.140625" style="45" customWidth="1"/>
    <col min="15116" max="15116" width="49.140625" style="45" customWidth="1"/>
    <col min="15117" max="15117" width="31.85546875" style="45" customWidth="1"/>
    <col min="15118" max="15118" width="39.140625" style="45" customWidth="1"/>
    <col min="15119" max="15119" width="53" style="45" bestFit="1" customWidth="1"/>
    <col min="15120" max="15120" width="33.42578125" style="45" bestFit="1" customWidth="1"/>
    <col min="15121" max="15121" width="28.140625" style="45" customWidth="1"/>
    <col min="15122" max="15126" width="6.7109375" style="45" customWidth="1"/>
    <col min="15127" max="15127" width="1.7109375" style="45" customWidth="1"/>
    <col min="15128" max="15351" width="9.140625" style="45"/>
    <col min="15352" max="15352" width="16" style="45" customWidth="1"/>
    <col min="15353" max="15353" width="27.7109375" style="45" customWidth="1"/>
    <col min="15354" max="15354" width="65.7109375" style="45" customWidth="1"/>
    <col min="15355" max="15355" width="21.85546875" style="45" bestFit="1" customWidth="1"/>
    <col min="15356" max="15356" width="30.140625" style="45" customWidth="1"/>
    <col min="15357" max="15357" width="62" style="45" customWidth="1"/>
    <col min="15358" max="15358" width="44" style="45" customWidth="1"/>
    <col min="15359" max="15359" width="43.140625" style="45" customWidth="1"/>
    <col min="15360" max="15360" width="45" style="45" customWidth="1"/>
    <col min="15361" max="15361" width="35.5703125" style="45" customWidth="1"/>
    <col min="15362" max="15362" width="37.140625" style="45" customWidth="1"/>
    <col min="15363" max="15363" width="76.7109375" style="45" customWidth="1"/>
    <col min="15364" max="15364" width="37.7109375" style="45" customWidth="1"/>
    <col min="15365" max="15365" width="37.85546875" style="45" customWidth="1"/>
    <col min="15366" max="15366" width="39.85546875" style="45" customWidth="1"/>
    <col min="15367" max="15367" width="53.140625" style="45" customWidth="1"/>
    <col min="15368" max="15368" width="35.28515625" style="45" customWidth="1"/>
    <col min="15369" max="15369" width="31" style="45" customWidth="1"/>
    <col min="15370" max="15370" width="29.140625" style="45" customWidth="1"/>
    <col min="15371" max="15371" width="30.140625" style="45" customWidth="1"/>
    <col min="15372" max="15372" width="49.140625" style="45" customWidth="1"/>
    <col min="15373" max="15373" width="31.85546875" style="45" customWidth="1"/>
    <col min="15374" max="15374" width="39.140625" style="45" customWidth="1"/>
    <col min="15375" max="15375" width="53" style="45" bestFit="1" customWidth="1"/>
    <col min="15376" max="15376" width="33.42578125" style="45" bestFit="1" customWidth="1"/>
    <col min="15377" max="15377" width="28.140625" style="45" customWidth="1"/>
    <col min="15378" max="15382" width="6.7109375" style="45" customWidth="1"/>
    <col min="15383" max="15383" width="1.7109375" style="45" customWidth="1"/>
    <col min="15384" max="15607" width="9.140625" style="45"/>
    <col min="15608" max="15608" width="16" style="45" customWidth="1"/>
    <col min="15609" max="15609" width="27.7109375" style="45" customWidth="1"/>
    <col min="15610" max="15610" width="65.7109375" style="45" customWidth="1"/>
    <col min="15611" max="15611" width="21.85546875" style="45" bestFit="1" customWidth="1"/>
    <col min="15612" max="15612" width="30.140625" style="45" customWidth="1"/>
    <col min="15613" max="15613" width="62" style="45" customWidth="1"/>
    <col min="15614" max="15614" width="44" style="45" customWidth="1"/>
    <col min="15615" max="15615" width="43.140625" style="45" customWidth="1"/>
    <col min="15616" max="15616" width="45" style="45" customWidth="1"/>
    <col min="15617" max="15617" width="35.5703125" style="45" customWidth="1"/>
    <col min="15618" max="15618" width="37.140625" style="45" customWidth="1"/>
    <col min="15619" max="15619" width="76.7109375" style="45" customWidth="1"/>
    <col min="15620" max="15620" width="37.7109375" style="45" customWidth="1"/>
    <col min="15621" max="15621" width="37.85546875" style="45" customWidth="1"/>
    <col min="15622" max="15622" width="39.85546875" style="45" customWidth="1"/>
    <col min="15623" max="15623" width="53.140625" style="45" customWidth="1"/>
    <col min="15624" max="15624" width="35.28515625" style="45" customWidth="1"/>
    <col min="15625" max="15625" width="31" style="45" customWidth="1"/>
    <col min="15626" max="15626" width="29.140625" style="45" customWidth="1"/>
    <col min="15627" max="15627" width="30.140625" style="45" customWidth="1"/>
    <col min="15628" max="15628" width="49.140625" style="45" customWidth="1"/>
    <col min="15629" max="15629" width="31.85546875" style="45" customWidth="1"/>
    <col min="15630" max="15630" width="39.140625" style="45" customWidth="1"/>
    <col min="15631" max="15631" width="53" style="45" bestFit="1" customWidth="1"/>
    <col min="15632" max="15632" width="33.42578125" style="45" bestFit="1" customWidth="1"/>
    <col min="15633" max="15633" width="28.140625" style="45" customWidth="1"/>
    <col min="15634" max="15638" width="6.7109375" style="45" customWidth="1"/>
    <col min="15639" max="15639" width="1.7109375" style="45" customWidth="1"/>
    <col min="15640" max="15863" width="9.140625" style="45"/>
    <col min="15864" max="15864" width="16" style="45" customWidth="1"/>
    <col min="15865" max="15865" width="27.7109375" style="45" customWidth="1"/>
    <col min="15866" max="15866" width="65.7109375" style="45" customWidth="1"/>
    <col min="15867" max="15867" width="21.85546875" style="45" bestFit="1" customWidth="1"/>
    <col min="15868" max="15868" width="30.140625" style="45" customWidth="1"/>
    <col min="15869" max="15869" width="62" style="45" customWidth="1"/>
    <col min="15870" max="15870" width="44" style="45" customWidth="1"/>
    <col min="15871" max="15871" width="43.140625" style="45" customWidth="1"/>
    <col min="15872" max="15872" width="45" style="45" customWidth="1"/>
    <col min="15873" max="15873" width="35.5703125" style="45" customWidth="1"/>
    <col min="15874" max="15874" width="37.140625" style="45" customWidth="1"/>
    <col min="15875" max="15875" width="76.7109375" style="45" customWidth="1"/>
    <col min="15876" max="15876" width="37.7109375" style="45" customWidth="1"/>
    <col min="15877" max="15877" width="37.85546875" style="45" customWidth="1"/>
    <col min="15878" max="15878" width="39.85546875" style="45" customWidth="1"/>
    <col min="15879" max="15879" width="53.140625" style="45" customWidth="1"/>
    <col min="15880" max="15880" width="35.28515625" style="45" customWidth="1"/>
    <col min="15881" max="15881" width="31" style="45" customWidth="1"/>
    <col min="15882" max="15882" width="29.140625" style="45" customWidth="1"/>
    <col min="15883" max="15883" width="30.140625" style="45" customWidth="1"/>
    <col min="15884" max="15884" width="49.140625" style="45" customWidth="1"/>
    <col min="15885" max="15885" width="31.85546875" style="45" customWidth="1"/>
    <col min="15886" max="15886" width="39.140625" style="45" customWidth="1"/>
    <col min="15887" max="15887" width="53" style="45" bestFit="1" customWidth="1"/>
    <col min="15888" max="15888" width="33.42578125" style="45" bestFit="1" customWidth="1"/>
    <col min="15889" max="15889" width="28.140625" style="45" customWidth="1"/>
    <col min="15890" max="15894" width="6.7109375" style="45" customWidth="1"/>
    <col min="15895" max="15895" width="1.7109375" style="45" customWidth="1"/>
    <col min="15896" max="16119" width="9.140625" style="45"/>
    <col min="16120" max="16120" width="16" style="45" customWidth="1"/>
    <col min="16121" max="16121" width="27.7109375" style="45" customWidth="1"/>
    <col min="16122" max="16122" width="65.7109375" style="45" customWidth="1"/>
    <col min="16123" max="16123" width="21.85546875" style="45" bestFit="1" customWidth="1"/>
    <col min="16124" max="16124" width="30.140625" style="45" customWidth="1"/>
    <col min="16125" max="16125" width="62" style="45" customWidth="1"/>
    <col min="16126" max="16126" width="44" style="45" customWidth="1"/>
    <col min="16127" max="16127" width="43.140625" style="45" customWidth="1"/>
    <col min="16128" max="16128" width="45" style="45" customWidth="1"/>
    <col min="16129" max="16129" width="35.5703125" style="45" customWidth="1"/>
    <col min="16130" max="16130" width="37.140625" style="45" customWidth="1"/>
    <col min="16131" max="16131" width="76.7109375" style="45" customWidth="1"/>
    <col min="16132" max="16132" width="37.7109375" style="45" customWidth="1"/>
    <col min="16133" max="16133" width="37.85546875" style="45" customWidth="1"/>
    <col min="16134" max="16134" width="39.85546875" style="45" customWidth="1"/>
    <col min="16135" max="16135" width="53.140625" style="45" customWidth="1"/>
    <col min="16136" max="16136" width="35.28515625" style="45" customWidth="1"/>
    <col min="16137" max="16137" width="31" style="45" customWidth="1"/>
    <col min="16138" max="16138" width="29.140625" style="45" customWidth="1"/>
    <col min="16139" max="16139" width="30.140625" style="45" customWidth="1"/>
    <col min="16140" max="16140" width="49.140625" style="45" customWidth="1"/>
    <col min="16141" max="16141" width="31.85546875" style="45" customWidth="1"/>
    <col min="16142" max="16142" width="39.140625" style="45" customWidth="1"/>
    <col min="16143" max="16143" width="53" style="45" bestFit="1" customWidth="1"/>
    <col min="16144" max="16144" width="33.42578125" style="45" bestFit="1" customWidth="1"/>
    <col min="16145" max="16145" width="28.140625" style="45" customWidth="1"/>
    <col min="16146" max="16150" width="6.7109375" style="45" customWidth="1"/>
    <col min="16151" max="16151" width="1.7109375" style="45" customWidth="1"/>
    <col min="16152" max="16384" width="9.140625" style="45"/>
  </cols>
  <sheetData>
    <row r="1" spans="1:23" ht="30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60.75" customHeight="1" x14ac:dyDescent="0.25">
      <c r="A2" s="1"/>
      <c r="B2" s="352"/>
      <c r="C2" s="353"/>
      <c r="D2" s="353"/>
      <c r="E2" s="354"/>
      <c r="F2" s="358" t="s">
        <v>125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  <c r="S2" s="359"/>
      <c r="T2" s="359"/>
      <c r="U2" s="360"/>
      <c r="V2" s="364">
        <f>'11kV (Main)'!V2</f>
        <v>0</v>
      </c>
      <c r="W2" s="365"/>
    </row>
    <row r="3" spans="1:23" ht="65.25" customHeight="1" x14ac:dyDescent="0.25">
      <c r="A3" s="1"/>
      <c r="B3" s="355"/>
      <c r="C3" s="356"/>
      <c r="D3" s="356"/>
      <c r="E3" s="357"/>
      <c r="F3" s="361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3"/>
      <c r="V3" s="267" t="s">
        <v>0</v>
      </c>
      <c r="W3" s="146"/>
    </row>
    <row r="4" spans="1:23" ht="60.75" customHeight="1" x14ac:dyDescent="0.25">
      <c r="A4" s="1"/>
      <c r="B4" s="2"/>
      <c r="C4" s="1"/>
      <c r="D4" s="1"/>
      <c r="E4" s="1"/>
      <c r="F4" s="1"/>
      <c r="G4" s="3"/>
      <c r="H4" s="4"/>
      <c r="I4" s="3"/>
      <c r="J4" s="1"/>
      <c r="K4" s="3"/>
      <c r="L4" s="3"/>
      <c r="M4" s="1"/>
      <c r="N4" s="1"/>
      <c r="O4" s="1"/>
      <c r="P4" s="1"/>
      <c r="Q4" s="1"/>
      <c r="R4" s="3"/>
      <c r="S4" s="3"/>
      <c r="T4" s="1"/>
      <c r="U4" s="1"/>
      <c r="V4" s="268" t="s">
        <v>130</v>
      </c>
      <c r="W4" s="146"/>
    </row>
    <row r="5" spans="1:23" ht="60" customHeight="1" x14ac:dyDescent="0.25">
      <c r="A5" s="1"/>
      <c r="B5" s="5" t="s">
        <v>1</v>
      </c>
      <c r="C5" s="3"/>
      <c r="D5" s="3"/>
      <c r="E5" s="3"/>
      <c r="F5" s="3"/>
      <c r="G5" s="6"/>
      <c r="H5" s="7"/>
      <c r="I5" s="3"/>
      <c r="J5" s="4" t="s">
        <v>7</v>
      </c>
      <c r="K5" s="3"/>
      <c r="L5" s="1"/>
      <c r="M5" s="3"/>
      <c r="N5" s="3"/>
      <c r="O5" s="1"/>
      <c r="P5" s="1"/>
      <c r="Q5" s="1"/>
      <c r="R5" s="4" t="s">
        <v>3</v>
      </c>
      <c r="S5" s="1"/>
      <c r="T5" s="1"/>
      <c r="U5" s="1"/>
      <c r="V5" s="1"/>
      <c r="W5" s="8"/>
    </row>
    <row r="6" spans="1:23" ht="65.099999999999994" customHeight="1" x14ac:dyDescent="0.25">
      <c r="A6" s="1"/>
      <c r="B6" s="9" t="s">
        <v>2</v>
      </c>
      <c r="C6" s="7"/>
      <c r="D6" s="259">
        <f>'11kV (Main)'!D6</f>
        <v>0</v>
      </c>
      <c r="E6" s="6"/>
      <c r="F6" s="1"/>
      <c r="G6" s="51"/>
      <c r="H6" s="7"/>
      <c r="I6" s="1"/>
      <c r="J6" s="7" t="s">
        <v>82</v>
      </c>
      <c r="K6" s="3"/>
      <c r="L6" s="257">
        <f>'11kV (Main)'!L6</f>
        <v>0</v>
      </c>
      <c r="M6" s="256">
        <f>'11kV (Main)'!M6</f>
        <v>0</v>
      </c>
      <c r="N6" s="1"/>
      <c r="O6" s="1"/>
      <c r="P6" s="1"/>
      <c r="Q6" s="1"/>
      <c r="R6" s="3" t="s">
        <v>4</v>
      </c>
      <c r="S6" s="11"/>
      <c r="T6" s="1"/>
      <c r="U6" s="265">
        <f>'33kV (Main)'!U6</f>
        <v>0</v>
      </c>
      <c r="V6" s="1"/>
      <c r="W6" s="52"/>
    </row>
    <row r="7" spans="1:23" ht="65.099999999999994" customHeight="1" x14ac:dyDescent="0.25">
      <c r="A7" s="1"/>
      <c r="B7" s="9" t="s">
        <v>83</v>
      </c>
      <c r="C7" s="7"/>
      <c r="D7" s="259">
        <f>'11kV (Main)'!D7</f>
        <v>0</v>
      </c>
      <c r="E7" s="51"/>
      <c r="F7" s="1"/>
      <c r="G7" s="1"/>
      <c r="H7" s="7"/>
      <c r="I7" s="1"/>
      <c r="J7" s="7" t="s">
        <v>9</v>
      </c>
      <c r="K7" s="1"/>
      <c r="L7" s="258">
        <f>'11kV (Main)'!L7</f>
        <v>0</v>
      </c>
      <c r="M7" s="272"/>
      <c r="N7" s="1"/>
      <c r="O7" s="1"/>
      <c r="P7" s="1"/>
      <c r="Q7" s="1"/>
      <c r="R7" s="3" t="s">
        <v>5</v>
      </c>
      <c r="S7" s="11"/>
      <c r="T7" s="1"/>
      <c r="U7" s="266">
        <f>'33kV (Main)'!U7</f>
        <v>0</v>
      </c>
      <c r="V7" s="1"/>
      <c r="W7" s="52"/>
    </row>
    <row r="8" spans="1:23" ht="65.099999999999994" customHeight="1" x14ac:dyDescent="0.25">
      <c r="A8" s="1"/>
      <c r="B8" s="9" t="s">
        <v>84</v>
      </c>
      <c r="C8" s="7"/>
      <c r="D8" s="303">
        <f>'11kV (Main)'!D8</f>
        <v>0</v>
      </c>
      <c r="E8" s="14"/>
      <c r="F8" s="1"/>
      <c r="G8" s="1"/>
      <c r="H8" s="7"/>
      <c r="I8" s="1"/>
      <c r="J8" s="7" t="s">
        <v>10</v>
      </c>
      <c r="K8" s="1"/>
      <c r="L8" s="271">
        <f>'11kV (Main)'!L8</f>
        <v>0</v>
      </c>
      <c r="M8" s="272"/>
      <c r="N8" s="1"/>
      <c r="O8" s="1"/>
      <c r="P8" s="1"/>
      <c r="Q8" s="1"/>
      <c r="R8" s="3" t="s">
        <v>6</v>
      </c>
      <c r="S8" s="11"/>
      <c r="T8" s="1"/>
      <c r="U8" s="264">
        <f>'33kV (Main)'!U8</f>
        <v>0</v>
      </c>
      <c r="V8" s="1"/>
      <c r="W8" s="52"/>
    </row>
    <row r="9" spans="1:23" ht="65.099999999999994" customHeight="1" x14ac:dyDescent="0.25">
      <c r="A9" s="1"/>
      <c r="B9" s="12" t="s">
        <v>85</v>
      </c>
      <c r="C9" s="1"/>
      <c r="D9" s="262">
        <f>'11kV (Main)'!D9</f>
        <v>0</v>
      </c>
      <c r="E9" s="15"/>
      <c r="F9" s="1"/>
      <c r="G9" s="3"/>
      <c r="H9" s="7"/>
      <c r="I9" s="3"/>
      <c r="J9" s="7" t="s">
        <v>86</v>
      </c>
      <c r="K9" s="1"/>
      <c r="L9" s="271">
        <f>'11kV (Main)'!L9</f>
        <v>0</v>
      </c>
      <c r="M9" s="272"/>
      <c r="N9" s="1"/>
      <c r="O9" s="1"/>
      <c r="P9" s="1"/>
      <c r="Q9" s="1"/>
      <c r="R9" s="3"/>
      <c r="S9" s="3"/>
      <c r="T9" s="1"/>
      <c r="U9" s="1"/>
      <c r="V9" s="1"/>
      <c r="W9" s="8"/>
    </row>
    <row r="10" spans="1:23" ht="65.099999999999994" customHeight="1" x14ac:dyDescent="0.25">
      <c r="A10" s="1"/>
      <c r="B10" s="48"/>
      <c r="C10" s="3"/>
      <c r="D10" s="3"/>
      <c r="E10" s="7"/>
      <c r="F10" s="1"/>
      <c r="G10" s="7"/>
      <c r="H10" s="7"/>
      <c r="I10" s="3"/>
      <c r="J10" s="7" t="s">
        <v>8</v>
      </c>
      <c r="K10" s="3"/>
      <c r="L10" s="260">
        <f>'11kV (Main)'!L10</f>
        <v>0</v>
      </c>
      <c r="M10" s="270"/>
      <c r="N10" s="1"/>
      <c r="O10" s="1"/>
      <c r="P10" s="1"/>
      <c r="Q10" s="1"/>
      <c r="R10" s="3"/>
      <c r="S10" s="1"/>
      <c r="T10" s="1"/>
      <c r="U10" s="1"/>
      <c r="V10" s="1"/>
      <c r="W10" s="8"/>
    </row>
    <row r="11" spans="1:23" ht="65.099999999999994" customHeight="1" x14ac:dyDescent="0.25">
      <c r="A11" s="1"/>
      <c r="B11" s="9"/>
      <c r="C11" s="3"/>
      <c r="D11" s="1"/>
      <c r="E11" s="32"/>
      <c r="F11" s="47"/>
      <c r="G11" s="1"/>
      <c r="H11" s="7"/>
      <c r="I11" s="3"/>
      <c r="J11" s="7" t="s">
        <v>19</v>
      </c>
      <c r="K11" s="3"/>
      <c r="L11" s="259">
        <f>'11kV (Main)'!L11</f>
        <v>0</v>
      </c>
      <c r="M11" s="270"/>
      <c r="N11" s="3"/>
      <c r="O11" s="1"/>
      <c r="P11" s="3"/>
      <c r="Q11" s="1"/>
      <c r="R11" s="1"/>
      <c r="S11" s="7"/>
      <c r="T11" s="7"/>
      <c r="U11" s="7"/>
      <c r="V11" s="1"/>
      <c r="W11" s="8"/>
    </row>
    <row r="12" spans="1:23" ht="12.75" customHeight="1" x14ac:dyDescent="0.25">
      <c r="A12" s="1"/>
      <c r="B12" s="54"/>
      <c r="C12" s="3"/>
      <c r="D12" s="1"/>
      <c r="E12" s="32"/>
      <c r="F12" s="47"/>
      <c r="G12" s="1"/>
      <c r="H12" s="7"/>
      <c r="I12" s="3"/>
      <c r="J12" s="7"/>
      <c r="K12" s="3"/>
      <c r="L12" s="32"/>
      <c r="M12" s="32"/>
      <c r="N12" s="7"/>
      <c r="O12" s="3"/>
      <c r="P12" s="3"/>
      <c r="Q12" s="1"/>
      <c r="R12" s="1"/>
      <c r="S12" s="7"/>
      <c r="T12" s="7"/>
      <c r="U12" s="7"/>
      <c r="V12" s="1"/>
      <c r="W12" s="8"/>
    </row>
    <row r="13" spans="1:23" ht="59.25" customHeight="1" x14ac:dyDescent="0.25">
      <c r="A13" s="1"/>
      <c r="B13" s="366" t="s">
        <v>114</v>
      </c>
      <c r="C13" s="351" t="s">
        <v>115</v>
      </c>
      <c r="D13" s="351" t="s">
        <v>116</v>
      </c>
      <c r="E13" s="351" t="s">
        <v>113</v>
      </c>
      <c r="F13" s="351" t="s">
        <v>87</v>
      </c>
      <c r="G13" s="351" t="s">
        <v>88</v>
      </c>
      <c r="H13" s="351" t="s">
        <v>89</v>
      </c>
      <c r="I13" s="351" t="s">
        <v>117</v>
      </c>
      <c r="J13" s="351" t="s">
        <v>118</v>
      </c>
      <c r="K13" s="351" t="s">
        <v>119</v>
      </c>
      <c r="L13" s="372" t="s">
        <v>31</v>
      </c>
      <c r="M13" s="372"/>
      <c r="N13" s="372"/>
      <c r="O13" s="372"/>
      <c r="P13" s="372"/>
      <c r="Q13" s="372"/>
      <c r="R13" s="373" t="s">
        <v>11</v>
      </c>
      <c r="S13" s="373"/>
      <c r="T13" s="367" t="s">
        <v>12</v>
      </c>
      <c r="U13" s="368"/>
      <c r="V13" s="368"/>
      <c r="W13" s="369"/>
    </row>
    <row r="14" spans="1:23" ht="103.5" customHeight="1" x14ac:dyDescent="0.25">
      <c r="A14" s="1"/>
      <c r="B14" s="366"/>
      <c r="C14" s="351"/>
      <c r="D14" s="351"/>
      <c r="E14" s="351"/>
      <c r="F14" s="351"/>
      <c r="G14" s="351"/>
      <c r="H14" s="351"/>
      <c r="I14" s="351"/>
      <c r="J14" s="351"/>
      <c r="K14" s="351"/>
      <c r="L14" s="123" t="s">
        <v>90</v>
      </c>
      <c r="M14" s="123" t="s">
        <v>91</v>
      </c>
      <c r="N14" s="123" t="s">
        <v>92</v>
      </c>
      <c r="O14" s="123" t="s">
        <v>93</v>
      </c>
      <c r="P14" s="123" t="s">
        <v>94</v>
      </c>
      <c r="Q14" s="128" t="s">
        <v>95</v>
      </c>
      <c r="R14" s="123" t="s">
        <v>14</v>
      </c>
      <c r="S14" s="123" t="s">
        <v>15</v>
      </c>
      <c r="T14" s="123" t="s">
        <v>16</v>
      </c>
      <c r="U14" s="123" t="s">
        <v>96</v>
      </c>
      <c r="V14" s="370" t="s">
        <v>95</v>
      </c>
      <c r="W14" s="371"/>
    </row>
    <row r="15" spans="1:23" ht="69.95" customHeight="1" x14ac:dyDescent="0.25">
      <c r="A15" s="1"/>
      <c r="B15" s="332">
        <v>9</v>
      </c>
      <c r="C15" s="332"/>
      <c r="D15" s="339"/>
      <c r="E15" s="332"/>
      <c r="F15" s="348"/>
      <c r="G15" s="348"/>
      <c r="H15" s="348"/>
      <c r="I15" s="348"/>
      <c r="J15" s="132" t="s">
        <v>97</v>
      </c>
      <c r="K15" s="131" t="s">
        <v>98</v>
      </c>
      <c r="L15" s="145"/>
      <c r="M15" s="145"/>
      <c r="N15" s="145" t="str">
        <f>IF(M15="","",M15-L15)</f>
        <v/>
      </c>
      <c r="O15" s="145" t="str">
        <f t="shared" ref="O15:O62" si="0">IF(M15="","",((L15+M15)/2))</f>
        <v/>
      </c>
      <c r="P15" s="16"/>
      <c r="Q15" s="130"/>
      <c r="R15" s="124"/>
      <c r="S15" s="123" t="str">
        <f>IF(R15&lt;&gt;"", 0, "")</f>
        <v/>
      </c>
      <c r="T15" s="124"/>
      <c r="U15" s="123"/>
      <c r="V15" s="291"/>
      <c r="W15" s="292"/>
    </row>
    <row r="16" spans="1:23" ht="69.95" customHeight="1" x14ac:dyDescent="0.25">
      <c r="A16" s="1"/>
      <c r="B16" s="333"/>
      <c r="C16" s="333"/>
      <c r="D16" s="342"/>
      <c r="E16" s="333"/>
      <c r="F16" s="349"/>
      <c r="G16" s="349"/>
      <c r="H16" s="349"/>
      <c r="I16" s="349"/>
      <c r="J16" s="124"/>
      <c r="K16" s="131" t="s">
        <v>99</v>
      </c>
      <c r="L16" s="145"/>
      <c r="M16" s="304"/>
      <c r="N16" s="145" t="str">
        <f t="shared" ref="N16:N62" si="1">IF(M16="","",M16-L16)</f>
        <v/>
      </c>
      <c r="O16" s="145" t="str">
        <f t="shared" si="0"/>
        <v/>
      </c>
      <c r="P16" s="16"/>
      <c r="Q16" s="148"/>
      <c r="R16" s="124"/>
      <c r="S16" s="123" t="str">
        <f>IF(R16&lt;&gt;"", 0, "")</f>
        <v/>
      </c>
      <c r="T16" s="124"/>
      <c r="U16" s="123"/>
      <c r="V16" s="293"/>
      <c r="W16" s="62"/>
    </row>
    <row r="17" spans="1:23" ht="69.95" customHeight="1" x14ac:dyDescent="0.25">
      <c r="A17" s="1"/>
      <c r="B17" s="333"/>
      <c r="C17" s="333"/>
      <c r="D17" s="342"/>
      <c r="E17" s="333"/>
      <c r="F17" s="349"/>
      <c r="G17" s="349"/>
      <c r="H17" s="349"/>
      <c r="I17" s="349"/>
      <c r="J17" s="132" t="s">
        <v>100</v>
      </c>
      <c r="K17" s="131" t="s">
        <v>101</v>
      </c>
      <c r="L17" s="145"/>
      <c r="M17" s="304"/>
      <c r="N17" s="145" t="str">
        <f t="shared" si="1"/>
        <v/>
      </c>
      <c r="O17" s="145" t="str">
        <f t="shared" si="0"/>
        <v/>
      </c>
      <c r="P17" s="16"/>
      <c r="Q17" s="148"/>
      <c r="R17" s="31"/>
      <c r="S17" s="129"/>
      <c r="T17" s="124"/>
      <c r="U17" s="123"/>
      <c r="V17" s="293"/>
      <c r="W17" s="62"/>
    </row>
    <row r="18" spans="1:23" ht="69.95" customHeight="1" x14ac:dyDescent="0.25">
      <c r="A18" s="1"/>
      <c r="B18" s="333"/>
      <c r="C18" s="333"/>
      <c r="D18" s="342"/>
      <c r="E18" s="333"/>
      <c r="F18" s="349"/>
      <c r="G18" s="349"/>
      <c r="H18" s="349"/>
      <c r="I18" s="349"/>
      <c r="J18" s="124" t="str">
        <f>IF(J16="","","0.0")</f>
        <v/>
      </c>
      <c r="K18" s="131" t="s">
        <v>102</v>
      </c>
      <c r="L18" s="145"/>
      <c r="M18" s="304"/>
      <c r="N18" s="145" t="str">
        <f t="shared" si="1"/>
        <v/>
      </c>
      <c r="O18" s="145" t="str">
        <f t="shared" si="0"/>
        <v/>
      </c>
      <c r="P18" s="16"/>
      <c r="Q18" s="148"/>
      <c r="R18" s="124"/>
      <c r="S18" s="123" t="str">
        <f>IF(R18&lt;&gt;"", 0, "")</f>
        <v/>
      </c>
      <c r="T18" s="124"/>
      <c r="U18" s="123"/>
      <c r="V18" s="293"/>
      <c r="W18" s="62"/>
    </row>
    <row r="19" spans="1:23" ht="69.95" customHeight="1" x14ac:dyDescent="0.25">
      <c r="A19" s="1"/>
      <c r="B19" s="333"/>
      <c r="C19" s="333"/>
      <c r="D19" s="342"/>
      <c r="E19" s="333"/>
      <c r="F19" s="349"/>
      <c r="G19" s="349"/>
      <c r="H19" s="349"/>
      <c r="I19" s="349"/>
      <c r="J19" s="43"/>
      <c r="K19" s="131" t="s">
        <v>111</v>
      </c>
      <c r="L19" s="145"/>
      <c r="M19" s="304"/>
      <c r="N19" s="145" t="str">
        <f t="shared" si="1"/>
        <v/>
      </c>
      <c r="O19" s="145" t="str">
        <f t="shared" si="0"/>
        <v/>
      </c>
      <c r="P19" s="16"/>
      <c r="Q19" s="148"/>
      <c r="R19" s="31"/>
      <c r="S19" s="129"/>
      <c r="T19" s="124"/>
      <c r="U19" s="123"/>
      <c r="V19" s="293"/>
      <c r="W19" s="62"/>
    </row>
    <row r="20" spans="1:23" ht="69.95" customHeight="1" x14ac:dyDescent="0.25">
      <c r="A20" s="1"/>
      <c r="B20" s="334"/>
      <c r="C20" s="334"/>
      <c r="D20" s="345"/>
      <c r="E20" s="334"/>
      <c r="F20" s="350"/>
      <c r="G20" s="350"/>
      <c r="H20" s="350"/>
      <c r="I20" s="350"/>
      <c r="J20" s="43"/>
      <c r="K20" s="131" t="s">
        <v>112</v>
      </c>
      <c r="L20" s="145"/>
      <c r="M20" s="145"/>
      <c r="N20" s="145" t="str">
        <f t="shared" si="1"/>
        <v/>
      </c>
      <c r="O20" s="145" t="str">
        <f t="shared" si="0"/>
        <v/>
      </c>
      <c r="P20" s="16"/>
      <c r="Q20" s="149"/>
      <c r="R20" s="31"/>
      <c r="S20" s="129"/>
      <c r="T20" s="124"/>
      <c r="U20" s="123"/>
      <c r="V20" s="294"/>
      <c r="W20" s="295"/>
    </row>
    <row r="21" spans="1:23" ht="69.95" customHeight="1" x14ac:dyDescent="0.25">
      <c r="A21" s="1"/>
      <c r="B21" s="332">
        <v>10</v>
      </c>
      <c r="C21" s="332"/>
      <c r="D21" s="339"/>
      <c r="E21" s="332"/>
      <c r="F21" s="348"/>
      <c r="G21" s="348"/>
      <c r="H21" s="348"/>
      <c r="I21" s="348"/>
      <c r="J21" s="132" t="s">
        <v>97</v>
      </c>
      <c r="K21" s="131" t="s">
        <v>98</v>
      </c>
      <c r="L21" s="145"/>
      <c r="M21" s="145"/>
      <c r="N21" s="145" t="str">
        <f t="shared" si="1"/>
        <v/>
      </c>
      <c r="O21" s="145" t="str">
        <f t="shared" si="0"/>
        <v/>
      </c>
      <c r="P21" s="16"/>
      <c r="Q21" s="153"/>
      <c r="R21" s="124"/>
      <c r="S21" s="123" t="str">
        <f t="shared" ref="S21:S22" si="2">IF(R21&lt;&gt;"", 0, "")</f>
        <v/>
      </c>
      <c r="T21" s="124"/>
      <c r="U21" s="123"/>
      <c r="V21" s="291"/>
      <c r="W21" s="292"/>
    </row>
    <row r="22" spans="1:23" ht="69.95" customHeight="1" x14ac:dyDescent="0.25">
      <c r="A22" s="1"/>
      <c r="B22" s="333"/>
      <c r="C22" s="333"/>
      <c r="D22" s="342"/>
      <c r="E22" s="333"/>
      <c r="F22" s="349"/>
      <c r="G22" s="349"/>
      <c r="H22" s="349"/>
      <c r="I22" s="349"/>
      <c r="J22" s="124"/>
      <c r="K22" s="131" t="s">
        <v>99</v>
      </c>
      <c r="L22" s="145"/>
      <c r="M22" s="304"/>
      <c r="N22" s="145" t="str">
        <f t="shared" si="1"/>
        <v/>
      </c>
      <c r="O22" s="145" t="str">
        <f t="shared" si="0"/>
        <v/>
      </c>
      <c r="P22" s="16"/>
      <c r="Q22" s="154"/>
      <c r="R22" s="124"/>
      <c r="S22" s="123" t="str">
        <f t="shared" si="2"/>
        <v/>
      </c>
      <c r="T22" s="124"/>
      <c r="U22" s="123"/>
      <c r="V22" s="293"/>
      <c r="W22" s="62"/>
    </row>
    <row r="23" spans="1:23" ht="69.95" customHeight="1" x14ac:dyDescent="0.25">
      <c r="A23" s="1"/>
      <c r="B23" s="333"/>
      <c r="C23" s="333"/>
      <c r="D23" s="342"/>
      <c r="E23" s="333"/>
      <c r="F23" s="349"/>
      <c r="G23" s="349"/>
      <c r="H23" s="349"/>
      <c r="I23" s="349"/>
      <c r="J23" s="132" t="s">
        <v>100</v>
      </c>
      <c r="K23" s="131" t="s">
        <v>101</v>
      </c>
      <c r="L23" s="145"/>
      <c r="M23" s="304"/>
      <c r="N23" s="145" t="str">
        <f t="shared" si="1"/>
        <v/>
      </c>
      <c r="O23" s="145" t="str">
        <f t="shared" si="0"/>
        <v/>
      </c>
      <c r="P23" s="16"/>
      <c r="Q23" s="154"/>
      <c r="R23" s="31"/>
      <c r="S23" s="129"/>
      <c r="T23" s="124"/>
      <c r="U23" s="123"/>
      <c r="V23" s="293"/>
      <c r="W23" s="62"/>
    </row>
    <row r="24" spans="1:23" ht="69.95" customHeight="1" x14ac:dyDescent="0.25">
      <c r="A24" s="1"/>
      <c r="B24" s="333"/>
      <c r="C24" s="333"/>
      <c r="D24" s="342"/>
      <c r="E24" s="333"/>
      <c r="F24" s="349"/>
      <c r="G24" s="349"/>
      <c r="H24" s="349"/>
      <c r="I24" s="349"/>
      <c r="J24" s="124" t="str">
        <f>IF(J22="","","0.0")</f>
        <v/>
      </c>
      <c r="K24" s="131" t="s">
        <v>102</v>
      </c>
      <c r="L24" s="145"/>
      <c r="M24" s="304"/>
      <c r="N24" s="145" t="str">
        <f t="shared" si="1"/>
        <v/>
      </c>
      <c r="O24" s="145" t="str">
        <f t="shared" si="0"/>
        <v/>
      </c>
      <c r="P24" s="16"/>
      <c r="Q24" s="154"/>
      <c r="R24" s="124"/>
      <c r="S24" s="123" t="str">
        <f>IF(R24&lt;&gt;"", 0, "")</f>
        <v/>
      </c>
      <c r="T24" s="124"/>
      <c r="U24" s="123"/>
      <c r="V24" s="293"/>
      <c r="W24" s="62"/>
    </row>
    <row r="25" spans="1:23" ht="69.95" customHeight="1" x14ac:dyDescent="0.25">
      <c r="A25" s="1"/>
      <c r="B25" s="333"/>
      <c r="C25" s="333"/>
      <c r="D25" s="342"/>
      <c r="E25" s="333"/>
      <c r="F25" s="349"/>
      <c r="G25" s="349"/>
      <c r="H25" s="349"/>
      <c r="I25" s="349"/>
      <c r="J25" s="43"/>
      <c r="K25" s="131" t="s">
        <v>111</v>
      </c>
      <c r="L25" s="145"/>
      <c r="M25" s="304"/>
      <c r="N25" s="145" t="str">
        <f t="shared" si="1"/>
        <v/>
      </c>
      <c r="O25" s="145" t="str">
        <f t="shared" si="0"/>
        <v/>
      </c>
      <c r="P25" s="16"/>
      <c r="Q25" s="154"/>
      <c r="R25" s="31"/>
      <c r="S25" s="129"/>
      <c r="T25" s="124"/>
      <c r="U25" s="123"/>
      <c r="V25" s="293"/>
      <c r="W25" s="62"/>
    </row>
    <row r="26" spans="1:23" ht="69.95" customHeight="1" x14ac:dyDescent="0.25">
      <c r="A26" s="1"/>
      <c r="B26" s="334"/>
      <c r="C26" s="334"/>
      <c r="D26" s="345"/>
      <c r="E26" s="334"/>
      <c r="F26" s="350"/>
      <c r="G26" s="350"/>
      <c r="H26" s="350"/>
      <c r="I26" s="350"/>
      <c r="J26" s="43"/>
      <c r="K26" s="131" t="s">
        <v>112</v>
      </c>
      <c r="L26" s="145"/>
      <c r="M26" s="145"/>
      <c r="N26" s="145" t="str">
        <f t="shared" si="1"/>
        <v/>
      </c>
      <c r="O26" s="145" t="str">
        <f t="shared" si="0"/>
        <v/>
      </c>
      <c r="P26" s="16"/>
      <c r="Q26" s="155"/>
      <c r="R26" s="31"/>
      <c r="S26" s="129"/>
      <c r="T26" s="124"/>
      <c r="U26" s="123"/>
      <c r="V26" s="294"/>
      <c r="W26" s="295"/>
    </row>
    <row r="27" spans="1:23" ht="69.95" customHeight="1" x14ac:dyDescent="0.25">
      <c r="A27" s="1"/>
      <c r="B27" s="332">
        <v>11</v>
      </c>
      <c r="C27" s="332"/>
      <c r="D27" s="339"/>
      <c r="E27" s="332"/>
      <c r="F27" s="348"/>
      <c r="G27" s="348"/>
      <c r="H27" s="348"/>
      <c r="I27" s="348"/>
      <c r="J27" s="132" t="s">
        <v>97</v>
      </c>
      <c r="K27" s="131" t="s">
        <v>98</v>
      </c>
      <c r="L27" s="145"/>
      <c r="M27" s="145"/>
      <c r="N27" s="145" t="str">
        <f t="shared" si="1"/>
        <v/>
      </c>
      <c r="O27" s="145" t="str">
        <f t="shared" si="0"/>
        <v/>
      </c>
      <c r="P27" s="16"/>
      <c r="Q27" s="153"/>
      <c r="R27" s="124"/>
      <c r="S27" s="123" t="str">
        <f t="shared" ref="S27:S28" si="3">IF(R27&lt;&gt;"", 0, "")</f>
        <v/>
      </c>
      <c r="T27" s="124"/>
      <c r="U27" s="123"/>
      <c r="V27" s="291"/>
      <c r="W27" s="292"/>
    </row>
    <row r="28" spans="1:23" ht="69.95" customHeight="1" x14ac:dyDescent="0.25">
      <c r="A28" s="1"/>
      <c r="B28" s="333"/>
      <c r="C28" s="333"/>
      <c r="D28" s="342"/>
      <c r="E28" s="333"/>
      <c r="F28" s="349"/>
      <c r="G28" s="349"/>
      <c r="H28" s="349"/>
      <c r="I28" s="349"/>
      <c r="J28" s="124"/>
      <c r="K28" s="131" t="s">
        <v>99</v>
      </c>
      <c r="L28" s="145"/>
      <c r="M28" s="304"/>
      <c r="N28" s="145" t="str">
        <f t="shared" si="1"/>
        <v/>
      </c>
      <c r="O28" s="145" t="str">
        <f t="shared" si="0"/>
        <v/>
      </c>
      <c r="P28" s="16"/>
      <c r="Q28" s="154"/>
      <c r="R28" s="124"/>
      <c r="S28" s="123" t="str">
        <f t="shared" si="3"/>
        <v/>
      </c>
      <c r="T28" s="124"/>
      <c r="U28" s="123"/>
      <c r="V28" s="293"/>
      <c r="W28" s="62"/>
    </row>
    <row r="29" spans="1:23" ht="69.95" customHeight="1" x14ac:dyDescent="0.25">
      <c r="A29" s="1"/>
      <c r="B29" s="333"/>
      <c r="C29" s="333"/>
      <c r="D29" s="342"/>
      <c r="E29" s="333"/>
      <c r="F29" s="349"/>
      <c r="G29" s="349"/>
      <c r="H29" s="349"/>
      <c r="I29" s="349"/>
      <c r="J29" s="132" t="s">
        <v>100</v>
      </c>
      <c r="K29" s="131" t="s">
        <v>101</v>
      </c>
      <c r="L29" s="145"/>
      <c r="M29" s="304"/>
      <c r="N29" s="145" t="str">
        <f t="shared" si="1"/>
        <v/>
      </c>
      <c r="O29" s="145" t="str">
        <f t="shared" si="0"/>
        <v/>
      </c>
      <c r="P29" s="16"/>
      <c r="Q29" s="154"/>
      <c r="R29" s="31"/>
      <c r="S29" s="129"/>
      <c r="T29" s="124"/>
      <c r="U29" s="123"/>
      <c r="V29" s="293"/>
      <c r="W29" s="62"/>
    </row>
    <row r="30" spans="1:23" ht="69.95" customHeight="1" x14ac:dyDescent="0.25">
      <c r="A30" s="1"/>
      <c r="B30" s="333"/>
      <c r="C30" s="333"/>
      <c r="D30" s="342"/>
      <c r="E30" s="333"/>
      <c r="F30" s="349"/>
      <c r="G30" s="349"/>
      <c r="H30" s="349"/>
      <c r="I30" s="349"/>
      <c r="J30" s="124" t="str">
        <f>IF(J28="","","0.0")</f>
        <v/>
      </c>
      <c r="K30" s="131" t="s">
        <v>102</v>
      </c>
      <c r="L30" s="145"/>
      <c r="M30" s="304"/>
      <c r="N30" s="145" t="str">
        <f t="shared" si="1"/>
        <v/>
      </c>
      <c r="O30" s="145" t="str">
        <f t="shared" si="0"/>
        <v/>
      </c>
      <c r="P30" s="16"/>
      <c r="Q30" s="154"/>
      <c r="R30" s="124"/>
      <c r="S30" s="123" t="str">
        <f>IF(R30&lt;&gt;"", 0, "")</f>
        <v/>
      </c>
      <c r="T30" s="124"/>
      <c r="U30" s="123"/>
      <c r="V30" s="293"/>
      <c r="W30" s="62"/>
    </row>
    <row r="31" spans="1:23" ht="69.95" customHeight="1" x14ac:dyDescent="0.25">
      <c r="A31" s="1"/>
      <c r="B31" s="333"/>
      <c r="C31" s="333"/>
      <c r="D31" s="342"/>
      <c r="E31" s="333"/>
      <c r="F31" s="349"/>
      <c r="G31" s="349"/>
      <c r="H31" s="349"/>
      <c r="I31" s="349"/>
      <c r="J31" s="43"/>
      <c r="K31" s="131" t="s">
        <v>111</v>
      </c>
      <c r="L31" s="145"/>
      <c r="M31" s="304"/>
      <c r="N31" s="145" t="str">
        <f t="shared" si="1"/>
        <v/>
      </c>
      <c r="O31" s="145" t="str">
        <f t="shared" si="0"/>
        <v/>
      </c>
      <c r="P31" s="16"/>
      <c r="Q31" s="154"/>
      <c r="R31" s="31"/>
      <c r="S31" s="129"/>
      <c r="T31" s="124"/>
      <c r="U31" s="123"/>
      <c r="V31" s="293"/>
      <c r="W31" s="62"/>
    </row>
    <row r="32" spans="1:23" ht="69.95" customHeight="1" x14ac:dyDescent="0.25">
      <c r="A32" s="1"/>
      <c r="B32" s="334"/>
      <c r="C32" s="334"/>
      <c r="D32" s="345"/>
      <c r="E32" s="334"/>
      <c r="F32" s="350"/>
      <c r="G32" s="350"/>
      <c r="H32" s="350"/>
      <c r="I32" s="350"/>
      <c r="J32" s="43"/>
      <c r="K32" s="131" t="s">
        <v>112</v>
      </c>
      <c r="L32" s="145"/>
      <c r="M32" s="145"/>
      <c r="N32" s="145" t="str">
        <f t="shared" si="1"/>
        <v/>
      </c>
      <c r="O32" s="145" t="str">
        <f t="shared" si="0"/>
        <v/>
      </c>
      <c r="P32" s="16"/>
      <c r="Q32" s="155"/>
      <c r="R32" s="31"/>
      <c r="S32" s="129"/>
      <c r="T32" s="124"/>
      <c r="U32" s="123"/>
      <c r="V32" s="294"/>
      <c r="W32" s="295"/>
    </row>
    <row r="33" spans="1:23" ht="69.95" customHeight="1" x14ac:dyDescent="0.25">
      <c r="A33" s="1"/>
      <c r="B33" s="332">
        <v>12</v>
      </c>
      <c r="C33" s="332"/>
      <c r="D33" s="339"/>
      <c r="E33" s="332"/>
      <c r="F33" s="348"/>
      <c r="G33" s="348"/>
      <c r="H33" s="348"/>
      <c r="I33" s="348"/>
      <c r="J33" s="132" t="s">
        <v>97</v>
      </c>
      <c r="K33" s="131" t="s">
        <v>98</v>
      </c>
      <c r="L33" s="145"/>
      <c r="M33" s="145"/>
      <c r="N33" s="145" t="str">
        <f t="shared" si="1"/>
        <v/>
      </c>
      <c r="O33" s="145" t="str">
        <f t="shared" si="0"/>
        <v/>
      </c>
      <c r="P33" s="16"/>
      <c r="Q33" s="153"/>
      <c r="R33" s="124"/>
      <c r="S33" s="123" t="str">
        <f t="shared" ref="S33:S34" si="4">IF(R33&lt;&gt;"", 0, "")</f>
        <v/>
      </c>
      <c r="T33" s="124"/>
      <c r="U33" s="123"/>
      <c r="V33" s="291"/>
      <c r="W33" s="292"/>
    </row>
    <row r="34" spans="1:23" ht="69.95" customHeight="1" x14ac:dyDescent="0.25">
      <c r="A34" s="1"/>
      <c r="B34" s="333"/>
      <c r="C34" s="333"/>
      <c r="D34" s="342"/>
      <c r="E34" s="333"/>
      <c r="F34" s="349"/>
      <c r="G34" s="349"/>
      <c r="H34" s="349"/>
      <c r="I34" s="349"/>
      <c r="J34" s="124"/>
      <c r="K34" s="131" t="s">
        <v>99</v>
      </c>
      <c r="L34" s="145"/>
      <c r="M34" s="304"/>
      <c r="N34" s="145" t="str">
        <f t="shared" si="1"/>
        <v/>
      </c>
      <c r="O34" s="145" t="str">
        <f t="shared" si="0"/>
        <v/>
      </c>
      <c r="P34" s="16"/>
      <c r="Q34" s="154"/>
      <c r="R34" s="124"/>
      <c r="S34" s="123" t="str">
        <f t="shared" si="4"/>
        <v/>
      </c>
      <c r="T34" s="124"/>
      <c r="U34" s="123"/>
      <c r="V34" s="293"/>
      <c r="W34" s="62"/>
    </row>
    <row r="35" spans="1:23" ht="69.95" customHeight="1" x14ac:dyDescent="0.25">
      <c r="A35" s="1"/>
      <c r="B35" s="333"/>
      <c r="C35" s="333"/>
      <c r="D35" s="342"/>
      <c r="E35" s="333"/>
      <c r="F35" s="349"/>
      <c r="G35" s="349"/>
      <c r="H35" s="349"/>
      <c r="I35" s="349"/>
      <c r="J35" s="132" t="s">
        <v>100</v>
      </c>
      <c r="K35" s="131" t="s">
        <v>101</v>
      </c>
      <c r="L35" s="145"/>
      <c r="M35" s="304"/>
      <c r="N35" s="145" t="str">
        <f t="shared" si="1"/>
        <v/>
      </c>
      <c r="O35" s="145" t="str">
        <f t="shared" si="0"/>
        <v/>
      </c>
      <c r="P35" s="16"/>
      <c r="Q35" s="154"/>
      <c r="R35" s="31"/>
      <c r="S35" s="129"/>
      <c r="T35" s="124"/>
      <c r="U35" s="123"/>
      <c r="V35" s="293"/>
      <c r="W35" s="62"/>
    </row>
    <row r="36" spans="1:23" ht="69.95" customHeight="1" x14ac:dyDescent="0.25">
      <c r="A36" s="1"/>
      <c r="B36" s="333"/>
      <c r="C36" s="333"/>
      <c r="D36" s="342"/>
      <c r="E36" s="333"/>
      <c r="F36" s="349"/>
      <c r="G36" s="349"/>
      <c r="H36" s="349"/>
      <c r="I36" s="349"/>
      <c r="J36" s="124" t="str">
        <f>IF(J34="","","0.0")</f>
        <v/>
      </c>
      <c r="K36" s="131" t="s">
        <v>102</v>
      </c>
      <c r="L36" s="145"/>
      <c r="M36" s="304"/>
      <c r="N36" s="145" t="str">
        <f t="shared" si="1"/>
        <v/>
      </c>
      <c r="O36" s="145" t="str">
        <f t="shared" si="0"/>
        <v/>
      </c>
      <c r="P36" s="16"/>
      <c r="Q36" s="154"/>
      <c r="R36" s="124"/>
      <c r="S36" s="123" t="str">
        <f>IF(R36&lt;&gt;"", 0, "")</f>
        <v/>
      </c>
      <c r="T36" s="124"/>
      <c r="U36" s="123"/>
      <c r="V36" s="293"/>
      <c r="W36" s="62"/>
    </row>
    <row r="37" spans="1:23" ht="69.95" customHeight="1" x14ac:dyDescent="0.25">
      <c r="A37" s="1"/>
      <c r="B37" s="333"/>
      <c r="C37" s="333"/>
      <c r="D37" s="342"/>
      <c r="E37" s="333"/>
      <c r="F37" s="349"/>
      <c r="G37" s="349"/>
      <c r="H37" s="349"/>
      <c r="I37" s="349"/>
      <c r="J37" s="43"/>
      <c r="K37" s="131" t="s">
        <v>111</v>
      </c>
      <c r="L37" s="145"/>
      <c r="M37" s="304"/>
      <c r="N37" s="145" t="str">
        <f t="shared" si="1"/>
        <v/>
      </c>
      <c r="O37" s="145" t="str">
        <f t="shared" si="0"/>
        <v/>
      </c>
      <c r="P37" s="16"/>
      <c r="Q37" s="154"/>
      <c r="R37" s="31"/>
      <c r="S37" s="129"/>
      <c r="T37" s="124"/>
      <c r="U37" s="123"/>
      <c r="V37" s="293"/>
      <c r="W37" s="62"/>
    </row>
    <row r="38" spans="1:23" ht="69.95" customHeight="1" x14ac:dyDescent="0.25">
      <c r="A38" s="1"/>
      <c r="B38" s="334"/>
      <c r="C38" s="334"/>
      <c r="D38" s="345"/>
      <c r="E38" s="334"/>
      <c r="F38" s="350"/>
      <c r="G38" s="350"/>
      <c r="H38" s="350"/>
      <c r="I38" s="350"/>
      <c r="J38" s="43"/>
      <c r="K38" s="131" t="s">
        <v>112</v>
      </c>
      <c r="L38" s="145"/>
      <c r="M38" s="145"/>
      <c r="N38" s="145" t="str">
        <f t="shared" si="1"/>
        <v/>
      </c>
      <c r="O38" s="145" t="str">
        <f t="shared" si="0"/>
        <v/>
      </c>
      <c r="P38" s="16"/>
      <c r="Q38" s="155"/>
      <c r="R38" s="31"/>
      <c r="S38" s="129"/>
      <c r="T38" s="124"/>
      <c r="U38" s="123"/>
      <c r="V38" s="294"/>
      <c r="W38" s="295"/>
    </row>
    <row r="39" spans="1:23" ht="69.95" customHeight="1" x14ac:dyDescent="0.25">
      <c r="A39" s="1"/>
      <c r="B39" s="332">
        <v>13</v>
      </c>
      <c r="C39" s="332"/>
      <c r="D39" s="339"/>
      <c r="E39" s="332"/>
      <c r="F39" s="348"/>
      <c r="G39" s="348"/>
      <c r="H39" s="348"/>
      <c r="I39" s="348"/>
      <c r="J39" s="132" t="s">
        <v>97</v>
      </c>
      <c r="K39" s="131" t="s">
        <v>98</v>
      </c>
      <c r="L39" s="145"/>
      <c r="M39" s="145"/>
      <c r="N39" s="145" t="str">
        <f t="shared" si="1"/>
        <v/>
      </c>
      <c r="O39" s="145" t="str">
        <f t="shared" si="0"/>
        <v/>
      </c>
      <c r="P39" s="16"/>
      <c r="Q39" s="153"/>
      <c r="R39" s="124"/>
      <c r="S39" s="123" t="str">
        <f t="shared" ref="S39:S40" si="5">IF(R39&lt;&gt;"", 0, "")</f>
        <v/>
      </c>
      <c r="T39" s="124"/>
      <c r="U39" s="123"/>
      <c r="V39" s="291"/>
      <c r="W39" s="292"/>
    </row>
    <row r="40" spans="1:23" ht="69.95" customHeight="1" x14ac:dyDescent="0.25">
      <c r="A40" s="1"/>
      <c r="B40" s="333"/>
      <c r="C40" s="333"/>
      <c r="D40" s="342"/>
      <c r="E40" s="333"/>
      <c r="F40" s="349"/>
      <c r="G40" s="349"/>
      <c r="H40" s="349"/>
      <c r="I40" s="349"/>
      <c r="J40" s="124"/>
      <c r="K40" s="131" t="s">
        <v>99</v>
      </c>
      <c r="L40" s="145"/>
      <c r="M40" s="304"/>
      <c r="N40" s="145" t="str">
        <f t="shared" si="1"/>
        <v/>
      </c>
      <c r="O40" s="145" t="str">
        <f t="shared" si="0"/>
        <v/>
      </c>
      <c r="P40" s="16"/>
      <c r="Q40" s="154"/>
      <c r="R40" s="124"/>
      <c r="S40" s="123" t="str">
        <f t="shared" si="5"/>
        <v/>
      </c>
      <c r="T40" s="124"/>
      <c r="U40" s="123"/>
      <c r="V40" s="293"/>
      <c r="W40" s="62"/>
    </row>
    <row r="41" spans="1:23" ht="69.95" customHeight="1" x14ac:dyDescent="0.25">
      <c r="A41" s="1"/>
      <c r="B41" s="333"/>
      <c r="C41" s="333"/>
      <c r="D41" s="342"/>
      <c r="E41" s="333"/>
      <c r="F41" s="349"/>
      <c r="G41" s="349"/>
      <c r="H41" s="349"/>
      <c r="I41" s="349"/>
      <c r="J41" s="132" t="s">
        <v>100</v>
      </c>
      <c r="K41" s="131" t="s">
        <v>101</v>
      </c>
      <c r="L41" s="145"/>
      <c r="M41" s="304"/>
      <c r="N41" s="145" t="str">
        <f t="shared" si="1"/>
        <v/>
      </c>
      <c r="O41" s="145" t="str">
        <f t="shared" si="0"/>
        <v/>
      </c>
      <c r="P41" s="16"/>
      <c r="Q41" s="154"/>
      <c r="R41" s="31"/>
      <c r="S41" s="129"/>
      <c r="T41" s="124"/>
      <c r="U41" s="123"/>
      <c r="V41" s="293"/>
      <c r="W41" s="62"/>
    </row>
    <row r="42" spans="1:23" ht="69.95" customHeight="1" x14ac:dyDescent="0.25">
      <c r="A42" s="1"/>
      <c r="B42" s="333"/>
      <c r="C42" s="333"/>
      <c r="D42" s="342"/>
      <c r="E42" s="333"/>
      <c r="F42" s="349"/>
      <c r="G42" s="349"/>
      <c r="H42" s="349"/>
      <c r="I42" s="349"/>
      <c r="J42" s="124" t="str">
        <f>IF(J40="","","0.0")</f>
        <v/>
      </c>
      <c r="K42" s="131" t="s">
        <v>102</v>
      </c>
      <c r="L42" s="145"/>
      <c r="M42" s="304"/>
      <c r="N42" s="145" t="str">
        <f t="shared" si="1"/>
        <v/>
      </c>
      <c r="O42" s="145" t="str">
        <f t="shared" si="0"/>
        <v/>
      </c>
      <c r="P42" s="16"/>
      <c r="Q42" s="154"/>
      <c r="R42" s="124"/>
      <c r="S42" s="123" t="str">
        <f>IF(R42&lt;&gt;"", 0, "")</f>
        <v/>
      </c>
      <c r="T42" s="124"/>
      <c r="U42" s="123"/>
      <c r="V42" s="293"/>
      <c r="W42" s="62"/>
    </row>
    <row r="43" spans="1:23" ht="69.95" customHeight="1" x14ac:dyDescent="0.25">
      <c r="A43" s="1"/>
      <c r="B43" s="333"/>
      <c r="C43" s="333"/>
      <c r="D43" s="342"/>
      <c r="E43" s="333"/>
      <c r="F43" s="349"/>
      <c r="G43" s="349"/>
      <c r="H43" s="349"/>
      <c r="I43" s="349"/>
      <c r="J43" s="43"/>
      <c r="K43" s="131" t="s">
        <v>111</v>
      </c>
      <c r="L43" s="145"/>
      <c r="M43" s="304"/>
      <c r="N43" s="145" t="str">
        <f t="shared" si="1"/>
        <v/>
      </c>
      <c r="O43" s="145" t="str">
        <f t="shared" si="0"/>
        <v/>
      </c>
      <c r="P43" s="16"/>
      <c r="Q43" s="154"/>
      <c r="R43" s="31"/>
      <c r="S43" s="129"/>
      <c r="T43" s="124"/>
      <c r="U43" s="123"/>
      <c r="V43" s="293"/>
      <c r="W43" s="62"/>
    </row>
    <row r="44" spans="1:23" ht="69.95" customHeight="1" x14ac:dyDescent="0.25">
      <c r="A44" s="1"/>
      <c r="B44" s="334"/>
      <c r="C44" s="334"/>
      <c r="D44" s="345"/>
      <c r="E44" s="334"/>
      <c r="F44" s="350"/>
      <c r="G44" s="350"/>
      <c r="H44" s="350"/>
      <c r="I44" s="350"/>
      <c r="J44" s="43"/>
      <c r="K44" s="131" t="s">
        <v>112</v>
      </c>
      <c r="L44" s="145"/>
      <c r="M44" s="145"/>
      <c r="N44" s="145" t="str">
        <f t="shared" si="1"/>
        <v/>
      </c>
      <c r="O44" s="145" t="str">
        <f t="shared" si="0"/>
        <v/>
      </c>
      <c r="P44" s="16"/>
      <c r="Q44" s="155"/>
      <c r="R44" s="31"/>
      <c r="S44" s="129"/>
      <c r="T44" s="124"/>
      <c r="U44" s="123"/>
      <c r="V44" s="294"/>
      <c r="W44" s="295"/>
    </row>
    <row r="45" spans="1:23" ht="69.95" customHeight="1" x14ac:dyDescent="0.25">
      <c r="A45" s="1"/>
      <c r="B45" s="332">
        <v>14</v>
      </c>
      <c r="C45" s="332"/>
      <c r="D45" s="339"/>
      <c r="E45" s="332"/>
      <c r="F45" s="348"/>
      <c r="G45" s="348"/>
      <c r="H45" s="348"/>
      <c r="I45" s="348"/>
      <c r="J45" s="132" t="s">
        <v>97</v>
      </c>
      <c r="K45" s="131" t="s">
        <v>98</v>
      </c>
      <c r="L45" s="145"/>
      <c r="M45" s="145"/>
      <c r="N45" s="145" t="str">
        <f t="shared" si="1"/>
        <v/>
      </c>
      <c r="O45" s="145" t="str">
        <f t="shared" si="0"/>
        <v/>
      </c>
      <c r="P45" s="16"/>
      <c r="Q45" s="153"/>
      <c r="R45" s="124"/>
      <c r="S45" s="123" t="str">
        <f t="shared" ref="S45:S46" si="6">IF(R45&lt;&gt;"", 0, "")</f>
        <v/>
      </c>
      <c r="T45" s="124"/>
      <c r="U45" s="123"/>
      <c r="V45" s="291"/>
      <c r="W45" s="292"/>
    </row>
    <row r="46" spans="1:23" ht="69.95" customHeight="1" x14ac:dyDescent="0.25">
      <c r="A46" s="1"/>
      <c r="B46" s="333"/>
      <c r="C46" s="333"/>
      <c r="D46" s="342"/>
      <c r="E46" s="333"/>
      <c r="F46" s="349"/>
      <c r="G46" s="349"/>
      <c r="H46" s="349"/>
      <c r="I46" s="349"/>
      <c r="J46" s="124"/>
      <c r="K46" s="131" t="s">
        <v>99</v>
      </c>
      <c r="L46" s="145"/>
      <c r="M46" s="304"/>
      <c r="N46" s="145" t="str">
        <f t="shared" si="1"/>
        <v/>
      </c>
      <c r="O46" s="145" t="str">
        <f t="shared" si="0"/>
        <v/>
      </c>
      <c r="P46" s="16"/>
      <c r="Q46" s="154"/>
      <c r="R46" s="124"/>
      <c r="S46" s="123" t="str">
        <f t="shared" si="6"/>
        <v/>
      </c>
      <c r="T46" s="124"/>
      <c r="U46" s="123"/>
      <c r="V46" s="293"/>
      <c r="W46" s="62"/>
    </row>
    <row r="47" spans="1:23" ht="69.95" customHeight="1" x14ac:dyDescent="0.25">
      <c r="A47" s="1"/>
      <c r="B47" s="333"/>
      <c r="C47" s="333"/>
      <c r="D47" s="342"/>
      <c r="E47" s="333"/>
      <c r="F47" s="349"/>
      <c r="G47" s="349"/>
      <c r="H47" s="349"/>
      <c r="I47" s="349"/>
      <c r="J47" s="132" t="s">
        <v>100</v>
      </c>
      <c r="K47" s="131" t="s">
        <v>101</v>
      </c>
      <c r="L47" s="145"/>
      <c r="M47" s="304"/>
      <c r="N47" s="145" t="str">
        <f t="shared" si="1"/>
        <v/>
      </c>
      <c r="O47" s="145" t="str">
        <f t="shared" si="0"/>
        <v/>
      </c>
      <c r="P47" s="16"/>
      <c r="Q47" s="154"/>
      <c r="R47" s="31"/>
      <c r="S47" s="129"/>
      <c r="T47" s="124"/>
      <c r="U47" s="123"/>
      <c r="V47" s="293"/>
      <c r="W47" s="62"/>
    </row>
    <row r="48" spans="1:23" ht="69.95" customHeight="1" x14ac:dyDescent="0.25">
      <c r="A48" s="1"/>
      <c r="B48" s="333"/>
      <c r="C48" s="333"/>
      <c r="D48" s="342"/>
      <c r="E48" s="333"/>
      <c r="F48" s="349"/>
      <c r="G48" s="349"/>
      <c r="H48" s="349"/>
      <c r="I48" s="349"/>
      <c r="J48" s="124" t="str">
        <f>IF(J46="","","0.0")</f>
        <v/>
      </c>
      <c r="K48" s="131" t="s">
        <v>102</v>
      </c>
      <c r="L48" s="145"/>
      <c r="M48" s="304"/>
      <c r="N48" s="145" t="str">
        <f t="shared" si="1"/>
        <v/>
      </c>
      <c r="O48" s="145" t="str">
        <f t="shared" si="0"/>
        <v/>
      </c>
      <c r="P48" s="16"/>
      <c r="Q48" s="154"/>
      <c r="R48" s="124"/>
      <c r="S48" s="123" t="str">
        <f>IF(R48&lt;&gt;"", 0, "")</f>
        <v/>
      </c>
      <c r="T48" s="124"/>
      <c r="U48" s="123"/>
      <c r="V48" s="293"/>
      <c r="W48" s="62"/>
    </row>
    <row r="49" spans="1:23" ht="69.95" customHeight="1" x14ac:dyDescent="0.25">
      <c r="A49" s="1"/>
      <c r="B49" s="333"/>
      <c r="C49" s="333"/>
      <c r="D49" s="342"/>
      <c r="E49" s="333"/>
      <c r="F49" s="349"/>
      <c r="G49" s="349"/>
      <c r="H49" s="349"/>
      <c r="I49" s="349"/>
      <c r="J49" s="43"/>
      <c r="K49" s="131" t="s">
        <v>111</v>
      </c>
      <c r="L49" s="145"/>
      <c r="M49" s="304"/>
      <c r="N49" s="145" t="str">
        <f t="shared" si="1"/>
        <v/>
      </c>
      <c r="O49" s="145" t="str">
        <f t="shared" si="0"/>
        <v/>
      </c>
      <c r="P49" s="16"/>
      <c r="Q49" s="154"/>
      <c r="R49" s="31"/>
      <c r="S49" s="129"/>
      <c r="T49" s="124"/>
      <c r="U49" s="123"/>
      <c r="V49" s="293"/>
      <c r="W49" s="62"/>
    </row>
    <row r="50" spans="1:23" ht="69.95" customHeight="1" x14ac:dyDescent="0.25">
      <c r="A50" s="1"/>
      <c r="B50" s="334"/>
      <c r="C50" s="334"/>
      <c r="D50" s="345"/>
      <c r="E50" s="334"/>
      <c r="F50" s="350"/>
      <c r="G50" s="350"/>
      <c r="H50" s="350"/>
      <c r="I50" s="350"/>
      <c r="J50" s="43"/>
      <c r="K50" s="131" t="s">
        <v>112</v>
      </c>
      <c r="L50" s="145"/>
      <c r="M50" s="145"/>
      <c r="N50" s="145" t="str">
        <f t="shared" si="1"/>
        <v/>
      </c>
      <c r="O50" s="145" t="str">
        <f t="shared" si="0"/>
        <v/>
      </c>
      <c r="P50" s="16"/>
      <c r="Q50" s="155"/>
      <c r="R50" s="31"/>
      <c r="S50" s="129"/>
      <c r="T50" s="124"/>
      <c r="U50" s="123"/>
      <c r="V50" s="294"/>
      <c r="W50" s="295"/>
    </row>
    <row r="51" spans="1:23" ht="69.95" customHeight="1" x14ac:dyDescent="0.25">
      <c r="A51" s="1"/>
      <c r="B51" s="332">
        <v>15</v>
      </c>
      <c r="C51" s="332"/>
      <c r="D51" s="339"/>
      <c r="E51" s="332"/>
      <c r="F51" s="348"/>
      <c r="G51" s="348"/>
      <c r="H51" s="348"/>
      <c r="I51" s="348"/>
      <c r="J51" s="132" t="s">
        <v>97</v>
      </c>
      <c r="K51" s="131" t="s">
        <v>98</v>
      </c>
      <c r="L51" s="145"/>
      <c r="M51" s="145"/>
      <c r="N51" s="145" t="str">
        <f t="shared" si="1"/>
        <v/>
      </c>
      <c r="O51" s="145" t="str">
        <f t="shared" si="0"/>
        <v/>
      </c>
      <c r="P51" s="16"/>
      <c r="Q51" s="153"/>
      <c r="R51" s="124"/>
      <c r="S51" s="123" t="str">
        <f t="shared" ref="S51:S52" si="7">IF(R51&lt;&gt;"", 0, "")</f>
        <v/>
      </c>
      <c r="T51" s="124"/>
      <c r="U51" s="123"/>
      <c r="V51" s="291"/>
      <c r="W51" s="292"/>
    </row>
    <row r="52" spans="1:23" ht="69.95" customHeight="1" x14ac:dyDescent="0.25">
      <c r="A52" s="1"/>
      <c r="B52" s="333"/>
      <c r="C52" s="333"/>
      <c r="D52" s="342"/>
      <c r="E52" s="333"/>
      <c r="F52" s="349"/>
      <c r="G52" s="349"/>
      <c r="H52" s="349"/>
      <c r="I52" s="349"/>
      <c r="J52" s="124"/>
      <c r="K52" s="131" t="s">
        <v>99</v>
      </c>
      <c r="L52" s="145"/>
      <c r="M52" s="304"/>
      <c r="N52" s="145" t="str">
        <f t="shared" si="1"/>
        <v/>
      </c>
      <c r="O52" s="145" t="str">
        <f t="shared" si="0"/>
        <v/>
      </c>
      <c r="P52" s="16"/>
      <c r="Q52" s="154"/>
      <c r="R52" s="124"/>
      <c r="S52" s="123" t="str">
        <f t="shared" si="7"/>
        <v/>
      </c>
      <c r="T52" s="124"/>
      <c r="U52" s="123"/>
      <c r="V52" s="293"/>
      <c r="W52" s="62"/>
    </row>
    <row r="53" spans="1:23" ht="69.95" customHeight="1" x14ac:dyDescent="0.25">
      <c r="A53" s="1"/>
      <c r="B53" s="333"/>
      <c r="C53" s="333"/>
      <c r="D53" s="342"/>
      <c r="E53" s="333"/>
      <c r="F53" s="349"/>
      <c r="G53" s="349"/>
      <c r="H53" s="349"/>
      <c r="I53" s="349"/>
      <c r="J53" s="132" t="s">
        <v>100</v>
      </c>
      <c r="K53" s="131" t="s">
        <v>101</v>
      </c>
      <c r="L53" s="145"/>
      <c r="M53" s="304"/>
      <c r="N53" s="145" t="str">
        <f t="shared" si="1"/>
        <v/>
      </c>
      <c r="O53" s="145" t="str">
        <f t="shared" si="0"/>
        <v/>
      </c>
      <c r="P53" s="16"/>
      <c r="Q53" s="154"/>
      <c r="R53" s="31"/>
      <c r="S53" s="129"/>
      <c r="T53" s="124"/>
      <c r="U53" s="123"/>
      <c r="V53" s="293"/>
      <c r="W53" s="62"/>
    </row>
    <row r="54" spans="1:23" ht="69.95" customHeight="1" x14ac:dyDescent="0.25">
      <c r="A54" s="1"/>
      <c r="B54" s="333"/>
      <c r="C54" s="333"/>
      <c r="D54" s="342"/>
      <c r="E54" s="333"/>
      <c r="F54" s="349"/>
      <c r="G54" s="349"/>
      <c r="H54" s="349"/>
      <c r="I54" s="349"/>
      <c r="J54" s="124" t="str">
        <f>IF(J52="","","0.0")</f>
        <v/>
      </c>
      <c r="K54" s="131" t="s">
        <v>102</v>
      </c>
      <c r="L54" s="145"/>
      <c r="M54" s="304"/>
      <c r="N54" s="145" t="str">
        <f t="shared" si="1"/>
        <v/>
      </c>
      <c r="O54" s="145" t="str">
        <f t="shared" si="0"/>
        <v/>
      </c>
      <c r="P54" s="16"/>
      <c r="Q54" s="154"/>
      <c r="R54" s="124"/>
      <c r="S54" s="123" t="str">
        <f>IF(R54&lt;&gt;"", 0, "")</f>
        <v/>
      </c>
      <c r="T54" s="124"/>
      <c r="U54" s="123"/>
      <c r="V54" s="293"/>
      <c r="W54" s="62"/>
    </row>
    <row r="55" spans="1:23" ht="69.95" customHeight="1" x14ac:dyDescent="0.25">
      <c r="A55" s="1"/>
      <c r="B55" s="333"/>
      <c r="C55" s="333"/>
      <c r="D55" s="342"/>
      <c r="E55" s="333"/>
      <c r="F55" s="349"/>
      <c r="G55" s="349"/>
      <c r="H55" s="349"/>
      <c r="I55" s="349"/>
      <c r="J55" s="43"/>
      <c r="K55" s="131" t="s">
        <v>111</v>
      </c>
      <c r="L55" s="145"/>
      <c r="M55" s="304"/>
      <c r="N55" s="145" t="str">
        <f t="shared" si="1"/>
        <v/>
      </c>
      <c r="O55" s="145" t="str">
        <f t="shared" si="0"/>
        <v/>
      </c>
      <c r="P55" s="16"/>
      <c r="Q55" s="154"/>
      <c r="R55" s="31"/>
      <c r="S55" s="129"/>
      <c r="T55" s="124"/>
      <c r="U55" s="123"/>
      <c r="V55" s="293"/>
      <c r="W55" s="62"/>
    </row>
    <row r="56" spans="1:23" ht="69.95" customHeight="1" x14ac:dyDescent="0.25">
      <c r="A56" s="1"/>
      <c r="B56" s="334"/>
      <c r="C56" s="334"/>
      <c r="D56" s="345"/>
      <c r="E56" s="334"/>
      <c r="F56" s="350"/>
      <c r="G56" s="350"/>
      <c r="H56" s="350"/>
      <c r="I56" s="350"/>
      <c r="J56" s="43"/>
      <c r="K56" s="131" t="s">
        <v>112</v>
      </c>
      <c r="L56" s="145"/>
      <c r="M56" s="145"/>
      <c r="N56" s="145" t="str">
        <f t="shared" si="1"/>
        <v/>
      </c>
      <c r="O56" s="145" t="str">
        <f t="shared" si="0"/>
        <v/>
      </c>
      <c r="P56" s="16"/>
      <c r="Q56" s="155"/>
      <c r="R56" s="31"/>
      <c r="S56" s="129"/>
      <c r="T56" s="124"/>
      <c r="U56" s="123"/>
      <c r="V56" s="294"/>
      <c r="W56" s="295"/>
    </row>
    <row r="57" spans="1:23" ht="69.95" customHeight="1" x14ac:dyDescent="0.25">
      <c r="A57" s="1"/>
      <c r="B57" s="332">
        <v>16</v>
      </c>
      <c r="C57" s="332"/>
      <c r="D57" s="339"/>
      <c r="E57" s="332"/>
      <c r="F57" s="348"/>
      <c r="G57" s="348"/>
      <c r="H57" s="348"/>
      <c r="I57" s="348"/>
      <c r="J57" s="132" t="s">
        <v>97</v>
      </c>
      <c r="K57" s="131" t="s">
        <v>98</v>
      </c>
      <c r="L57" s="145"/>
      <c r="M57" s="145"/>
      <c r="N57" s="145" t="str">
        <f t="shared" si="1"/>
        <v/>
      </c>
      <c r="O57" s="145" t="str">
        <f t="shared" si="0"/>
        <v/>
      </c>
      <c r="P57" s="16"/>
      <c r="Q57" s="153"/>
      <c r="R57" s="124"/>
      <c r="S57" s="123" t="str">
        <f t="shared" ref="S57:S58" si="8">IF(R57&lt;&gt;"", 0, "")</f>
        <v/>
      </c>
      <c r="T57" s="124"/>
      <c r="U57" s="123"/>
      <c r="V57" s="291"/>
      <c r="W57" s="292"/>
    </row>
    <row r="58" spans="1:23" ht="69.95" customHeight="1" x14ac:dyDescent="0.25">
      <c r="A58" s="1"/>
      <c r="B58" s="333"/>
      <c r="C58" s="333"/>
      <c r="D58" s="342"/>
      <c r="E58" s="333"/>
      <c r="F58" s="349"/>
      <c r="G58" s="349"/>
      <c r="H58" s="349"/>
      <c r="I58" s="349"/>
      <c r="J58" s="124"/>
      <c r="K58" s="131" t="s">
        <v>99</v>
      </c>
      <c r="L58" s="145"/>
      <c r="M58" s="304"/>
      <c r="N58" s="145" t="str">
        <f t="shared" si="1"/>
        <v/>
      </c>
      <c r="O58" s="145" t="str">
        <f t="shared" si="0"/>
        <v/>
      </c>
      <c r="P58" s="16"/>
      <c r="Q58" s="154"/>
      <c r="R58" s="124"/>
      <c r="S58" s="123" t="str">
        <f t="shared" si="8"/>
        <v/>
      </c>
      <c r="T58" s="124"/>
      <c r="U58" s="123"/>
      <c r="V58" s="293"/>
      <c r="W58" s="62"/>
    </row>
    <row r="59" spans="1:23" ht="69.95" customHeight="1" x14ac:dyDescent="0.25">
      <c r="A59" s="1"/>
      <c r="B59" s="333"/>
      <c r="C59" s="333"/>
      <c r="D59" s="342"/>
      <c r="E59" s="333"/>
      <c r="F59" s="349"/>
      <c r="G59" s="349"/>
      <c r="H59" s="349"/>
      <c r="I59" s="349"/>
      <c r="J59" s="132" t="s">
        <v>100</v>
      </c>
      <c r="K59" s="131" t="s">
        <v>101</v>
      </c>
      <c r="L59" s="145"/>
      <c r="M59" s="304"/>
      <c r="N59" s="145" t="str">
        <f t="shared" si="1"/>
        <v/>
      </c>
      <c r="O59" s="145" t="str">
        <f t="shared" si="0"/>
        <v/>
      </c>
      <c r="P59" s="16"/>
      <c r="Q59" s="154"/>
      <c r="R59" s="31"/>
      <c r="S59" s="129"/>
      <c r="T59" s="124"/>
      <c r="U59" s="123"/>
      <c r="V59" s="293"/>
      <c r="W59" s="62"/>
    </row>
    <row r="60" spans="1:23" ht="69.95" customHeight="1" x14ac:dyDescent="0.25">
      <c r="A60" s="1"/>
      <c r="B60" s="333"/>
      <c r="C60" s="333"/>
      <c r="D60" s="342"/>
      <c r="E60" s="333"/>
      <c r="F60" s="349"/>
      <c r="G60" s="349"/>
      <c r="H60" s="349"/>
      <c r="I60" s="349"/>
      <c r="J60" s="124" t="str">
        <f>IF(J58="","","0.0")</f>
        <v/>
      </c>
      <c r="K60" s="131" t="s">
        <v>102</v>
      </c>
      <c r="L60" s="145"/>
      <c r="M60" s="304"/>
      <c r="N60" s="145" t="str">
        <f t="shared" si="1"/>
        <v/>
      </c>
      <c r="O60" s="145" t="str">
        <f t="shared" si="0"/>
        <v/>
      </c>
      <c r="P60" s="16"/>
      <c r="Q60" s="154"/>
      <c r="R60" s="124"/>
      <c r="S60" s="123" t="str">
        <f>IF(R60&lt;&gt;"", 0, "")</f>
        <v/>
      </c>
      <c r="T60" s="124"/>
      <c r="U60" s="123"/>
      <c r="V60" s="293"/>
      <c r="W60" s="62"/>
    </row>
    <row r="61" spans="1:23" ht="69.95" customHeight="1" x14ac:dyDescent="0.25">
      <c r="A61" s="1"/>
      <c r="B61" s="333"/>
      <c r="C61" s="333"/>
      <c r="D61" s="342"/>
      <c r="E61" s="333"/>
      <c r="F61" s="349"/>
      <c r="G61" s="349"/>
      <c r="H61" s="349"/>
      <c r="I61" s="349"/>
      <c r="J61" s="43"/>
      <c r="K61" s="131" t="s">
        <v>111</v>
      </c>
      <c r="L61" s="145"/>
      <c r="M61" s="304"/>
      <c r="N61" s="145" t="str">
        <f t="shared" si="1"/>
        <v/>
      </c>
      <c r="O61" s="145" t="str">
        <f t="shared" si="0"/>
        <v/>
      </c>
      <c r="P61" s="16"/>
      <c r="Q61" s="154"/>
      <c r="R61" s="31"/>
      <c r="S61" s="129"/>
      <c r="T61" s="124"/>
      <c r="U61" s="123"/>
      <c r="V61" s="293"/>
      <c r="W61" s="62"/>
    </row>
    <row r="62" spans="1:23" ht="69.95" customHeight="1" x14ac:dyDescent="0.25">
      <c r="A62" s="1"/>
      <c r="B62" s="333"/>
      <c r="C62" s="333"/>
      <c r="D62" s="342"/>
      <c r="E62" s="334"/>
      <c r="F62" s="350"/>
      <c r="G62" s="350"/>
      <c r="H62" s="350"/>
      <c r="I62" s="349"/>
      <c r="J62" s="43"/>
      <c r="K62" s="131" t="s">
        <v>112</v>
      </c>
      <c r="L62" s="145"/>
      <c r="M62" s="145"/>
      <c r="N62" s="145" t="str">
        <f t="shared" si="1"/>
        <v/>
      </c>
      <c r="O62" s="145" t="str">
        <f t="shared" si="0"/>
        <v/>
      </c>
      <c r="P62" s="16"/>
      <c r="Q62" s="155"/>
      <c r="R62" s="18"/>
      <c r="S62" s="33"/>
      <c r="T62" s="121"/>
      <c r="U62" s="130"/>
      <c r="V62" s="294"/>
      <c r="W62" s="295"/>
    </row>
    <row r="63" spans="1:23" ht="69.95" customHeight="1" x14ac:dyDescent="0.25">
      <c r="A63" s="1"/>
      <c r="B63" s="384"/>
      <c r="C63" s="382"/>
      <c r="D63" s="382"/>
      <c r="E63" s="382"/>
      <c r="F63" s="382"/>
      <c r="G63" s="382"/>
      <c r="H63" s="382"/>
      <c r="I63" s="382"/>
      <c r="J63" s="382"/>
      <c r="K63" s="135"/>
      <c r="L63" s="136"/>
      <c r="M63" s="135"/>
      <c r="N63" s="135"/>
      <c r="O63" s="135"/>
      <c r="P63" s="137"/>
      <c r="Q63" s="376"/>
      <c r="R63" s="138"/>
      <c r="S63" s="138"/>
      <c r="T63" s="138"/>
      <c r="U63" s="138"/>
      <c r="V63" s="382"/>
      <c r="W63" s="383"/>
    </row>
    <row r="64" spans="1:23" ht="69.95" customHeight="1" x14ac:dyDescent="0.25">
      <c r="A64" s="1"/>
      <c r="B64" s="374"/>
      <c r="C64" s="375"/>
      <c r="D64" s="375"/>
      <c r="E64" s="375"/>
      <c r="F64" s="375"/>
      <c r="G64" s="375"/>
      <c r="H64" s="375"/>
      <c r="I64" s="375"/>
      <c r="J64" s="375"/>
      <c r="K64" s="139"/>
      <c r="L64" s="140"/>
      <c r="M64" s="139"/>
      <c r="N64" s="139"/>
      <c r="O64" s="139"/>
      <c r="P64" s="141"/>
      <c r="Q64" s="377"/>
      <c r="R64" s="142"/>
      <c r="S64" s="142"/>
      <c r="T64" s="142"/>
      <c r="U64" s="142"/>
      <c r="V64" s="375"/>
      <c r="W64" s="378"/>
    </row>
    <row r="65" spans="1:23" ht="69.95" customHeight="1" x14ac:dyDescent="0.25">
      <c r="A65" s="1"/>
      <c r="B65" s="374"/>
      <c r="C65" s="375"/>
      <c r="D65" s="375"/>
      <c r="E65" s="375"/>
      <c r="F65" s="375"/>
      <c r="G65" s="375"/>
      <c r="H65" s="375"/>
      <c r="I65" s="375"/>
      <c r="J65" s="375"/>
      <c r="K65" s="139"/>
      <c r="L65" s="140"/>
      <c r="M65" s="139"/>
      <c r="N65" s="139"/>
      <c r="O65" s="139"/>
      <c r="P65" s="141"/>
      <c r="Q65" s="377"/>
      <c r="R65" s="142"/>
      <c r="S65" s="142"/>
      <c r="T65" s="142"/>
      <c r="U65" s="142"/>
      <c r="V65" s="375"/>
      <c r="W65" s="378"/>
    </row>
    <row r="66" spans="1:23" ht="69.95" customHeight="1" x14ac:dyDescent="0.25">
      <c r="A66" s="1"/>
      <c r="B66" s="374"/>
      <c r="C66" s="375"/>
      <c r="D66" s="375"/>
      <c r="E66" s="375"/>
      <c r="F66" s="375"/>
      <c r="G66" s="375"/>
      <c r="H66" s="375"/>
      <c r="I66" s="375"/>
      <c r="J66" s="375"/>
      <c r="K66" s="139"/>
      <c r="L66" s="140"/>
      <c r="M66" s="139"/>
      <c r="N66" s="139"/>
      <c r="O66" s="139"/>
      <c r="P66" s="141"/>
      <c r="Q66" s="377"/>
      <c r="R66" s="142"/>
      <c r="S66" s="142"/>
      <c r="T66" s="142"/>
      <c r="U66" s="142"/>
      <c r="V66" s="375"/>
      <c r="W66" s="378"/>
    </row>
    <row r="67" spans="1:23" ht="69.95" customHeight="1" x14ac:dyDescent="0.25">
      <c r="A67" s="1"/>
      <c r="B67" s="374"/>
      <c r="C67" s="375"/>
      <c r="D67" s="375"/>
      <c r="E67" s="375"/>
      <c r="F67" s="375"/>
      <c r="G67" s="375"/>
      <c r="H67" s="375"/>
      <c r="I67" s="375"/>
      <c r="J67" s="375"/>
      <c r="K67" s="139"/>
      <c r="L67" s="140"/>
      <c r="M67" s="139"/>
      <c r="N67" s="139"/>
      <c r="O67" s="139"/>
      <c r="P67" s="141"/>
      <c r="Q67" s="377"/>
      <c r="R67" s="142"/>
      <c r="S67" s="142"/>
      <c r="T67" s="142"/>
      <c r="U67" s="142"/>
      <c r="V67" s="375"/>
      <c r="W67" s="378"/>
    </row>
    <row r="68" spans="1:23" ht="69.95" customHeight="1" x14ac:dyDescent="0.25">
      <c r="A68" s="1"/>
      <c r="B68" s="374"/>
      <c r="C68" s="375"/>
      <c r="D68" s="375"/>
      <c r="E68" s="375"/>
      <c r="F68" s="375"/>
      <c r="G68" s="375"/>
      <c r="H68" s="375"/>
      <c r="I68" s="375"/>
      <c r="J68" s="375"/>
      <c r="K68" s="139"/>
      <c r="L68" s="140"/>
      <c r="M68" s="139"/>
      <c r="N68" s="139"/>
      <c r="O68" s="139"/>
      <c r="P68" s="141"/>
      <c r="Q68" s="377"/>
      <c r="R68" s="142"/>
      <c r="S68" s="142"/>
      <c r="T68" s="142"/>
      <c r="U68" s="142"/>
      <c r="V68" s="375"/>
      <c r="W68" s="378"/>
    </row>
    <row r="69" spans="1:23" ht="69.95" customHeight="1" x14ac:dyDescent="0.25">
      <c r="A69" s="1"/>
      <c r="B69" s="374"/>
      <c r="C69" s="375"/>
      <c r="D69" s="375"/>
      <c r="E69" s="375"/>
      <c r="F69" s="375"/>
      <c r="G69" s="375"/>
      <c r="H69" s="375"/>
      <c r="I69" s="375"/>
      <c r="J69" s="375"/>
      <c r="K69" s="139"/>
      <c r="L69" s="140"/>
      <c r="M69" s="139"/>
      <c r="N69" s="139"/>
      <c r="O69" s="139"/>
      <c r="P69" s="141"/>
      <c r="Q69" s="377"/>
      <c r="R69" s="142"/>
      <c r="S69" s="142"/>
      <c r="T69" s="142"/>
      <c r="U69" s="142"/>
      <c r="V69" s="375"/>
      <c r="W69" s="378"/>
    </row>
    <row r="70" spans="1:23" ht="69.95" customHeight="1" x14ac:dyDescent="0.25">
      <c r="A70" s="1"/>
      <c r="B70" s="374"/>
      <c r="C70" s="375"/>
      <c r="D70" s="375"/>
      <c r="E70" s="375"/>
      <c r="F70" s="375"/>
      <c r="G70" s="375"/>
      <c r="H70" s="375"/>
      <c r="I70" s="375"/>
      <c r="J70" s="375"/>
      <c r="K70" s="139"/>
      <c r="L70" s="140"/>
      <c r="M70" s="139"/>
      <c r="N70" s="139"/>
      <c r="O70" s="139"/>
      <c r="P70" s="141"/>
      <c r="Q70" s="377"/>
      <c r="R70" s="142"/>
      <c r="S70" s="142"/>
      <c r="T70" s="142"/>
      <c r="U70" s="142"/>
      <c r="V70" s="375"/>
      <c r="W70" s="378"/>
    </row>
    <row r="71" spans="1:23" ht="69.95" customHeight="1" x14ac:dyDescent="0.25">
      <c r="A71" s="1"/>
      <c r="B71" s="374"/>
      <c r="C71" s="375"/>
      <c r="D71" s="375"/>
      <c r="E71" s="375"/>
      <c r="F71" s="375"/>
      <c r="G71" s="375"/>
      <c r="H71" s="375"/>
      <c r="I71" s="375"/>
      <c r="J71" s="375"/>
      <c r="K71" s="139"/>
      <c r="L71" s="140"/>
      <c r="M71" s="139"/>
      <c r="N71" s="139"/>
      <c r="O71" s="139"/>
      <c r="P71" s="141"/>
      <c r="Q71" s="377"/>
      <c r="R71" s="142"/>
      <c r="S71" s="142"/>
      <c r="T71" s="142"/>
      <c r="U71" s="142"/>
      <c r="V71" s="375"/>
      <c r="W71" s="378"/>
    </row>
    <row r="72" spans="1:23" ht="69.95" customHeight="1" x14ac:dyDescent="0.25">
      <c r="A72" s="1"/>
      <c r="B72" s="374"/>
      <c r="C72" s="375"/>
      <c r="D72" s="375"/>
      <c r="E72" s="375"/>
      <c r="F72" s="375"/>
      <c r="G72" s="375"/>
      <c r="H72" s="375"/>
      <c r="I72" s="375"/>
      <c r="J72" s="375"/>
      <c r="K72" s="139"/>
      <c r="L72" s="140"/>
      <c r="M72" s="139"/>
      <c r="N72" s="139"/>
      <c r="O72" s="139"/>
      <c r="P72" s="141"/>
      <c r="Q72" s="377"/>
      <c r="R72" s="142"/>
      <c r="S72" s="142"/>
      <c r="T72" s="142"/>
      <c r="U72" s="142"/>
      <c r="V72" s="375"/>
      <c r="W72" s="378"/>
    </row>
    <row r="73" spans="1:23" ht="69.95" customHeight="1" x14ac:dyDescent="0.25">
      <c r="A73" s="1"/>
      <c r="B73" s="374"/>
      <c r="C73" s="375"/>
      <c r="D73" s="375"/>
      <c r="E73" s="375"/>
      <c r="F73" s="375"/>
      <c r="G73" s="375"/>
      <c r="H73" s="375"/>
      <c r="I73" s="375"/>
      <c r="J73" s="375"/>
      <c r="K73" s="139"/>
      <c r="L73" s="140"/>
      <c r="M73" s="139"/>
      <c r="N73" s="139"/>
      <c r="O73" s="139"/>
      <c r="P73" s="141"/>
      <c r="Q73" s="377"/>
      <c r="R73" s="142"/>
      <c r="S73" s="142"/>
      <c r="T73" s="142"/>
      <c r="U73" s="142"/>
      <c r="V73" s="375"/>
      <c r="W73" s="378"/>
    </row>
    <row r="74" spans="1:23" ht="69.95" customHeight="1" x14ac:dyDescent="0.25">
      <c r="A74" s="1"/>
      <c r="B74" s="374"/>
      <c r="C74" s="375"/>
      <c r="D74" s="375"/>
      <c r="E74" s="375"/>
      <c r="F74" s="375"/>
      <c r="G74" s="375"/>
      <c r="H74" s="375"/>
      <c r="I74" s="375"/>
      <c r="J74" s="375"/>
      <c r="K74" s="139"/>
      <c r="L74" s="140"/>
      <c r="M74" s="139"/>
      <c r="N74" s="139"/>
      <c r="O74" s="139"/>
      <c r="P74" s="141"/>
      <c r="Q74" s="377"/>
      <c r="R74" s="142"/>
      <c r="S74" s="142"/>
      <c r="T74" s="142"/>
      <c r="U74" s="142"/>
      <c r="V74" s="375"/>
      <c r="W74" s="378"/>
    </row>
    <row r="75" spans="1:23" ht="69.95" customHeight="1" x14ac:dyDescent="0.25">
      <c r="A75" s="1"/>
      <c r="B75" s="143"/>
      <c r="C75" s="139"/>
      <c r="D75" s="139"/>
      <c r="E75" s="139"/>
      <c r="F75" s="139"/>
      <c r="G75" s="139"/>
      <c r="H75" s="139"/>
      <c r="I75" s="139"/>
      <c r="J75" s="139"/>
      <c r="K75" s="139"/>
      <c r="L75" s="140"/>
      <c r="M75" s="139"/>
      <c r="N75" s="139"/>
      <c r="O75" s="139"/>
      <c r="P75" s="141"/>
      <c r="Q75" s="140"/>
      <c r="R75" s="142"/>
      <c r="S75" s="142"/>
      <c r="T75" s="142"/>
      <c r="U75" s="142"/>
      <c r="V75" s="139"/>
      <c r="W75" s="144"/>
    </row>
    <row r="76" spans="1:23" ht="39" customHeight="1" x14ac:dyDescent="0.25">
      <c r="A76" s="1"/>
      <c r="B76" s="336"/>
      <c r="C76" s="337"/>
      <c r="D76" s="337"/>
      <c r="E76" s="337"/>
      <c r="F76" s="337"/>
      <c r="G76" s="337"/>
      <c r="H76" s="337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127"/>
    </row>
    <row r="77" spans="1:23" ht="60" customHeight="1" x14ac:dyDescent="0.25">
      <c r="A77" s="1"/>
      <c r="B77" s="21"/>
      <c r="C77" s="323" t="s">
        <v>17</v>
      </c>
      <c r="D77" s="323"/>
      <c r="E77" s="338" t="s">
        <v>194</v>
      </c>
      <c r="F77" s="381"/>
      <c r="G77" s="22"/>
      <c r="H77" s="49"/>
      <c r="I77" s="323" t="s">
        <v>110</v>
      </c>
      <c r="J77" s="323"/>
      <c r="K77" s="323"/>
      <c r="L77" s="331" t="s">
        <v>195</v>
      </c>
      <c r="M77" s="380"/>
      <c r="N77" s="49"/>
      <c r="O77" s="49"/>
      <c r="P77" s="49"/>
      <c r="Q77" s="49"/>
      <c r="R77" s="1"/>
      <c r="S77" s="55"/>
      <c r="T77" s="56"/>
      <c r="U77" s="1"/>
      <c r="V77" s="1"/>
      <c r="W77" s="8"/>
    </row>
    <row r="78" spans="1:23" s="46" customFormat="1" ht="60" customHeight="1" x14ac:dyDescent="0.55000000000000004">
      <c r="A78" s="27"/>
      <c r="B78" s="24"/>
      <c r="C78" s="25"/>
      <c r="D78" s="25"/>
      <c r="E78" s="25"/>
      <c r="F78" s="25"/>
      <c r="G78" s="25"/>
      <c r="H78" s="25"/>
      <c r="I78" s="323"/>
      <c r="J78" s="323"/>
      <c r="K78" s="323"/>
      <c r="L78" s="57"/>
      <c r="M78" s="25"/>
      <c r="N78" s="25"/>
      <c r="O78" s="25"/>
      <c r="P78" s="25"/>
      <c r="Q78" s="26"/>
      <c r="R78" s="58"/>
      <c r="S78" s="27"/>
      <c r="T78" s="27"/>
      <c r="U78" s="30" t="s">
        <v>109</v>
      </c>
      <c r="V78" s="27"/>
      <c r="W78" s="59"/>
    </row>
    <row r="79" spans="1:23" ht="60" customHeight="1" x14ac:dyDescent="0.25">
      <c r="A79" s="1"/>
      <c r="B79" s="21"/>
      <c r="C79" s="323" t="s">
        <v>18</v>
      </c>
      <c r="D79" s="323"/>
      <c r="E79" s="10"/>
      <c r="F79" s="60"/>
      <c r="G79" s="61"/>
      <c r="H79" s="50"/>
      <c r="I79" s="324" t="s">
        <v>18</v>
      </c>
      <c r="J79" s="324"/>
      <c r="K79" s="1"/>
      <c r="L79" s="379"/>
      <c r="M79" s="379"/>
      <c r="N79" s="50"/>
      <c r="O79" s="50"/>
      <c r="P79" s="50"/>
      <c r="Q79" s="50"/>
      <c r="R79" s="1"/>
      <c r="S79" s="1"/>
      <c r="T79" s="1"/>
      <c r="U79" s="1"/>
      <c r="V79" s="3"/>
      <c r="W79" s="62"/>
    </row>
    <row r="80" spans="1:23" s="46" customFormat="1" ht="39" customHeight="1" x14ac:dyDescent="0.55000000000000004">
      <c r="A80" s="27"/>
      <c r="B80" s="28"/>
      <c r="C80" s="25"/>
      <c r="D80" s="25"/>
      <c r="E80" s="25"/>
      <c r="F80" s="25"/>
      <c r="G80" s="25"/>
      <c r="H80" s="25"/>
      <c r="I80" s="25"/>
      <c r="J80" s="29"/>
      <c r="K80" s="25"/>
      <c r="L80" s="26"/>
      <c r="M80" s="26"/>
      <c r="N80" s="26"/>
      <c r="O80" s="26"/>
      <c r="P80" s="26"/>
      <c r="Q80" s="26"/>
      <c r="R80" s="27"/>
      <c r="S80" s="27"/>
      <c r="T80" s="27"/>
      <c r="U80" s="27"/>
      <c r="V80" s="327" t="s">
        <v>122</v>
      </c>
      <c r="W80" s="328"/>
    </row>
    <row r="81" spans="1:23" s="46" customFormat="1" ht="54" customHeight="1" x14ac:dyDescent="0.55000000000000004">
      <c r="A81" s="27"/>
      <c r="B81" s="63"/>
      <c r="C81" s="64"/>
      <c r="D81" s="65"/>
      <c r="E81" s="66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8"/>
      <c r="Q81" s="68"/>
      <c r="R81" s="69"/>
      <c r="S81" s="69"/>
      <c r="T81" s="69"/>
      <c r="U81" s="69"/>
      <c r="V81" s="326"/>
      <c r="W81" s="329"/>
    </row>
  </sheetData>
  <protectedRanges>
    <protectedRange sqref="M16:M19 M22:M25 Q23:Q25 M28:M31 Q29:Q31 M34:M37 Q35:Q37 M40:M43 Q41:Q43 M46:M49 B63:C73 B76:W76 Q47:Q49 E63:O75 M52:M55 Q53:Q55 M58:M61 Q59:Q61 Q63:W75 B15:D62 H15:K62" name="p40ae67166de39ef3f3ec01bbdae900a3"/>
    <protectedRange sqref="U6:U8 S6:S8 W6:W8" name="pc594b6ecd9b303ee1785ffe3b4f4380d_1"/>
    <protectedRange sqref="L11 M7 E11:E12 M9 L8:M8 L12:M12 L6:L7" name="p547f5a980904daf0dfa79ab76f7eb7f1_1"/>
    <protectedRange sqref="E6:E8 D6:D9 G5:G6" name="p915cfce853e1a0fa81a642efe2ca8f86_1"/>
    <protectedRange sqref="C81 S77:T77 U78" name="p62f34c08bc43a732167a4cb2a22494e9"/>
    <protectedRange sqref="H77 J81:K81 H79 E79 E81 E77 M79:Q79 J77 L77:Q77" name="pd76f2506e825e80154285506ac3cb46a_1"/>
    <protectedRange sqref="L9" name="p547f5a980904daf0dfa79ab76f7eb7f1_1_1"/>
    <protectedRange sqref="E15:E20" name="p40ae67166de39ef3f3ec01bbdae900a3_1"/>
    <protectedRange sqref="E21:E26" name="p40ae67166de39ef3f3ec01bbdae900a3_2"/>
    <protectedRange sqref="E27:E32" name="p40ae67166de39ef3f3ec01bbdae900a3_3"/>
    <protectedRange sqref="E33:E38" name="p40ae67166de39ef3f3ec01bbdae900a3_4"/>
    <protectedRange sqref="E39:E44" name="p40ae67166de39ef3f3ec01bbdae900a3_5"/>
    <protectedRange sqref="E45:E50" name="p40ae67166de39ef3f3ec01bbdae900a3_6"/>
    <protectedRange sqref="E51:E56" name="p40ae67166de39ef3f3ec01bbdae900a3_7"/>
    <protectedRange sqref="E57:E62" name="p40ae67166de39ef3f3ec01bbdae900a3_8"/>
    <protectedRange sqref="F15:F62" name="p40ae67166de39ef3f3ec01bbdae900a3_9"/>
    <protectedRange sqref="G15:G62" name="p40ae67166de39ef3f3ec01bbdae900a3_10"/>
    <protectedRange sqref="Q17:Q19" name="p40ae67166de39ef3f3ec01bbdae900a3_11"/>
    <protectedRange sqref="W15:W16 W26:W28 W32:W34 W38:W40 W44:W46 W20:W22 W50:W52 W56:W58 R62:U62 W62 R15:U16 R17:W19 R20:U22 R23:W25 R26:U28 R29:W31 R32:U34 R35:W37 R38:U40 R41:W43 R44:U46 R47:W49 R50:U52 R53:W55 R56:U58 R59:W61" name="p40ae67166de39ef3f3ec01bbdae900a3_12"/>
  </protectedRanges>
  <mergeCells count="99">
    <mergeCell ref="T13:W13"/>
    <mergeCell ref="V14:W14"/>
    <mergeCell ref="B2:E3"/>
    <mergeCell ref="F2:U3"/>
    <mergeCell ref="V2:W2"/>
    <mergeCell ref="B13:B14"/>
    <mergeCell ref="C13:C14"/>
    <mergeCell ref="D13:D14"/>
    <mergeCell ref="E13:E14"/>
    <mergeCell ref="F13:F14"/>
    <mergeCell ref="G13:G14"/>
    <mergeCell ref="H13:H14"/>
    <mergeCell ref="I13:I14"/>
    <mergeCell ref="J13:J14"/>
    <mergeCell ref="K13:K14"/>
    <mergeCell ref="L13:Q13"/>
    <mergeCell ref="R13:S13"/>
    <mergeCell ref="H15:H20"/>
    <mergeCell ref="I15:I20"/>
    <mergeCell ref="B21:B26"/>
    <mergeCell ref="C21:C26"/>
    <mergeCell ref="D21:D26"/>
    <mergeCell ref="E21:E26"/>
    <mergeCell ref="F21:F26"/>
    <mergeCell ref="G21:G26"/>
    <mergeCell ref="H21:H26"/>
    <mergeCell ref="I21:I26"/>
    <mergeCell ref="B15:B20"/>
    <mergeCell ref="C15:C20"/>
    <mergeCell ref="D15:D20"/>
    <mergeCell ref="E15:E20"/>
    <mergeCell ref="F15:F20"/>
    <mergeCell ref="G15:G20"/>
    <mergeCell ref="H27:H32"/>
    <mergeCell ref="I27:I32"/>
    <mergeCell ref="B33:B38"/>
    <mergeCell ref="C33:C38"/>
    <mergeCell ref="D33:D38"/>
    <mergeCell ref="E33:E38"/>
    <mergeCell ref="F33:F38"/>
    <mergeCell ref="G33:G38"/>
    <mergeCell ref="H33:H38"/>
    <mergeCell ref="I33:I38"/>
    <mergeCell ref="B27:B32"/>
    <mergeCell ref="C27:C32"/>
    <mergeCell ref="D27:D32"/>
    <mergeCell ref="E27:E32"/>
    <mergeCell ref="F27:F32"/>
    <mergeCell ref="G27:G32"/>
    <mergeCell ref="H39:H44"/>
    <mergeCell ref="I39:I44"/>
    <mergeCell ref="B45:B50"/>
    <mergeCell ref="C45:C50"/>
    <mergeCell ref="D45:D50"/>
    <mergeCell ref="E45:E50"/>
    <mergeCell ref="F45:F50"/>
    <mergeCell ref="G45:G50"/>
    <mergeCell ref="H45:H50"/>
    <mergeCell ref="I45:I50"/>
    <mergeCell ref="B39:B44"/>
    <mergeCell ref="C39:C44"/>
    <mergeCell ref="D39:D44"/>
    <mergeCell ref="E39:E44"/>
    <mergeCell ref="F39:F44"/>
    <mergeCell ref="G39:G44"/>
    <mergeCell ref="H51:H56"/>
    <mergeCell ref="I51:I56"/>
    <mergeCell ref="B57:B62"/>
    <mergeCell ref="C57:C62"/>
    <mergeCell ref="D57:D62"/>
    <mergeCell ref="E57:E62"/>
    <mergeCell ref="F57:F62"/>
    <mergeCell ref="G57:G62"/>
    <mergeCell ref="H57:H62"/>
    <mergeCell ref="I57:I62"/>
    <mergeCell ref="B51:B56"/>
    <mergeCell ref="C51:C56"/>
    <mergeCell ref="D51:D56"/>
    <mergeCell ref="E51:E56"/>
    <mergeCell ref="F51:F56"/>
    <mergeCell ref="G51:G56"/>
    <mergeCell ref="B63:B68"/>
    <mergeCell ref="C63:J68"/>
    <mergeCell ref="Q63:Q68"/>
    <mergeCell ref="V63:W68"/>
    <mergeCell ref="B69:B74"/>
    <mergeCell ref="C69:J74"/>
    <mergeCell ref="Q69:Q74"/>
    <mergeCell ref="V69:W74"/>
    <mergeCell ref="V80:W80"/>
    <mergeCell ref="V81:W81"/>
    <mergeCell ref="B76:V76"/>
    <mergeCell ref="C77:D77"/>
    <mergeCell ref="I77:K78"/>
    <mergeCell ref="L77:M77"/>
    <mergeCell ref="C79:D79"/>
    <mergeCell ref="I79:J79"/>
    <mergeCell ref="L79:M79"/>
    <mergeCell ref="E77:F77"/>
  </mergeCells>
  <conditionalFormatting sqref="W4">
    <cfRule type="cellIs" dxfId="5" priority="1" operator="equal">
      <formula>"DEFECT"</formula>
    </cfRule>
    <cfRule type="cellIs" dxfId="4" priority="2" operator="equal">
      <formula>"MONITOR"</formula>
    </cfRule>
  </conditionalFormatting>
  <dataValidations count="5">
    <dataValidation type="list" allowBlank="1" showInputMessage="1" showErrorMessage="1" sqref="W4" xr:uid="{C136FD2C-D538-48B0-8294-E25A30B5C554}">
      <formula1>"NORMAL,DEFECT,MONITOR"</formula1>
    </dataValidation>
    <dataValidation type="list" allowBlank="1" showInputMessage="1" sqref="H15:H62" xr:uid="{10CDFA94-4AEC-4906-BF5F-88EDAA02298C}">
      <formula1>"MAIN,RESERVE,N/A"</formula1>
    </dataValidation>
    <dataValidation type="list" allowBlank="1" showInputMessage="1" sqref="G15:G62" xr:uid="{91E8EB21-124F-449B-A0E8-886AF5C1E7F7}">
      <formula1>"CLOSE,TRIP,N/A"</formula1>
    </dataValidation>
    <dataValidation type="list" allowBlank="1" showInputMessage="1" sqref="F15:F62" xr:uid="{D5C90ED1-1851-4ECD-9CA9-7BFB203BE7E0}">
      <formula1>"SERVICE,TEST,RACK OUT,N/A"</formula1>
    </dataValidation>
    <dataValidation type="list" allowBlank="1" showInputMessage="1" sqref="E15:E62" xr:uid="{1D6E9D1E-376E-483C-9F58-B2A9AD09319D}">
      <formula1>"XLPE,PILC,N/A,NOT ACCESSIBLE"</formula1>
    </dataValidation>
  </dataValidations>
  <pageMargins left="3.937007874015748E-2" right="3.937007874015748E-2" top="0" bottom="0" header="0.31496062992125984" footer="0.31496062992125984"/>
  <pageSetup scale="11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24C8-A24F-4745-A685-B1A774FD7E8E}">
  <sheetPr>
    <tabColor rgb="FF92D050"/>
    <pageSetUpPr fitToPage="1"/>
  </sheetPr>
  <dimension ref="A1:W81"/>
  <sheetViews>
    <sheetView zoomScale="25" zoomScaleNormal="25" workbookViewId="0">
      <selection activeCell="W4" sqref="W4"/>
    </sheetView>
  </sheetViews>
  <sheetFormatPr defaultRowHeight="12.75" customHeight="1" x14ac:dyDescent="0.25"/>
  <cols>
    <col min="1" max="1" width="9.140625" style="45"/>
    <col min="2" max="2" width="22.7109375" style="45" customWidth="1"/>
    <col min="3" max="3" width="63.7109375" style="45" customWidth="1"/>
    <col min="4" max="4" width="110.7109375" style="45" customWidth="1"/>
    <col min="5" max="8" width="50.140625" style="45" customWidth="1"/>
    <col min="9" max="10" width="43" style="45" customWidth="1"/>
    <col min="11" max="11" width="88.42578125" style="45" customWidth="1"/>
    <col min="12" max="16" width="64.7109375" style="45" customWidth="1"/>
    <col min="17" max="17" width="85.85546875" style="45" customWidth="1"/>
    <col min="18" max="20" width="42.85546875" style="45" customWidth="1"/>
    <col min="21" max="21" width="85.5703125" style="45" customWidth="1"/>
    <col min="22" max="22" width="57" style="45" customWidth="1"/>
    <col min="23" max="23" width="42.7109375" style="45" customWidth="1"/>
    <col min="24" max="247" width="9.140625" style="45"/>
    <col min="248" max="248" width="16" style="45" customWidth="1"/>
    <col min="249" max="249" width="27.7109375" style="45" customWidth="1"/>
    <col min="250" max="250" width="65.7109375" style="45" customWidth="1"/>
    <col min="251" max="251" width="21.85546875" style="45" bestFit="1" customWidth="1"/>
    <col min="252" max="252" width="30.140625" style="45" customWidth="1"/>
    <col min="253" max="253" width="62" style="45" customWidth="1"/>
    <col min="254" max="254" width="44" style="45" customWidth="1"/>
    <col min="255" max="255" width="43.140625" style="45" customWidth="1"/>
    <col min="256" max="256" width="45" style="45" customWidth="1"/>
    <col min="257" max="257" width="35.5703125" style="45" customWidth="1"/>
    <col min="258" max="258" width="37.140625" style="45" customWidth="1"/>
    <col min="259" max="259" width="76.7109375" style="45" customWidth="1"/>
    <col min="260" max="260" width="37.7109375" style="45" customWidth="1"/>
    <col min="261" max="261" width="37.85546875" style="45" customWidth="1"/>
    <col min="262" max="262" width="39.85546875" style="45" customWidth="1"/>
    <col min="263" max="263" width="53.140625" style="45" customWidth="1"/>
    <col min="264" max="264" width="35.28515625" style="45" customWidth="1"/>
    <col min="265" max="265" width="31" style="45" customWidth="1"/>
    <col min="266" max="266" width="29.140625" style="45" customWidth="1"/>
    <col min="267" max="267" width="30.140625" style="45" customWidth="1"/>
    <col min="268" max="268" width="49.140625" style="45" customWidth="1"/>
    <col min="269" max="269" width="31.85546875" style="45" customWidth="1"/>
    <col min="270" max="270" width="39.140625" style="45" customWidth="1"/>
    <col min="271" max="271" width="53" style="45" bestFit="1" customWidth="1"/>
    <col min="272" max="272" width="33.42578125" style="45" bestFit="1" customWidth="1"/>
    <col min="273" max="273" width="28.140625" style="45" customWidth="1"/>
    <col min="274" max="278" width="6.7109375" style="45" customWidth="1"/>
    <col min="279" max="279" width="1.7109375" style="45" customWidth="1"/>
    <col min="280" max="503" width="9.140625" style="45"/>
    <col min="504" max="504" width="16" style="45" customWidth="1"/>
    <col min="505" max="505" width="27.7109375" style="45" customWidth="1"/>
    <col min="506" max="506" width="65.7109375" style="45" customWidth="1"/>
    <col min="507" max="507" width="21.85546875" style="45" bestFit="1" customWidth="1"/>
    <col min="508" max="508" width="30.140625" style="45" customWidth="1"/>
    <col min="509" max="509" width="62" style="45" customWidth="1"/>
    <col min="510" max="510" width="44" style="45" customWidth="1"/>
    <col min="511" max="511" width="43.140625" style="45" customWidth="1"/>
    <col min="512" max="512" width="45" style="45" customWidth="1"/>
    <col min="513" max="513" width="35.5703125" style="45" customWidth="1"/>
    <col min="514" max="514" width="37.140625" style="45" customWidth="1"/>
    <col min="515" max="515" width="76.7109375" style="45" customWidth="1"/>
    <col min="516" max="516" width="37.7109375" style="45" customWidth="1"/>
    <col min="517" max="517" width="37.85546875" style="45" customWidth="1"/>
    <col min="518" max="518" width="39.85546875" style="45" customWidth="1"/>
    <col min="519" max="519" width="53.140625" style="45" customWidth="1"/>
    <col min="520" max="520" width="35.28515625" style="45" customWidth="1"/>
    <col min="521" max="521" width="31" style="45" customWidth="1"/>
    <col min="522" max="522" width="29.140625" style="45" customWidth="1"/>
    <col min="523" max="523" width="30.140625" style="45" customWidth="1"/>
    <col min="524" max="524" width="49.140625" style="45" customWidth="1"/>
    <col min="525" max="525" width="31.85546875" style="45" customWidth="1"/>
    <col min="526" max="526" width="39.140625" style="45" customWidth="1"/>
    <col min="527" max="527" width="53" style="45" bestFit="1" customWidth="1"/>
    <col min="528" max="528" width="33.42578125" style="45" bestFit="1" customWidth="1"/>
    <col min="529" max="529" width="28.140625" style="45" customWidth="1"/>
    <col min="530" max="534" width="6.7109375" style="45" customWidth="1"/>
    <col min="535" max="535" width="1.7109375" style="45" customWidth="1"/>
    <col min="536" max="759" width="9.140625" style="45"/>
    <col min="760" max="760" width="16" style="45" customWidth="1"/>
    <col min="761" max="761" width="27.7109375" style="45" customWidth="1"/>
    <col min="762" max="762" width="65.7109375" style="45" customWidth="1"/>
    <col min="763" max="763" width="21.85546875" style="45" bestFit="1" customWidth="1"/>
    <col min="764" max="764" width="30.140625" style="45" customWidth="1"/>
    <col min="765" max="765" width="62" style="45" customWidth="1"/>
    <col min="766" max="766" width="44" style="45" customWidth="1"/>
    <col min="767" max="767" width="43.140625" style="45" customWidth="1"/>
    <col min="768" max="768" width="45" style="45" customWidth="1"/>
    <col min="769" max="769" width="35.5703125" style="45" customWidth="1"/>
    <col min="770" max="770" width="37.140625" style="45" customWidth="1"/>
    <col min="771" max="771" width="76.7109375" style="45" customWidth="1"/>
    <col min="772" max="772" width="37.7109375" style="45" customWidth="1"/>
    <col min="773" max="773" width="37.85546875" style="45" customWidth="1"/>
    <col min="774" max="774" width="39.85546875" style="45" customWidth="1"/>
    <col min="775" max="775" width="53.140625" style="45" customWidth="1"/>
    <col min="776" max="776" width="35.28515625" style="45" customWidth="1"/>
    <col min="777" max="777" width="31" style="45" customWidth="1"/>
    <col min="778" max="778" width="29.140625" style="45" customWidth="1"/>
    <col min="779" max="779" width="30.140625" style="45" customWidth="1"/>
    <col min="780" max="780" width="49.140625" style="45" customWidth="1"/>
    <col min="781" max="781" width="31.85546875" style="45" customWidth="1"/>
    <col min="782" max="782" width="39.140625" style="45" customWidth="1"/>
    <col min="783" max="783" width="53" style="45" bestFit="1" customWidth="1"/>
    <col min="784" max="784" width="33.42578125" style="45" bestFit="1" customWidth="1"/>
    <col min="785" max="785" width="28.140625" style="45" customWidth="1"/>
    <col min="786" max="790" width="6.7109375" style="45" customWidth="1"/>
    <col min="791" max="791" width="1.7109375" style="45" customWidth="1"/>
    <col min="792" max="1015" width="9.140625" style="45"/>
    <col min="1016" max="1016" width="16" style="45" customWidth="1"/>
    <col min="1017" max="1017" width="27.7109375" style="45" customWidth="1"/>
    <col min="1018" max="1018" width="65.7109375" style="45" customWidth="1"/>
    <col min="1019" max="1019" width="21.85546875" style="45" bestFit="1" customWidth="1"/>
    <col min="1020" max="1020" width="30.140625" style="45" customWidth="1"/>
    <col min="1021" max="1021" width="62" style="45" customWidth="1"/>
    <col min="1022" max="1022" width="44" style="45" customWidth="1"/>
    <col min="1023" max="1023" width="43.140625" style="45" customWidth="1"/>
    <col min="1024" max="1024" width="45" style="45" customWidth="1"/>
    <col min="1025" max="1025" width="35.5703125" style="45" customWidth="1"/>
    <col min="1026" max="1026" width="37.140625" style="45" customWidth="1"/>
    <col min="1027" max="1027" width="76.7109375" style="45" customWidth="1"/>
    <col min="1028" max="1028" width="37.7109375" style="45" customWidth="1"/>
    <col min="1029" max="1029" width="37.85546875" style="45" customWidth="1"/>
    <col min="1030" max="1030" width="39.85546875" style="45" customWidth="1"/>
    <col min="1031" max="1031" width="53.140625" style="45" customWidth="1"/>
    <col min="1032" max="1032" width="35.28515625" style="45" customWidth="1"/>
    <col min="1033" max="1033" width="31" style="45" customWidth="1"/>
    <col min="1034" max="1034" width="29.140625" style="45" customWidth="1"/>
    <col min="1035" max="1035" width="30.140625" style="45" customWidth="1"/>
    <col min="1036" max="1036" width="49.140625" style="45" customWidth="1"/>
    <col min="1037" max="1037" width="31.85546875" style="45" customWidth="1"/>
    <col min="1038" max="1038" width="39.140625" style="45" customWidth="1"/>
    <col min="1039" max="1039" width="53" style="45" bestFit="1" customWidth="1"/>
    <col min="1040" max="1040" width="33.42578125" style="45" bestFit="1" customWidth="1"/>
    <col min="1041" max="1041" width="28.140625" style="45" customWidth="1"/>
    <col min="1042" max="1046" width="6.7109375" style="45" customWidth="1"/>
    <col min="1047" max="1047" width="1.7109375" style="45" customWidth="1"/>
    <col min="1048" max="1271" width="9.140625" style="45"/>
    <col min="1272" max="1272" width="16" style="45" customWidth="1"/>
    <col min="1273" max="1273" width="27.7109375" style="45" customWidth="1"/>
    <col min="1274" max="1274" width="65.7109375" style="45" customWidth="1"/>
    <col min="1275" max="1275" width="21.85546875" style="45" bestFit="1" customWidth="1"/>
    <col min="1276" max="1276" width="30.140625" style="45" customWidth="1"/>
    <col min="1277" max="1277" width="62" style="45" customWidth="1"/>
    <col min="1278" max="1278" width="44" style="45" customWidth="1"/>
    <col min="1279" max="1279" width="43.140625" style="45" customWidth="1"/>
    <col min="1280" max="1280" width="45" style="45" customWidth="1"/>
    <col min="1281" max="1281" width="35.5703125" style="45" customWidth="1"/>
    <col min="1282" max="1282" width="37.140625" style="45" customWidth="1"/>
    <col min="1283" max="1283" width="76.7109375" style="45" customWidth="1"/>
    <col min="1284" max="1284" width="37.7109375" style="45" customWidth="1"/>
    <col min="1285" max="1285" width="37.85546875" style="45" customWidth="1"/>
    <col min="1286" max="1286" width="39.85546875" style="45" customWidth="1"/>
    <col min="1287" max="1287" width="53.140625" style="45" customWidth="1"/>
    <col min="1288" max="1288" width="35.28515625" style="45" customWidth="1"/>
    <col min="1289" max="1289" width="31" style="45" customWidth="1"/>
    <col min="1290" max="1290" width="29.140625" style="45" customWidth="1"/>
    <col min="1291" max="1291" width="30.140625" style="45" customWidth="1"/>
    <col min="1292" max="1292" width="49.140625" style="45" customWidth="1"/>
    <col min="1293" max="1293" width="31.85546875" style="45" customWidth="1"/>
    <col min="1294" max="1294" width="39.140625" style="45" customWidth="1"/>
    <col min="1295" max="1295" width="53" style="45" bestFit="1" customWidth="1"/>
    <col min="1296" max="1296" width="33.42578125" style="45" bestFit="1" customWidth="1"/>
    <col min="1297" max="1297" width="28.140625" style="45" customWidth="1"/>
    <col min="1298" max="1302" width="6.7109375" style="45" customWidth="1"/>
    <col min="1303" max="1303" width="1.7109375" style="45" customWidth="1"/>
    <col min="1304" max="1527" width="9.140625" style="45"/>
    <col min="1528" max="1528" width="16" style="45" customWidth="1"/>
    <col min="1529" max="1529" width="27.7109375" style="45" customWidth="1"/>
    <col min="1530" max="1530" width="65.7109375" style="45" customWidth="1"/>
    <col min="1531" max="1531" width="21.85546875" style="45" bestFit="1" customWidth="1"/>
    <col min="1532" max="1532" width="30.140625" style="45" customWidth="1"/>
    <col min="1533" max="1533" width="62" style="45" customWidth="1"/>
    <col min="1534" max="1534" width="44" style="45" customWidth="1"/>
    <col min="1535" max="1535" width="43.140625" style="45" customWidth="1"/>
    <col min="1536" max="1536" width="45" style="45" customWidth="1"/>
    <col min="1537" max="1537" width="35.5703125" style="45" customWidth="1"/>
    <col min="1538" max="1538" width="37.140625" style="45" customWidth="1"/>
    <col min="1539" max="1539" width="76.7109375" style="45" customWidth="1"/>
    <col min="1540" max="1540" width="37.7109375" style="45" customWidth="1"/>
    <col min="1541" max="1541" width="37.85546875" style="45" customWidth="1"/>
    <col min="1542" max="1542" width="39.85546875" style="45" customWidth="1"/>
    <col min="1543" max="1543" width="53.140625" style="45" customWidth="1"/>
    <col min="1544" max="1544" width="35.28515625" style="45" customWidth="1"/>
    <col min="1545" max="1545" width="31" style="45" customWidth="1"/>
    <col min="1546" max="1546" width="29.140625" style="45" customWidth="1"/>
    <col min="1547" max="1547" width="30.140625" style="45" customWidth="1"/>
    <col min="1548" max="1548" width="49.140625" style="45" customWidth="1"/>
    <col min="1549" max="1549" width="31.85546875" style="45" customWidth="1"/>
    <col min="1550" max="1550" width="39.140625" style="45" customWidth="1"/>
    <col min="1551" max="1551" width="53" style="45" bestFit="1" customWidth="1"/>
    <col min="1552" max="1552" width="33.42578125" style="45" bestFit="1" customWidth="1"/>
    <col min="1553" max="1553" width="28.140625" style="45" customWidth="1"/>
    <col min="1554" max="1558" width="6.7109375" style="45" customWidth="1"/>
    <col min="1559" max="1559" width="1.7109375" style="45" customWidth="1"/>
    <col min="1560" max="1783" width="9.140625" style="45"/>
    <col min="1784" max="1784" width="16" style="45" customWidth="1"/>
    <col min="1785" max="1785" width="27.7109375" style="45" customWidth="1"/>
    <col min="1786" max="1786" width="65.7109375" style="45" customWidth="1"/>
    <col min="1787" max="1787" width="21.85546875" style="45" bestFit="1" customWidth="1"/>
    <col min="1788" max="1788" width="30.140625" style="45" customWidth="1"/>
    <col min="1789" max="1789" width="62" style="45" customWidth="1"/>
    <col min="1790" max="1790" width="44" style="45" customWidth="1"/>
    <col min="1791" max="1791" width="43.140625" style="45" customWidth="1"/>
    <col min="1792" max="1792" width="45" style="45" customWidth="1"/>
    <col min="1793" max="1793" width="35.5703125" style="45" customWidth="1"/>
    <col min="1794" max="1794" width="37.140625" style="45" customWidth="1"/>
    <col min="1795" max="1795" width="76.7109375" style="45" customWidth="1"/>
    <col min="1796" max="1796" width="37.7109375" style="45" customWidth="1"/>
    <col min="1797" max="1797" width="37.85546875" style="45" customWidth="1"/>
    <col min="1798" max="1798" width="39.85546875" style="45" customWidth="1"/>
    <col min="1799" max="1799" width="53.140625" style="45" customWidth="1"/>
    <col min="1800" max="1800" width="35.28515625" style="45" customWidth="1"/>
    <col min="1801" max="1801" width="31" style="45" customWidth="1"/>
    <col min="1802" max="1802" width="29.140625" style="45" customWidth="1"/>
    <col min="1803" max="1803" width="30.140625" style="45" customWidth="1"/>
    <col min="1804" max="1804" width="49.140625" style="45" customWidth="1"/>
    <col min="1805" max="1805" width="31.85546875" style="45" customWidth="1"/>
    <col min="1806" max="1806" width="39.140625" style="45" customWidth="1"/>
    <col min="1807" max="1807" width="53" style="45" bestFit="1" customWidth="1"/>
    <col min="1808" max="1808" width="33.42578125" style="45" bestFit="1" customWidth="1"/>
    <col min="1809" max="1809" width="28.140625" style="45" customWidth="1"/>
    <col min="1810" max="1814" width="6.7109375" style="45" customWidth="1"/>
    <col min="1815" max="1815" width="1.7109375" style="45" customWidth="1"/>
    <col min="1816" max="2039" width="9.140625" style="45"/>
    <col min="2040" max="2040" width="16" style="45" customWidth="1"/>
    <col min="2041" max="2041" width="27.7109375" style="45" customWidth="1"/>
    <col min="2042" max="2042" width="65.7109375" style="45" customWidth="1"/>
    <col min="2043" max="2043" width="21.85546875" style="45" bestFit="1" customWidth="1"/>
    <col min="2044" max="2044" width="30.140625" style="45" customWidth="1"/>
    <col min="2045" max="2045" width="62" style="45" customWidth="1"/>
    <col min="2046" max="2046" width="44" style="45" customWidth="1"/>
    <col min="2047" max="2047" width="43.140625" style="45" customWidth="1"/>
    <col min="2048" max="2048" width="45" style="45" customWidth="1"/>
    <col min="2049" max="2049" width="35.5703125" style="45" customWidth="1"/>
    <col min="2050" max="2050" width="37.140625" style="45" customWidth="1"/>
    <col min="2051" max="2051" width="76.7109375" style="45" customWidth="1"/>
    <col min="2052" max="2052" width="37.7109375" style="45" customWidth="1"/>
    <col min="2053" max="2053" width="37.85546875" style="45" customWidth="1"/>
    <col min="2054" max="2054" width="39.85546875" style="45" customWidth="1"/>
    <col min="2055" max="2055" width="53.140625" style="45" customWidth="1"/>
    <col min="2056" max="2056" width="35.28515625" style="45" customWidth="1"/>
    <col min="2057" max="2057" width="31" style="45" customWidth="1"/>
    <col min="2058" max="2058" width="29.140625" style="45" customWidth="1"/>
    <col min="2059" max="2059" width="30.140625" style="45" customWidth="1"/>
    <col min="2060" max="2060" width="49.140625" style="45" customWidth="1"/>
    <col min="2061" max="2061" width="31.85546875" style="45" customWidth="1"/>
    <col min="2062" max="2062" width="39.140625" style="45" customWidth="1"/>
    <col min="2063" max="2063" width="53" style="45" bestFit="1" customWidth="1"/>
    <col min="2064" max="2064" width="33.42578125" style="45" bestFit="1" customWidth="1"/>
    <col min="2065" max="2065" width="28.140625" style="45" customWidth="1"/>
    <col min="2066" max="2070" width="6.7109375" style="45" customWidth="1"/>
    <col min="2071" max="2071" width="1.7109375" style="45" customWidth="1"/>
    <col min="2072" max="2295" width="9.140625" style="45"/>
    <col min="2296" max="2296" width="16" style="45" customWidth="1"/>
    <col min="2297" max="2297" width="27.7109375" style="45" customWidth="1"/>
    <col min="2298" max="2298" width="65.7109375" style="45" customWidth="1"/>
    <col min="2299" max="2299" width="21.85546875" style="45" bestFit="1" customWidth="1"/>
    <col min="2300" max="2300" width="30.140625" style="45" customWidth="1"/>
    <col min="2301" max="2301" width="62" style="45" customWidth="1"/>
    <col min="2302" max="2302" width="44" style="45" customWidth="1"/>
    <col min="2303" max="2303" width="43.140625" style="45" customWidth="1"/>
    <col min="2304" max="2304" width="45" style="45" customWidth="1"/>
    <col min="2305" max="2305" width="35.5703125" style="45" customWidth="1"/>
    <col min="2306" max="2306" width="37.140625" style="45" customWidth="1"/>
    <col min="2307" max="2307" width="76.7109375" style="45" customWidth="1"/>
    <col min="2308" max="2308" width="37.7109375" style="45" customWidth="1"/>
    <col min="2309" max="2309" width="37.85546875" style="45" customWidth="1"/>
    <col min="2310" max="2310" width="39.85546875" style="45" customWidth="1"/>
    <col min="2311" max="2311" width="53.140625" style="45" customWidth="1"/>
    <col min="2312" max="2312" width="35.28515625" style="45" customWidth="1"/>
    <col min="2313" max="2313" width="31" style="45" customWidth="1"/>
    <col min="2314" max="2314" width="29.140625" style="45" customWidth="1"/>
    <col min="2315" max="2315" width="30.140625" style="45" customWidth="1"/>
    <col min="2316" max="2316" width="49.140625" style="45" customWidth="1"/>
    <col min="2317" max="2317" width="31.85546875" style="45" customWidth="1"/>
    <col min="2318" max="2318" width="39.140625" style="45" customWidth="1"/>
    <col min="2319" max="2319" width="53" style="45" bestFit="1" customWidth="1"/>
    <col min="2320" max="2320" width="33.42578125" style="45" bestFit="1" customWidth="1"/>
    <col min="2321" max="2321" width="28.140625" style="45" customWidth="1"/>
    <col min="2322" max="2326" width="6.7109375" style="45" customWidth="1"/>
    <col min="2327" max="2327" width="1.7109375" style="45" customWidth="1"/>
    <col min="2328" max="2551" width="9.140625" style="45"/>
    <col min="2552" max="2552" width="16" style="45" customWidth="1"/>
    <col min="2553" max="2553" width="27.7109375" style="45" customWidth="1"/>
    <col min="2554" max="2554" width="65.7109375" style="45" customWidth="1"/>
    <col min="2555" max="2555" width="21.85546875" style="45" bestFit="1" customWidth="1"/>
    <col min="2556" max="2556" width="30.140625" style="45" customWidth="1"/>
    <col min="2557" max="2557" width="62" style="45" customWidth="1"/>
    <col min="2558" max="2558" width="44" style="45" customWidth="1"/>
    <col min="2559" max="2559" width="43.140625" style="45" customWidth="1"/>
    <col min="2560" max="2560" width="45" style="45" customWidth="1"/>
    <col min="2561" max="2561" width="35.5703125" style="45" customWidth="1"/>
    <col min="2562" max="2562" width="37.140625" style="45" customWidth="1"/>
    <col min="2563" max="2563" width="76.7109375" style="45" customWidth="1"/>
    <col min="2564" max="2564" width="37.7109375" style="45" customWidth="1"/>
    <col min="2565" max="2565" width="37.85546875" style="45" customWidth="1"/>
    <col min="2566" max="2566" width="39.85546875" style="45" customWidth="1"/>
    <col min="2567" max="2567" width="53.140625" style="45" customWidth="1"/>
    <col min="2568" max="2568" width="35.28515625" style="45" customWidth="1"/>
    <col min="2569" max="2569" width="31" style="45" customWidth="1"/>
    <col min="2570" max="2570" width="29.140625" style="45" customWidth="1"/>
    <col min="2571" max="2571" width="30.140625" style="45" customWidth="1"/>
    <col min="2572" max="2572" width="49.140625" style="45" customWidth="1"/>
    <col min="2573" max="2573" width="31.85546875" style="45" customWidth="1"/>
    <col min="2574" max="2574" width="39.140625" style="45" customWidth="1"/>
    <col min="2575" max="2575" width="53" style="45" bestFit="1" customWidth="1"/>
    <col min="2576" max="2576" width="33.42578125" style="45" bestFit="1" customWidth="1"/>
    <col min="2577" max="2577" width="28.140625" style="45" customWidth="1"/>
    <col min="2578" max="2582" width="6.7109375" style="45" customWidth="1"/>
    <col min="2583" max="2583" width="1.7109375" style="45" customWidth="1"/>
    <col min="2584" max="2807" width="9.140625" style="45"/>
    <col min="2808" max="2808" width="16" style="45" customWidth="1"/>
    <col min="2809" max="2809" width="27.7109375" style="45" customWidth="1"/>
    <col min="2810" max="2810" width="65.7109375" style="45" customWidth="1"/>
    <col min="2811" max="2811" width="21.85546875" style="45" bestFit="1" customWidth="1"/>
    <col min="2812" max="2812" width="30.140625" style="45" customWidth="1"/>
    <col min="2813" max="2813" width="62" style="45" customWidth="1"/>
    <col min="2814" max="2814" width="44" style="45" customWidth="1"/>
    <col min="2815" max="2815" width="43.140625" style="45" customWidth="1"/>
    <col min="2816" max="2816" width="45" style="45" customWidth="1"/>
    <col min="2817" max="2817" width="35.5703125" style="45" customWidth="1"/>
    <col min="2818" max="2818" width="37.140625" style="45" customWidth="1"/>
    <col min="2819" max="2819" width="76.7109375" style="45" customWidth="1"/>
    <col min="2820" max="2820" width="37.7109375" style="45" customWidth="1"/>
    <col min="2821" max="2821" width="37.85546875" style="45" customWidth="1"/>
    <col min="2822" max="2822" width="39.85546875" style="45" customWidth="1"/>
    <col min="2823" max="2823" width="53.140625" style="45" customWidth="1"/>
    <col min="2824" max="2824" width="35.28515625" style="45" customWidth="1"/>
    <col min="2825" max="2825" width="31" style="45" customWidth="1"/>
    <col min="2826" max="2826" width="29.140625" style="45" customWidth="1"/>
    <col min="2827" max="2827" width="30.140625" style="45" customWidth="1"/>
    <col min="2828" max="2828" width="49.140625" style="45" customWidth="1"/>
    <col min="2829" max="2829" width="31.85546875" style="45" customWidth="1"/>
    <col min="2830" max="2830" width="39.140625" style="45" customWidth="1"/>
    <col min="2831" max="2831" width="53" style="45" bestFit="1" customWidth="1"/>
    <col min="2832" max="2832" width="33.42578125" style="45" bestFit="1" customWidth="1"/>
    <col min="2833" max="2833" width="28.140625" style="45" customWidth="1"/>
    <col min="2834" max="2838" width="6.7109375" style="45" customWidth="1"/>
    <col min="2839" max="2839" width="1.7109375" style="45" customWidth="1"/>
    <col min="2840" max="3063" width="9.140625" style="45"/>
    <col min="3064" max="3064" width="16" style="45" customWidth="1"/>
    <col min="3065" max="3065" width="27.7109375" style="45" customWidth="1"/>
    <col min="3066" max="3066" width="65.7109375" style="45" customWidth="1"/>
    <col min="3067" max="3067" width="21.85546875" style="45" bestFit="1" customWidth="1"/>
    <col min="3068" max="3068" width="30.140625" style="45" customWidth="1"/>
    <col min="3069" max="3069" width="62" style="45" customWidth="1"/>
    <col min="3070" max="3070" width="44" style="45" customWidth="1"/>
    <col min="3071" max="3071" width="43.140625" style="45" customWidth="1"/>
    <col min="3072" max="3072" width="45" style="45" customWidth="1"/>
    <col min="3073" max="3073" width="35.5703125" style="45" customWidth="1"/>
    <col min="3074" max="3074" width="37.140625" style="45" customWidth="1"/>
    <col min="3075" max="3075" width="76.7109375" style="45" customWidth="1"/>
    <col min="3076" max="3076" width="37.7109375" style="45" customWidth="1"/>
    <col min="3077" max="3077" width="37.85546875" style="45" customWidth="1"/>
    <col min="3078" max="3078" width="39.85546875" style="45" customWidth="1"/>
    <col min="3079" max="3079" width="53.140625" style="45" customWidth="1"/>
    <col min="3080" max="3080" width="35.28515625" style="45" customWidth="1"/>
    <col min="3081" max="3081" width="31" style="45" customWidth="1"/>
    <col min="3082" max="3082" width="29.140625" style="45" customWidth="1"/>
    <col min="3083" max="3083" width="30.140625" style="45" customWidth="1"/>
    <col min="3084" max="3084" width="49.140625" style="45" customWidth="1"/>
    <col min="3085" max="3085" width="31.85546875" style="45" customWidth="1"/>
    <col min="3086" max="3086" width="39.140625" style="45" customWidth="1"/>
    <col min="3087" max="3087" width="53" style="45" bestFit="1" customWidth="1"/>
    <col min="3088" max="3088" width="33.42578125" style="45" bestFit="1" customWidth="1"/>
    <col min="3089" max="3089" width="28.140625" style="45" customWidth="1"/>
    <col min="3090" max="3094" width="6.7109375" style="45" customWidth="1"/>
    <col min="3095" max="3095" width="1.7109375" style="45" customWidth="1"/>
    <col min="3096" max="3319" width="9.140625" style="45"/>
    <col min="3320" max="3320" width="16" style="45" customWidth="1"/>
    <col min="3321" max="3321" width="27.7109375" style="45" customWidth="1"/>
    <col min="3322" max="3322" width="65.7109375" style="45" customWidth="1"/>
    <col min="3323" max="3323" width="21.85546875" style="45" bestFit="1" customWidth="1"/>
    <col min="3324" max="3324" width="30.140625" style="45" customWidth="1"/>
    <col min="3325" max="3325" width="62" style="45" customWidth="1"/>
    <col min="3326" max="3326" width="44" style="45" customWidth="1"/>
    <col min="3327" max="3327" width="43.140625" style="45" customWidth="1"/>
    <col min="3328" max="3328" width="45" style="45" customWidth="1"/>
    <col min="3329" max="3329" width="35.5703125" style="45" customWidth="1"/>
    <col min="3330" max="3330" width="37.140625" style="45" customWidth="1"/>
    <col min="3331" max="3331" width="76.7109375" style="45" customWidth="1"/>
    <col min="3332" max="3332" width="37.7109375" style="45" customWidth="1"/>
    <col min="3333" max="3333" width="37.85546875" style="45" customWidth="1"/>
    <col min="3334" max="3334" width="39.85546875" style="45" customWidth="1"/>
    <col min="3335" max="3335" width="53.140625" style="45" customWidth="1"/>
    <col min="3336" max="3336" width="35.28515625" style="45" customWidth="1"/>
    <col min="3337" max="3337" width="31" style="45" customWidth="1"/>
    <col min="3338" max="3338" width="29.140625" style="45" customWidth="1"/>
    <col min="3339" max="3339" width="30.140625" style="45" customWidth="1"/>
    <col min="3340" max="3340" width="49.140625" style="45" customWidth="1"/>
    <col min="3341" max="3341" width="31.85546875" style="45" customWidth="1"/>
    <col min="3342" max="3342" width="39.140625" style="45" customWidth="1"/>
    <col min="3343" max="3343" width="53" style="45" bestFit="1" customWidth="1"/>
    <col min="3344" max="3344" width="33.42578125" style="45" bestFit="1" customWidth="1"/>
    <col min="3345" max="3345" width="28.140625" style="45" customWidth="1"/>
    <col min="3346" max="3350" width="6.7109375" style="45" customWidth="1"/>
    <col min="3351" max="3351" width="1.7109375" style="45" customWidth="1"/>
    <col min="3352" max="3575" width="9.140625" style="45"/>
    <col min="3576" max="3576" width="16" style="45" customWidth="1"/>
    <col min="3577" max="3577" width="27.7109375" style="45" customWidth="1"/>
    <col min="3578" max="3578" width="65.7109375" style="45" customWidth="1"/>
    <col min="3579" max="3579" width="21.85546875" style="45" bestFit="1" customWidth="1"/>
    <col min="3580" max="3580" width="30.140625" style="45" customWidth="1"/>
    <col min="3581" max="3581" width="62" style="45" customWidth="1"/>
    <col min="3582" max="3582" width="44" style="45" customWidth="1"/>
    <col min="3583" max="3583" width="43.140625" style="45" customWidth="1"/>
    <col min="3584" max="3584" width="45" style="45" customWidth="1"/>
    <col min="3585" max="3585" width="35.5703125" style="45" customWidth="1"/>
    <col min="3586" max="3586" width="37.140625" style="45" customWidth="1"/>
    <col min="3587" max="3587" width="76.7109375" style="45" customWidth="1"/>
    <col min="3588" max="3588" width="37.7109375" style="45" customWidth="1"/>
    <col min="3589" max="3589" width="37.85546875" style="45" customWidth="1"/>
    <col min="3590" max="3590" width="39.85546875" style="45" customWidth="1"/>
    <col min="3591" max="3591" width="53.140625" style="45" customWidth="1"/>
    <col min="3592" max="3592" width="35.28515625" style="45" customWidth="1"/>
    <col min="3593" max="3593" width="31" style="45" customWidth="1"/>
    <col min="3594" max="3594" width="29.140625" style="45" customWidth="1"/>
    <col min="3595" max="3595" width="30.140625" style="45" customWidth="1"/>
    <col min="3596" max="3596" width="49.140625" style="45" customWidth="1"/>
    <col min="3597" max="3597" width="31.85546875" style="45" customWidth="1"/>
    <col min="3598" max="3598" width="39.140625" style="45" customWidth="1"/>
    <col min="3599" max="3599" width="53" style="45" bestFit="1" customWidth="1"/>
    <col min="3600" max="3600" width="33.42578125" style="45" bestFit="1" customWidth="1"/>
    <col min="3601" max="3601" width="28.140625" style="45" customWidth="1"/>
    <col min="3602" max="3606" width="6.7109375" style="45" customWidth="1"/>
    <col min="3607" max="3607" width="1.7109375" style="45" customWidth="1"/>
    <col min="3608" max="3831" width="9.140625" style="45"/>
    <col min="3832" max="3832" width="16" style="45" customWidth="1"/>
    <col min="3833" max="3833" width="27.7109375" style="45" customWidth="1"/>
    <col min="3834" max="3834" width="65.7109375" style="45" customWidth="1"/>
    <col min="3835" max="3835" width="21.85546875" style="45" bestFit="1" customWidth="1"/>
    <col min="3836" max="3836" width="30.140625" style="45" customWidth="1"/>
    <col min="3837" max="3837" width="62" style="45" customWidth="1"/>
    <col min="3838" max="3838" width="44" style="45" customWidth="1"/>
    <col min="3839" max="3839" width="43.140625" style="45" customWidth="1"/>
    <col min="3840" max="3840" width="45" style="45" customWidth="1"/>
    <col min="3841" max="3841" width="35.5703125" style="45" customWidth="1"/>
    <col min="3842" max="3842" width="37.140625" style="45" customWidth="1"/>
    <col min="3843" max="3843" width="76.7109375" style="45" customWidth="1"/>
    <col min="3844" max="3844" width="37.7109375" style="45" customWidth="1"/>
    <col min="3845" max="3845" width="37.85546875" style="45" customWidth="1"/>
    <col min="3846" max="3846" width="39.85546875" style="45" customWidth="1"/>
    <col min="3847" max="3847" width="53.140625" style="45" customWidth="1"/>
    <col min="3848" max="3848" width="35.28515625" style="45" customWidth="1"/>
    <col min="3849" max="3849" width="31" style="45" customWidth="1"/>
    <col min="3850" max="3850" width="29.140625" style="45" customWidth="1"/>
    <col min="3851" max="3851" width="30.140625" style="45" customWidth="1"/>
    <col min="3852" max="3852" width="49.140625" style="45" customWidth="1"/>
    <col min="3853" max="3853" width="31.85546875" style="45" customWidth="1"/>
    <col min="3854" max="3854" width="39.140625" style="45" customWidth="1"/>
    <col min="3855" max="3855" width="53" style="45" bestFit="1" customWidth="1"/>
    <col min="3856" max="3856" width="33.42578125" style="45" bestFit="1" customWidth="1"/>
    <col min="3857" max="3857" width="28.140625" style="45" customWidth="1"/>
    <col min="3858" max="3862" width="6.7109375" style="45" customWidth="1"/>
    <col min="3863" max="3863" width="1.7109375" style="45" customWidth="1"/>
    <col min="3864" max="4087" width="9.140625" style="45"/>
    <col min="4088" max="4088" width="16" style="45" customWidth="1"/>
    <col min="4089" max="4089" width="27.7109375" style="45" customWidth="1"/>
    <col min="4090" max="4090" width="65.7109375" style="45" customWidth="1"/>
    <col min="4091" max="4091" width="21.85546875" style="45" bestFit="1" customWidth="1"/>
    <col min="4092" max="4092" width="30.140625" style="45" customWidth="1"/>
    <col min="4093" max="4093" width="62" style="45" customWidth="1"/>
    <col min="4094" max="4094" width="44" style="45" customWidth="1"/>
    <col min="4095" max="4095" width="43.140625" style="45" customWidth="1"/>
    <col min="4096" max="4096" width="45" style="45" customWidth="1"/>
    <col min="4097" max="4097" width="35.5703125" style="45" customWidth="1"/>
    <col min="4098" max="4098" width="37.140625" style="45" customWidth="1"/>
    <col min="4099" max="4099" width="76.7109375" style="45" customWidth="1"/>
    <col min="4100" max="4100" width="37.7109375" style="45" customWidth="1"/>
    <col min="4101" max="4101" width="37.85546875" style="45" customWidth="1"/>
    <col min="4102" max="4102" width="39.85546875" style="45" customWidth="1"/>
    <col min="4103" max="4103" width="53.140625" style="45" customWidth="1"/>
    <col min="4104" max="4104" width="35.28515625" style="45" customWidth="1"/>
    <col min="4105" max="4105" width="31" style="45" customWidth="1"/>
    <col min="4106" max="4106" width="29.140625" style="45" customWidth="1"/>
    <col min="4107" max="4107" width="30.140625" style="45" customWidth="1"/>
    <col min="4108" max="4108" width="49.140625" style="45" customWidth="1"/>
    <col min="4109" max="4109" width="31.85546875" style="45" customWidth="1"/>
    <col min="4110" max="4110" width="39.140625" style="45" customWidth="1"/>
    <col min="4111" max="4111" width="53" style="45" bestFit="1" customWidth="1"/>
    <col min="4112" max="4112" width="33.42578125" style="45" bestFit="1" customWidth="1"/>
    <col min="4113" max="4113" width="28.140625" style="45" customWidth="1"/>
    <col min="4114" max="4118" width="6.7109375" style="45" customWidth="1"/>
    <col min="4119" max="4119" width="1.7109375" style="45" customWidth="1"/>
    <col min="4120" max="4343" width="9.140625" style="45"/>
    <col min="4344" max="4344" width="16" style="45" customWidth="1"/>
    <col min="4345" max="4345" width="27.7109375" style="45" customWidth="1"/>
    <col min="4346" max="4346" width="65.7109375" style="45" customWidth="1"/>
    <col min="4347" max="4347" width="21.85546875" style="45" bestFit="1" customWidth="1"/>
    <col min="4348" max="4348" width="30.140625" style="45" customWidth="1"/>
    <col min="4349" max="4349" width="62" style="45" customWidth="1"/>
    <col min="4350" max="4350" width="44" style="45" customWidth="1"/>
    <col min="4351" max="4351" width="43.140625" style="45" customWidth="1"/>
    <col min="4352" max="4352" width="45" style="45" customWidth="1"/>
    <col min="4353" max="4353" width="35.5703125" style="45" customWidth="1"/>
    <col min="4354" max="4354" width="37.140625" style="45" customWidth="1"/>
    <col min="4355" max="4355" width="76.7109375" style="45" customWidth="1"/>
    <col min="4356" max="4356" width="37.7109375" style="45" customWidth="1"/>
    <col min="4357" max="4357" width="37.85546875" style="45" customWidth="1"/>
    <col min="4358" max="4358" width="39.85546875" style="45" customWidth="1"/>
    <col min="4359" max="4359" width="53.140625" style="45" customWidth="1"/>
    <col min="4360" max="4360" width="35.28515625" style="45" customWidth="1"/>
    <col min="4361" max="4361" width="31" style="45" customWidth="1"/>
    <col min="4362" max="4362" width="29.140625" style="45" customWidth="1"/>
    <col min="4363" max="4363" width="30.140625" style="45" customWidth="1"/>
    <col min="4364" max="4364" width="49.140625" style="45" customWidth="1"/>
    <col min="4365" max="4365" width="31.85546875" style="45" customWidth="1"/>
    <col min="4366" max="4366" width="39.140625" style="45" customWidth="1"/>
    <col min="4367" max="4367" width="53" style="45" bestFit="1" customWidth="1"/>
    <col min="4368" max="4368" width="33.42578125" style="45" bestFit="1" customWidth="1"/>
    <col min="4369" max="4369" width="28.140625" style="45" customWidth="1"/>
    <col min="4370" max="4374" width="6.7109375" style="45" customWidth="1"/>
    <col min="4375" max="4375" width="1.7109375" style="45" customWidth="1"/>
    <col min="4376" max="4599" width="9.140625" style="45"/>
    <col min="4600" max="4600" width="16" style="45" customWidth="1"/>
    <col min="4601" max="4601" width="27.7109375" style="45" customWidth="1"/>
    <col min="4602" max="4602" width="65.7109375" style="45" customWidth="1"/>
    <col min="4603" max="4603" width="21.85546875" style="45" bestFit="1" customWidth="1"/>
    <col min="4604" max="4604" width="30.140625" style="45" customWidth="1"/>
    <col min="4605" max="4605" width="62" style="45" customWidth="1"/>
    <col min="4606" max="4606" width="44" style="45" customWidth="1"/>
    <col min="4607" max="4607" width="43.140625" style="45" customWidth="1"/>
    <col min="4608" max="4608" width="45" style="45" customWidth="1"/>
    <col min="4609" max="4609" width="35.5703125" style="45" customWidth="1"/>
    <col min="4610" max="4610" width="37.140625" style="45" customWidth="1"/>
    <col min="4611" max="4611" width="76.7109375" style="45" customWidth="1"/>
    <col min="4612" max="4612" width="37.7109375" style="45" customWidth="1"/>
    <col min="4613" max="4613" width="37.85546875" style="45" customWidth="1"/>
    <col min="4614" max="4614" width="39.85546875" style="45" customWidth="1"/>
    <col min="4615" max="4615" width="53.140625" style="45" customWidth="1"/>
    <col min="4616" max="4616" width="35.28515625" style="45" customWidth="1"/>
    <col min="4617" max="4617" width="31" style="45" customWidth="1"/>
    <col min="4618" max="4618" width="29.140625" style="45" customWidth="1"/>
    <col min="4619" max="4619" width="30.140625" style="45" customWidth="1"/>
    <col min="4620" max="4620" width="49.140625" style="45" customWidth="1"/>
    <col min="4621" max="4621" width="31.85546875" style="45" customWidth="1"/>
    <col min="4622" max="4622" width="39.140625" style="45" customWidth="1"/>
    <col min="4623" max="4623" width="53" style="45" bestFit="1" customWidth="1"/>
    <col min="4624" max="4624" width="33.42578125" style="45" bestFit="1" customWidth="1"/>
    <col min="4625" max="4625" width="28.140625" style="45" customWidth="1"/>
    <col min="4626" max="4630" width="6.7109375" style="45" customWidth="1"/>
    <col min="4631" max="4631" width="1.7109375" style="45" customWidth="1"/>
    <col min="4632" max="4855" width="9.140625" style="45"/>
    <col min="4856" max="4856" width="16" style="45" customWidth="1"/>
    <col min="4857" max="4857" width="27.7109375" style="45" customWidth="1"/>
    <col min="4858" max="4858" width="65.7109375" style="45" customWidth="1"/>
    <col min="4859" max="4859" width="21.85546875" style="45" bestFit="1" customWidth="1"/>
    <col min="4860" max="4860" width="30.140625" style="45" customWidth="1"/>
    <col min="4861" max="4861" width="62" style="45" customWidth="1"/>
    <col min="4862" max="4862" width="44" style="45" customWidth="1"/>
    <col min="4863" max="4863" width="43.140625" style="45" customWidth="1"/>
    <col min="4864" max="4864" width="45" style="45" customWidth="1"/>
    <col min="4865" max="4865" width="35.5703125" style="45" customWidth="1"/>
    <col min="4866" max="4866" width="37.140625" style="45" customWidth="1"/>
    <col min="4867" max="4867" width="76.7109375" style="45" customWidth="1"/>
    <col min="4868" max="4868" width="37.7109375" style="45" customWidth="1"/>
    <col min="4869" max="4869" width="37.85546875" style="45" customWidth="1"/>
    <col min="4870" max="4870" width="39.85546875" style="45" customWidth="1"/>
    <col min="4871" max="4871" width="53.140625" style="45" customWidth="1"/>
    <col min="4872" max="4872" width="35.28515625" style="45" customWidth="1"/>
    <col min="4873" max="4873" width="31" style="45" customWidth="1"/>
    <col min="4874" max="4874" width="29.140625" style="45" customWidth="1"/>
    <col min="4875" max="4875" width="30.140625" style="45" customWidth="1"/>
    <col min="4876" max="4876" width="49.140625" style="45" customWidth="1"/>
    <col min="4877" max="4877" width="31.85546875" style="45" customWidth="1"/>
    <col min="4878" max="4878" width="39.140625" style="45" customWidth="1"/>
    <col min="4879" max="4879" width="53" style="45" bestFit="1" customWidth="1"/>
    <col min="4880" max="4880" width="33.42578125" style="45" bestFit="1" customWidth="1"/>
    <col min="4881" max="4881" width="28.140625" style="45" customWidth="1"/>
    <col min="4882" max="4886" width="6.7109375" style="45" customWidth="1"/>
    <col min="4887" max="4887" width="1.7109375" style="45" customWidth="1"/>
    <col min="4888" max="5111" width="9.140625" style="45"/>
    <col min="5112" max="5112" width="16" style="45" customWidth="1"/>
    <col min="5113" max="5113" width="27.7109375" style="45" customWidth="1"/>
    <col min="5114" max="5114" width="65.7109375" style="45" customWidth="1"/>
    <col min="5115" max="5115" width="21.85546875" style="45" bestFit="1" customWidth="1"/>
    <col min="5116" max="5116" width="30.140625" style="45" customWidth="1"/>
    <col min="5117" max="5117" width="62" style="45" customWidth="1"/>
    <col min="5118" max="5118" width="44" style="45" customWidth="1"/>
    <col min="5119" max="5119" width="43.140625" style="45" customWidth="1"/>
    <col min="5120" max="5120" width="45" style="45" customWidth="1"/>
    <col min="5121" max="5121" width="35.5703125" style="45" customWidth="1"/>
    <col min="5122" max="5122" width="37.140625" style="45" customWidth="1"/>
    <col min="5123" max="5123" width="76.7109375" style="45" customWidth="1"/>
    <col min="5124" max="5124" width="37.7109375" style="45" customWidth="1"/>
    <col min="5125" max="5125" width="37.85546875" style="45" customWidth="1"/>
    <col min="5126" max="5126" width="39.85546875" style="45" customWidth="1"/>
    <col min="5127" max="5127" width="53.140625" style="45" customWidth="1"/>
    <col min="5128" max="5128" width="35.28515625" style="45" customWidth="1"/>
    <col min="5129" max="5129" width="31" style="45" customWidth="1"/>
    <col min="5130" max="5130" width="29.140625" style="45" customWidth="1"/>
    <col min="5131" max="5131" width="30.140625" style="45" customWidth="1"/>
    <col min="5132" max="5132" width="49.140625" style="45" customWidth="1"/>
    <col min="5133" max="5133" width="31.85546875" style="45" customWidth="1"/>
    <col min="5134" max="5134" width="39.140625" style="45" customWidth="1"/>
    <col min="5135" max="5135" width="53" style="45" bestFit="1" customWidth="1"/>
    <col min="5136" max="5136" width="33.42578125" style="45" bestFit="1" customWidth="1"/>
    <col min="5137" max="5137" width="28.140625" style="45" customWidth="1"/>
    <col min="5138" max="5142" width="6.7109375" style="45" customWidth="1"/>
    <col min="5143" max="5143" width="1.7109375" style="45" customWidth="1"/>
    <col min="5144" max="5367" width="9.140625" style="45"/>
    <col min="5368" max="5368" width="16" style="45" customWidth="1"/>
    <col min="5369" max="5369" width="27.7109375" style="45" customWidth="1"/>
    <col min="5370" max="5370" width="65.7109375" style="45" customWidth="1"/>
    <col min="5371" max="5371" width="21.85546875" style="45" bestFit="1" customWidth="1"/>
    <col min="5372" max="5372" width="30.140625" style="45" customWidth="1"/>
    <col min="5373" max="5373" width="62" style="45" customWidth="1"/>
    <col min="5374" max="5374" width="44" style="45" customWidth="1"/>
    <col min="5375" max="5375" width="43.140625" style="45" customWidth="1"/>
    <col min="5376" max="5376" width="45" style="45" customWidth="1"/>
    <col min="5377" max="5377" width="35.5703125" style="45" customWidth="1"/>
    <col min="5378" max="5378" width="37.140625" style="45" customWidth="1"/>
    <col min="5379" max="5379" width="76.7109375" style="45" customWidth="1"/>
    <col min="5380" max="5380" width="37.7109375" style="45" customWidth="1"/>
    <col min="5381" max="5381" width="37.85546875" style="45" customWidth="1"/>
    <col min="5382" max="5382" width="39.85546875" style="45" customWidth="1"/>
    <col min="5383" max="5383" width="53.140625" style="45" customWidth="1"/>
    <col min="5384" max="5384" width="35.28515625" style="45" customWidth="1"/>
    <col min="5385" max="5385" width="31" style="45" customWidth="1"/>
    <col min="5386" max="5386" width="29.140625" style="45" customWidth="1"/>
    <col min="5387" max="5387" width="30.140625" style="45" customWidth="1"/>
    <col min="5388" max="5388" width="49.140625" style="45" customWidth="1"/>
    <col min="5389" max="5389" width="31.85546875" style="45" customWidth="1"/>
    <col min="5390" max="5390" width="39.140625" style="45" customWidth="1"/>
    <col min="5391" max="5391" width="53" style="45" bestFit="1" customWidth="1"/>
    <col min="5392" max="5392" width="33.42578125" style="45" bestFit="1" customWidth="1"/>
    <col min="5393" max="5393" width="28.140625" style="45" customWidth="1"/>
    <col min="5394" max="5398" width="6.7109375" style="45" customWidth="1"/>
    <col min="5399" max="5399" width="1.7109375" style="45" customWidth="1"/>
    <col min="5400" max="5623" width="9.140625" style="45"/>
    <col min="5624" max="5624" width="16" style="45" customWidth="1"/>
    <col min="5625" max="5625" width="27.7109375" style="45" customWidth="1"/>
    <col min="5626" max="5626" width="65.7109375" style="45" customWidth="1"/>
    <col min="5627" max="5627" width="21.85546875" style="45" bestFit="1" customWidth="1"/>
    <col min="5628" max="5628" width="30.140625" style="45" customWidth="1"/>
    <col min="5629" max="5629" width="62" style="45" customWidth="1"/>
    <col min="5630" max="5630" width="44" style="45" customWidth="1"/>
    <col min="5631" max="5631" width="43.140625" style="45" customWidth="1"/>
    <col min="5632" max="5632" width="45" style="45" customWidth="1"/>
    <col min="5633" max="5633" width="35.5703125" style="45" customWidth="1"/>
    <col min="5634" max="5634" width="37.140625" style="45" customWidth="1"/>
    <col min="5635" max="5635" width="76.7109375" style="45" customWidth="1"/>
    <col min="5636" max="5636" width="37.7109375" style="45" customWidth="1"/>
    <col min="5637" max="5637" width="37.85546875" style="45" customWidth="1"/>
    <col min="5638" max="5638" width="39.85546875" style="45" customWidth="1"/>
    <col min="5639" max="5639" width="53.140625" style="45" customWidth="1"/>
    <col min="5640" max="5640" width="35.28515625" style="45" customWidth="1"/>
    <col min="5641" max="5641" width="31" style="45" customWidth="1"/>
    <col min="5642" max="5642" width="29.140625" style="45" customWidth="1"/>
    <col min="5643" max="5643" width="30.140625" style="45" customWidth="1"/>
    <col min="5644" max="5644" width="49.140625" style="45" customWidth="1"/>
    <col min="5645" max="5645" width="31.85546875" style="45" customWidth="1"/>
    <col min="5646" max="5646" width="39.140625" style="45" customWidth="1"/>
    <col min="5647" max="5647" width="53" style="45" bestFit="1" customWidth="1"/>
    <col min="5648" max="5648" width="33.42578125" style="45" bestFit="1" customWidth="1"/>
    <col min="5649" max="5649" width="28.140625" style="45" customWidth="1"/>
    <col min="5650" max="5654" width="6.7109375" style="45" customWidth="1"/>
    <col min="5655" max="5655" width="1.7109375" style="45" customWidth="1"/>
    <col min="5656" max="5879" width="9.140625" style="45"/>
    <col min="5880" max="5880" width="16" style="45" customWidth="1"/>
    <col min="5881" max="5881" width="27.7109375" style="45" customWidth="1"/>
    <col min="5882" max="5882" width="65.7109375" style="45" customWidth="1"/>
    <col min="5883" max="5883" width="21.85546875" style="45" bestFit="1" customWidth="1"/>
    <col min="5884" max="5884" width="30.140625" style="45" customWidth="1"/>
    <col min="5885" max="5885" width="62" style="45" customWidth="1"/>
    <col min="5886" max="5886" width="44" style="45" customWidth="1"/>
    <col min="5887" max="5887" width="43.140625" style="45" customWidth="1"/>
    <col min="5888" max="5888" width="45" style="45" customWidth="1"/>
    <col min="5889" max="5889" width="35.5703125" style="45" customWidth="1"/>
    <col min="5890" max="5890" width="37.140625" style="45" customWidth="1"/>
    <col min="5891" max="5891" width="76.7109375" style="45" customWidth="1"/>
    <col min="5892" max="5892" width="37.7109375" style="45" customWidth="1"/>
    <col min="5893" max="5893" width="37.85546875" style="45" customWidth="1"/>
    <col min="5894" max="5894" width="39.85546875" style="45" customWidth="1"/>
    <col min="5895" max="5895" width="53.140625" style="45" customWidth="1"/>
    <col min="5896" max="5896" width="35.28515625" style="45" customWidth="1"/>
    <col min="5897" max="5897" width="31" style="45" customWidth="1"/>
    <col min="5898" max="5898" width="29.140625" style="45" customWidth="1"/>
    <col min="5899" max="5899" width="30.140625" style="45" customWidth="1"/>
    <col min="5900" max="5900" width="49.140625" style="45" customWidth="1"/>
    <col min="5901" max="5901" width="31.85546875" style="45" customWidth="1"/>
    <col min="5902" max="5902" width="39.140625" style="45" customWidth="1"/>
    <col min="5903" max="5903" width="53" style="45" bestFit="1" customWidth="1"/>
    <col min="5904" max="5904" width="33.42578125" style="45" bestFit="1" customWidth="1"/>
    <col min="5905" max="5905" width="28.140625" style="45" customWidth="1"/>
    <col min="5906" max="5910" width="6.7109375" style="45" customWidth="1"/>
    <col min="5911" max="5911" width="1.7109375" style="45" customWidth="1"/>
    <col min="5912" max="6135" width="9.140625" style="45"/>
    <col min="6136" max="6136" width="16" style="45" customWidth="1"/>
    <col min="6137" max="6137" width="27.7109375" style="45" customWidth="1"/>
    <col min="6138" max="6138" width="65.7109375" style="45" customWidth="1"/>
    <col min="6139" max="6139" width="21.85546875" style="45" bestFit="1" customWidth="1"/>
    <col min="6140" max="6140" width="30.140625" style="45" customWidth="1"/>
    <col min="6141" max="6141" width="62" style="45" customWidth="1"/>
    <col min="6142" max="6142" width="44" style="45" customWidth="1"/>
    <col min="6143" max="6143" width="43.140625" style="45" customWidth="1"/>
    <col min="6144" max="6144" width="45" style="45" customWidth="1"/>
    <col min="6145" max="6145" width="35.5703125" style="45" customWidth="1"/>
    <col min="6146" max="6146" width="37.140625" style="45" customWidth="1"/>
    <col min="6147" max="6147" width="76.7109375" style="45" customWidth="1"/>
    <col min="6148" max="6148" width="37.7109375" style="45" customWidth="1"/>
    <col min="6149" max="6149" width="37.85546875" style="45" customWidth="1"/>
    <col min="6150" max="6150" width="39.85546875" style="45" customWidth="1"/>
    <col min="6151" max="6151" width="53.140625" style="45" customWidth="1"/>
    <col min="6152" max="6152" width="35.28515625" style="45" customWidth="1"/>
    <col min="6153" max="6153" width="31" style="45" customWidth="1"/>
    <col min="6154" max="6154" width="29.140625" style="45" customWidth="1"/>
    <col min="6155" max="6155" width="30.140625" style="45" customWidth="1"/>
    <col min="6156" max="6156" width="49.140625" style="45" customWidth="1"/>
    <col min="6157" max="6157" width="31.85546875" style="45" customWidth="1"/>
    <col min="6158" max="6158" width="39.140625" style="45" customWidth="1"/>
    <col min="6159" max="6159" width="53" style="45" bestFit="1" customWidth="1"/>
    <col min="6160" max="6160" width="33.42578125" style="45" bestFit="1" customWidth="1"/>
    <col min="6161" max="6161" width="28.140625" style="45" customWidth="1"/>
    <col min="6162" max="6166" width="6.7109375" style="45" customWidth="1"/>
    <col min="6167" max="6167" width="1.7109375" style="45" customWidth="1"/>
    <col min="6168" max="6391" width="9.140625" style="45"/>
    <col min="6392" max="6392" width="16" style="45" customWidth="1"/>
    <col min="6393" max="6393" width="27.7109375" style="45" customWidth="1"/>
    <col min="6394" max="6394" width="65.7109375" style="45" customWidth="1"/>
    <col min="6395" max="6395" width="21.85546875" style="45" bestFit="1" customWidth="1"/>
    <col min="6396" max="6396" width="30.140625" style="45" customWidth="1"/>
    <col min="6397" max="6397" width="62" style="45" customWidth="1"/>
    <col min="6398" max="6398" width="44" style="45" customWidth="1"/>
    <col min="6399" max="6399" width="43.140625" style="45" customWidth="1"/>
    <col min="6400" max="6400" width="45" style="45" customWidth="1"/>
    <col min="6401" max="6401" width="35.5703125" style="45" customWidth="1"/>
    <col min="6402" max="6402" width="37.140625" style="45" customWidth="1"/>
    <col min="6403" max="6403" width="76.7109375" style="45" customWidth="1"/>
    <col min="6404" max="6404" width="37.7109375" style="45" customWidth="1"/>
    <col min="6405" max="6405" width="37.85546875" style="45" customWidth="1"/>
    <col min="6406" max="6406" width="39.85546875" style="45" customWidth="1"/>
    <col min="6407" max="6407" width="53.140625" style="45" customWidth="1"/>
    <col min="6408" max="6408" width="35.28515625" style="45" customWidth="1"/>
    <col min="6409" max="6409" width="31" style="45" customWidth="1"/>
    <col min="6410" max="6410" width="29.140625" style="45" customWidth="1"/>
    <col min="6411" max="6411" width="30.140625" style="45" customWidth="1"/>
    <col min="6412" max="6412" width="49.140625" style="45" customWidth="1"/>
    <col min="6413" max="6413" width="31.85546875" style="45" customWidth="1"/>
    <col min="6414" max="6414" width="39.140625" style="45" customWidth="1"/>
    <col min="6415" max="6415" width="53" style="45" bestFit="1" customWidth="1"/>
    <col min="6416" max="6416" width="33.42578125" style="45" bestFit="1" customWidth="1"/>
    <col min="6417" max="6417" width="28.140625" style="45" customWidth="1"/>
    <col min="6418" max="6422" width="6.7109375" style="45" customWidth="1"/>
    <col min="6423" max="6423" width="1.7109375" style="45" customWidth="1"/>
    <col min="6424" max="6647" width="9.140625" style="45"/>
    <col min="6648" max="6648" width="16" style="45" customWidth="1"/>
    <col min="6649" max="6649" width="27.7109375" style="45" customWidth="1"/>
    <col min="6650" max="6650" width="65.7109375" style="45" customWidth="1"/>
    <col min="6651" max="6651" width="21.85546875" style="45" bestFit="1" customWidth="1"/>
    <col min="6652" max="6652" width="30.140625" style="45" customWidth="1"/>
    <col min="6653" max="6653" width="62" style="45" customWidth="1"/>
    <col min="6654" max="6654" width="44" style="45" customWidth="1"/>
    <col min="6655" max="6655" width="43.140625" style="45" customWidth="1"/>
    <col min="6656" max="6656" width="45" style="45" customWidth="1"/>
    <col min="6657" max="6657" width="35.5703125" style="45" customWidth="1"/>
    <col min="6658" max="6658" width="37.140625" style="45" customWidth="1"/>
    <col min="6659" max="6659" width="76.7109375" style="45" customWidth="1"/>
    <col min="6660" max="6660" width="37.7109375" style="45" customWidth="1"/>
    <col min="6661" max="6661" width="37.85546875" style="45" customWidth="1"/>
    <col min="6662" max="6662" width="39.85546875" style="45" customWidth="1"/>
    <col min="6663" max="6663" width="53.140625" style="45" customWidth="1"/>
    <col min="6664" max="6664" width="35.28515625" style="45" customWidth="1"/>
    <col min="6665" max="6665" width="31" style="45" customWidth="1"/>
    <col min="6666" max="6666" width="29.140625" style="45" customWidth="1"/>
    <col min="6667" max="6667" width="30.140625" style="45" customWidth="1"/>
    <col min="6668" max="6668" width="49.140625" style="45" customWidth="1"/>
    <col min="6669" max="6669" width="31.85546875" style="45" customWidth="1"/>
    <col min="6670" max="6670" width="39.140625" style="45" customWidth="1"/>
    <col min="6671" max="6671" width="53" style="45" bestFit="1" customWidth="1"/>
    <col min="6672" max="6672" width="33.42578125" style="45" bestFit="1" customWidth="1"/>
    <col min="6673" max="6673" width="28.140625" style="45" customWidth="1"/>
    <col min="6674" max="6678" width="6.7109375" style="45" customWidth="1"/>
    <col min="6679" max="6679" width="1.7109375" style="45" customWidth="1"/>
    <col min="6680" max="6903" width="9.140625" style="45"/>
    <col min="6904" max="6904" width="16" style="45" customWidth="1"/>
    <col min="6905" max="6905" width="27.7109375" style="45" customWidth="1"/>
    <col min="6906" max="6906" width="65.7109375" style="45" customWidth="1"/>
    <col min="6907" max="6907" width="21.85546875" style="45" bestFit="1" customWidth="1"/>
    <col min="6908" max="6908" width="30.140625" style="45" customWidth="1"/>
    <col min="6909" max="6909" width="62" style="45" customWidth="1"/>
    <col min="6910" max="6910" width="44" style="45" customWidth="1"/>
    <col min="6911" max="6911" width="43.140625" style="45" customWidth="1"/>
    <col min="6912" max="6912" width="45" style="45" customWidth="1"/>
    <col min="6913" max="6913" width="35.5703125" style="45" customWidth="1"/>
    <col min="6914" max="6914" width="37.140625" style="45" customWidth="1"/>
    <col min="6915" max="6915" width="76.7109375" style="45" customWidth="1"/>
    <col min="6916" max="6916" width="37.7109375" style="45" customWidth="1"/>
    <col min="6917" max="6917" width="37.85546875" style="45" customWidth="1"/>
    <col min="6918" max="6918" width="39.85546875" style="45" customWidth="1"/>
    <col min="6919" max="6919" width="53.140625" style="45" customWidth="1"/>
    <col min="6920" max="6920" width="35.28515625" style="45" customWidth="1"/>
    <col min="6921" max="6921" width="31" style="45" customWidth="1"/>
    <col min="6922" max="6922" width="29.140625" style="45" customWidth="1"/>
    <col min="6923" max="6923" width="30.140625" style="45" customWidth="1"/>
    <col min="6924" max="6924" width="49.140625" style="45" customWidth="1"/>
    <col min="6925" max="6925" width="31.85546875" style="45" customWidth="1"/>
    <col min="6926" max="6926" width="39.140625" style="45" customWidth="1"/>
    <col min="6927" max="6927" width="53" style="45" bestFit="1" customWidth="1"/>
    <col min="6928" max="6928" width="33.42578125" style="45" bestFit="1" customWidth="1"/>
    <col min="6929" max="6929" width="28.140625" style="45" customWidth="1"/>
    <col min="6930" max="6934" width="6.7109375" style="45" customWidth="1"/>
    <col min="6935" max="6935" width="1.7109375" style="45" customWidth="1"/>
    <col min="6936" max="7159" width="9.140625" style="45"/>
    <col min="7160" max="7160" width="16" style="45" customWidth="1"/>
    <col min="7161" max="7161" width="27.7109375" style="45" customWidth="1"/>
    <col min="7162" max="7162" width="65.7109375" style="45" customWidth="1"/>
    <col min="7163" max="7163" width="21.85546875" style="45" bestFit="1" customWidth="1"/>
    <col min="7164" max="7164" width="30.140625" style="45" customWidth="1"/>
    <col min="7165" max="7165" width="62" style="45" customWidth="1"/>
    <col min="7166" max="7166" width="44" style="45" customWidth="1"/>
    <col min="7167" max="7167" width="43.140625" style="45" customWidth="1"/>
    <col min="7168" max="7168" width="45" style="45" customWidth="1"/>
    <col min="7169" max="7169" width="35.5703125" style="45" customWidth="1"/>
    <col min="7170" max="7170" width="37.140625" style="45" customWidth="1"/>
    <col min="7171" max="7171" width="76.7109375" style="45" customWidth="1"/>
    <col min="7172" max="7172" width="37.7109375" style="45" customWidth="1"/>
    <col min="7173" max="7173" width="37.85546875" style="45" customWidth="1"/>
    <col min="7174" max="7174" width="39.85546875" style="45" customWidth="1"/>
    <col min="7175" max="7175" width="53.140625" style="45" customWidth="1"/>
    <col min="7176" max="7176" width="35.28515625" style="45" customWidth="1"/>
    <col min="7177" max="7177" width="31" style="45" customWidth="1"/>
    <col min="7178" max="7178" width="29.140625" style="45" customWidth="1"/>
    <col min="7179" max="7179" width="30.140625" style="45" customWidth="1"/>
    <col min="7180" max="7180" width="49.140625" style="45" customWidth="1"/>
    <col min="7181" max="7181" width="31.85546875" style="45" customWidth="1"/>
    <col min="7182" max="7182" width="39.140625" style="45" customWidth="1"/>
    <col min="7183" max="7183" width="53" style="45" bestFit="1" customWidth="1"/>
    <col min="7184" max="7184" width="33.42578125" style="45" bestFit="1" customWidth="1"/>
    <col min="7185" max="7185" width="28.140625" style="45" customWidth="1"/>
    <col min="7186" max="7190" width="6.7109375" style="45" customWidth="1"/>
    <col min="7191" max="7191" width="1.7109375" style="45" customWidth="1"/>
    <col min="7192" max="7415" width="9.140625" style="45"/>
    <col min="7416" max="7416" width="16" style="45" customWidth="1"/>
    <col min="7417" max="7417" width="27.7109375" style="45" customWidth="1"/>
    <col min="7418" max="7418" width="65.7109375" style="45" customWidth="1"/>
    <col min="7419" max="7419" width="21.85546875" style="45" bestFit="1" customWidth="1"/>
    <col min="7420" max="7420" width="30.140625" style="45" customWidth="1"/>
    <col min="7421" max="7421" width="62" style="45" customWidth="1"/>
    <col min="7422" max="7422" width="44" style="45" customWidth="1"/>
    <col min="7423" max="7423" width="43.140625" style="45" customWidth="1"/>
    <col min="7424" max="7424" width="45" style="45" customWidth="1"/>
    <col min="7425" max="7425" width="35.5703125" style="45" customWidth="1"/>
    <col min="7426" max="7426" width="37.140625" style="45" customWidth="1"/>
    <col min="7427" max="7427" width="76.7109375" style="45" customWidth="1"/>
    <col min="7428" max="7428" width="37.7109375" style="45" customWidth="1"/>
    <col min="7429" max="7429" width="37.85546875" style="45" customWidth="1"/>
    <col min="7430" max="7430" width="39.85546875" style="45" customWidth="1"/>
    <col min="7431" max="7431" width="53.140625" style="45" customWidth="1"/>
    <col min="7432" max="7432" width="35.28515625" style="45" customWidth="1"/>
    <col min="7433" max="7433" width="31" style="45" customWidth="1"/>
    <col min="7434" max="7434" width="29.140625" style="45" customWidth="1"/>
    <col min="7435" max="7435" width="30.140625" style="45" customWidth="1"/>
    <col min="7436" max="7436" width="49.140625" style="45" customWidth="1"/>
    <col min="7437" max="7437" width="31.85546875" style="45" customWidth="1"/>
    <col min="7438" max="7438" width="39.140625" style="45" customWidth="1"/>
    <col min="7439" max="7439" width="53" style="45" bestFit="1" customWidth="1"/>
    <col min="7440" max="7440" width="33.42578125" style="45" bestFit="1" customWidth="1"/>
    <col min="7441" max="7441" width="28.140625" style="45" customWidth="1"/>
    <col min="7442" max="7446" width="6.7109375" style="45" customWidth="1"/>
    <col min="7447" max="7447" width="1.7109375" style="45" customWidth="1"/>
    <col min="7448" max="7671" width="9.140625" style="45"/>
    <col min="7672" max="7672" width="16" style="45" customWidth="1"/>
    <col min="7673" max="7673" width="27.7109375" style="45" customWidth="1"/>
    <col min="7674" max="7674" width="65.7109375" style="45" customWidth="1"/>
    <col min="7675" max="7675" width="21.85546875" style="45" bestFit="1" customWidth="1"/>
    <col min="7676" max="7676" width="30.140625" style="45" customWidth="1"/>
    <col min="7677" max="7677" width="62" style="45" customWidth="1"/>
    <col min="7678" max="7678" width="44" style="45" customWidth="1"/>
    <col min="7679" max="7679" width="43.140625" style="45" customWidth="1"/>
    <col min="7680" max="7680" width="45" style="45" customWidth="1"/>
    <col min="7681" max="7681" width="35.5703125" style="45" customWidth="1"/>
    <col min="7682" max="7682" width="37.140625" style="45" customWidth="1"/>
    <col min="7683" max="7683" width="76.7109375" style="45" customWidth="1"/>
    <col min="7684" max="7684" width="37.7109375" style="45" customWidth="1"/>
    <col min="7685" max="7685" width="37.85546875" style="45" customWidth="1"/>
    <col min="7686" max="7686" width="39.85546875" style="45" customWidth="1"/>
    <col min="7687" max="7687" width="53.140625" style="45" customWidth="1"/>
    <col min="7688" max="7688" width="35.28515625" style="45" customWidth="1"/>
    <col min="7689" max="7689" width="31" style="45" customWidth="1"/>
    <col min="7690" max="7690" width="29.140625" style="45" customWidth="1"/>
    <col min="7691" max="7691" width="30.140625" style="45" customWidth="1"/>
    <col min="7692" max="7692" width="49.140625" style="45" customWidth="1"/>
    <col min="7693" max="7693" width="31.85546875" style="45" customWidth="1"/>
    <col min="7694" max="7694" width="39.140625" style="45" customWidth="1"/>
    <col min="7695" max="7695" width="53" style="45" bestFit="1" customWidth="1"/>
    <col min="7696" max="7696" width="33.42578125" style="45" bestFit="1" customWidth="1"/>
    <col min="7697" max="7697" width="28.140625" style="45" customWidth="1"/>
    <col min="7698" max="7702" width="6.7109375" style="45" customWidth="1"/>
    <col min="7703" max="7703" width="1.7109375" style="45" customWidth="1"/>
    <col min="7704" max="7927" width="9.140625" style="45"/>
    <col min="7928" max="7928" width="16" style="45" customWidth="1"/>
    <col min="7929" max="7929" width="27.7109375" style="45" customWidth="1"/>
    <col min="7930" max="7930" width="65.7109375" style="45" customWidth="1"/>
    <col min="7931" max="7931" width="21.85546875" style="45" bestFit="1" customWidth="1"/>
    <col min="7932" max="7932" width="30.140625" style="45" customWidth="1"/>
    <col min="7933" max="7933" width="62" style="45" customWidth="1"/>
    <col min="7934" max="7934" width="44" style="45" customWidth="1"/>
    <col min="7935" max="7935" width="43.140625" style="45" customWidth="1"/>
    <col min="7936" max="7936" width="45" style="45" customWidth="1"/>
    <col min="7937" max="7937" width="35.5703125" style="45" customWidth="1"/>
    <col min="7938" max="7938" width="37.140625" style="45" customWidth="1"/>
    <col min="7939" max="7939" width="76.7109375" style="45" customWidth="1"/>
    <col min="7940" max="7940" width="37.7109375" style="45" customWidth="1"/>
    <col min="7941" max="7941" width="37.85546875" style="45" customWidth="1"/>
    <col min="7942" max="7942" width="39.85546875" style="45" customWidth="1"/>
    <col min="7943" max="7943" width="53.140625" style="45" customWidth="1"/>
    <col min="7944" max="7944" width="35.28515625" style="45" customWidth="1"/>
    <col min="7945" max="7945" width="31" style="45" customWidth="1"/>
    <col min="7946" max="7946" width="29.140625" style="45" customWidth="1"/>
    <col min="7947" max="7947" width="30.140625" style="45" customWidth="1"/>
    <col min="7948" max="7948" width="49.140625" style="45" customWidth="1"/>
    <col min="7949" max="7949" width="31.85546875" style="45" customWidth="1"/>
    <col min="7950" max="7950" width="39.140625" style="45" customWidth="1"/>
    <col min="7951" max="7951" width="53" style="45" bestFit="1" customWidth="1"/>
    <col min="7952" max="7952" width="33.42578125" style="45" bestFit="1" customWidth="1"/>
    <col min="7953" max="7953" width="28.140625" style="45" customWidth="1"/>
    <col min="7954" max="7958" width="6.7109375" style="45" customWidth="1"/>
    <col min="7959" max="7959" width="1.7109375" style="45" customWidth="1"/>
    <col min="7960" max="8183" width="9.140625" style="45"/>
    <col min="8184" max="8184" width="16" style="45" customWidth="1"/>
    <col min="8185" max="8185" width="27.7109375" style="45" customWidth="1"/>
    <col min="8186" max="8186" width="65.7109375" style="45" customWidth="1"/>
    <col min="8187" max="8187" width="21.85546875" style="45" bestFit="1" customWidth="1"/>
    <col min="8188" max="8188" width="30.140625" style="45" customWidth="1"/>
    <col min="8189" max="8189" width="62" style="45" customWidth="1"/>
    <col min="8190" max="8190" width="44" style="45" customWidth="1"/>
    <col min="8191" max="8191" width="43.140625" style="45" customWidth="1"/>
    <col min="8192" max="8192" width="45" style="45" customWidth="1"/>
    <col min="8193" max="8193" width="35.5703125" style="45" customWidth="1"/>
    <col min="8194" max="8194" width="37.140625" style="45" customWidth="1"/>
    <col min="8195" max="8195" width="76.7109375" style="45" customWidth="1"/>
    <col min="8196" max="8196" width="37.7109375" style="45" customWidth="1"/>
    <col min="8197" max="8197" width="37.85546875" style="45" customWidth="1"/>
    <col min="8198" max="8198" width="39.85546875" style="45" customWidth="1"/>
    <col min="8199" max="8199" width="53.140625" style="45" customWidth="1"/>
    <col min="8200" max="8200" width="35.28515625" style="45" customWidth="1"/>
    <col min="8201" max="8201" width="31" style="45" customWidth="1"/>
    <col min="8202" max="8202" width="29.140625" style="45" customWidth="1"/>
    <col min="8203" max="8203" width="30.140625" style="45" customWidth="1"/>
    <col min="8204" max="8204" width="49.140625" style="45" customWidth="1"/>
    <col min="8205" max="8205" width="31.85546875" style="45" customWidth="1"/>
    <col min="8206" max="8206" width="39.140625" style="45" customWidth="1"/>
    <col min="8207" max="8207" width="53" style="45" bestFit="1" customWidth="1"/>
    <col min="8208" max="8208" width="33.42578125" style="45" bestFit="1" customWidth="1"/>
    <col min="8209" max="8209" width="28.140625" style="45" customWidth="1"/>
    <col min="8210" max="8214" width="6.7109375" style="45" customWidth="1"/>
    <col min="8215" max="8215" width="1.7109375" style="45" customWidth="1"/>
    <col min="8216" max="8439" width="9.140625" style="45"/>
    <col min="8440" max="8440" width="16" style="45" customWidth="1"/>
    <col min="8441" max="8441" width="27.7109375" style="45" customWidth="1"/>
    <col min="8442" max="8442" width="65.7109375" style="45" customWidth="1"/>
    <col min="8443" max="8443" width="21.85546875" style="45" bestFit="1" customWidth="1"/>
    <col min="8444" max="8444" width="30.140625" style="45" customWidth="1"/>
    <col min="8445" max="8445" width="62" style="45" customWidth="1"/>
    <col min="8446" max="8446" width="44" style="45" customWidth="1"/>
    <col min="8447" max="8447" width="43.140625" style="45" customWidth="1"/>
    <col min="8448" max="8448" width="45" style="45" customWidth="1"/>
    <col min="8449" max="8449" width="35.5703125" style="45" customWidth="1"/>
    <col min="8450" max="8450" width="37.140625" style="45" customWidth="1"/>
    <col min="8451" max="8451" width="76.7109375" style="45" customWidth="1"/>
    <col min="8452" max="8452" width="37.7109375" style="45" customWidth="1"/>
    <col min="8453" max="8453" width="37.85546875" style="45" customWidth="1"/>
    <col min="8454" max="8454" width="39.85546875" style="45" customWidth="1"/>
    <col min="8455" max="8455" width="53.140625" style="45" customWidth="1"/>
    <col min="8456" max="8456" width="35.28515625" style="45" customWidth="1"/>
    <col min="8457" max="8457" width="31" style="45" customWidth="1"/>
    <col min="8458" max="8458" width="29.140625" style="45" customWidth="1"/>
    <col min="8459" max="8459" width="30.140625" style="45" customWidth="1"/>
    <col min="8460" max="8460" width="49.140625" style="45" customWidth="1"/>
    <col min="8461" max="8461" width="31.85546875" style="45" customWidth="1"/>
    <col min="8462" max="8462" width="39.140625" style="45" customWidth="1"/>
    <col min="8463" max="8463" width="53" style="45" bestFit="1" customWidth="1"/>
    <col min="8464" max="8464" width="33.42578125" style="45" bestFit="1" customWidth="1"/>
    <col min="8465" max="8465" width="28.140625" style="45" customWidth="1"/>
    <col min="8466" max="8470" width="6.7109375" style="45" customWidth="1"/>
    <col min="8471" max="8471" width="1.7109375" style="45" customWidth="1"/>
    <col min="8472" max="8695" width="9.140625" style="45"/>
    <col min="8696" max="8696" width="16" style="45" customWidth="1"/>
    <col min="8697" max="8697" width="27.7109375" style="45" customWidth="1"/>
    <col min="8698" max="8698" width="65.7109375" style="45" customWidth="1"/>
    <col min="8699" max="8699" width="21.85546875" style="45" bestFit="1" customWidth="1"/>
    <col min="8700" max="8700" width="30.140625" style="45" customWidth="1"/>
    <col min="8701" max="8701" width="62" style="45" customWidth="1"/>
    <col min="8702" max="8702" width="44" style="45" customWidth="1"/>
    <col min="8703" max="8703" width="43.140625" style="45" customWidth="1"/>
    <col min="8704" max="8704" width="45" style="45" customWidth="1"/>
    <col min="8705" max="8705" width="35.5703125" style="45" customWidth="1"/>
    <col min="8706" max="8706" width="37.140625" style="45" customWidth="1"/>
    <col min="8707" max="8707" width="76.7109375" style="45" customWidth="1"/>
    <col min="8708" max="8708" width="37.7109375" style="45" customWidth="1"/>
    <col min="8709" max="8709" width="37.85546875" style="45" customWidth="1"/>
    <col min="8710" max="8710" width="39.85546875" style="45" customWidth="1"/>
    <col min="8711" max="8711" width="53.140625" style="45" customWidth="1"/>
    <col min="8712" max="8712" width="35.28515625" style="45" customWidth="1"/>
    <col min="8713" max="8713" width="31" style="45" customWidth="1"/>
    <col min="8714" max="8714" width="29.140625" style="45" customWidth="1"/>
    <col min="8715" max="8715" width="30.140625" style="45" customWidth="1"/>
    <col min="8716" max="8716" width="49.140625" style="45" customWidth="1"/>
    <col min="8717" max="8717" width="31.85546875" style="45" customWidth="1"/>
    <col min="8718" max="8718" width="39.140625" style="45" customWidth="1"/>
    <col min="8719" max="8719" width="53" style="45" bestFit="1" customWidth="1"/>
    <col min="8720" max="8720" width="33.42578125" style="45" bestFit="1" customWidth="1"/>
    <col min="8721" max="8721" width="28.140625" style="45" customWidth="1"/>
    <col min="8722" max="8726" width="6.7109375" style="45" customWidth="1"/>
    <col min="8727" max="8727" width="1.7109375" style="45" customWidth="1"/>
    <col min="8728" max="8951" width="9.140625" style="45"/>
    <col min="8952" max="8952" width="16" style="45" customWidth="1"/>
    <col min="8953" max="8953" width="27.7109375" style="45" customWidth="1"/>
    <col min="8954" max="8954" width="65.7109375" style="45" customWidth="1"/>
    <col min="8955" max="8955" width="21.85546875" style="45" bestFit="1" customWidth="1"/>
    <col min="8956" max="8956" width="30.140625" style="45" customWidth="1"/>
    <col min="8957" max="8957" width="62" style="45" customWidth="1"/>
    <col min="8958" max="8958" width="44" style="45" customWidth="1"/>
    <col min="8959" max="8959" width="43.140625" style="45" customWidth="1"/>
    <col min="8960" max="8960" width="45" style="45" customWidth="1"/>
    <col min="8961" max="8961" width="35.5703125" style="45" customWidth="1"/>
    <col min="8962" max="8962" width="37.140625" style="45" customWidth="1"/>
    <col min="8963" max="8963" width="76.7109375" style="45" customWidth="1"/>
    <col min="8964" max="8964" width="37.7109375" style="45" customWidth="1"/>
    <col min="8965" max="8965" width="37.85546875" style="45" customWidth="1"/>
    <col min="8966" max="8966" width="39.85546875" style="45" customWidth="1"/>
    <col min="8967" max="8967" width="53.140625" style="45" customWidth="1"/>
    <col min="8968" max="8968" width="35.28515625" style="45" customWidth="1"/>
    <col min="8969" max="8969" width="31" style="45" customWidth="1"/>
    <col min="8970" max="8970" width="29.140625" style="45" customWidth="1"/>
    <col min="8971" max="8971" width="30.140625" style="45" customWidth="1"/>
    <col min="8972" max="8972" width="49.140625" style="45" customWidth="1"/>
    <col min="8973" max="8973" width="31.85546875" style="45" customWidth="1"/>
    <col min="8974" max="8974" width="39.140625" style="45" customWidth="1"/>
    <col min="8975" max="8975" width="53" style="45" bestFit="1" customWidth="1"/>
    <col min="8976" max="8976" width="33.42578125" style="45" bestFit="1" customWidth="1"/>
    <col min="8977" max="8977" width="28.140625" style="45" customWidth="1"/>
    <col min="8978" max="8982" width="6.7109375" style="45" customWidth="1"/>
    <col min="8983" max="8983" width="1.7109375" style="45" customWidth="1"/>
    <col min="8984" max="9207" width="9.140625" style="45"/>
    <col min="9208" max="9208" width="16" style="45" customWidth="1"/>
    <col min="9209" max="9209" width="27.7109375" style="45" customWidth="1"/>
    <col min="9210" max="9210" width="65.7109375" style="45" customWidth="1"/>
    <col min="9211" max="9211" width="21.85546875" style="45" bestFit="1" customWidth="1"/>
    <col min="9212" max="9212" width="30.140625" style="45" customWidth="1"/>
    <col min="9213" max="9213" width="62" style="45" customWidth="1"/>
    <col min="9214" max="9214" width="44" style="45" customWidth="1"/>
    <col min="9215" max="9215" width="43.140625" style="45" customWidth="1"/>
    <col min="9216" max="9216" width="45" style="45" customWidth="1"/>
    <col min="9217" max="9217" width="35.5703125" style="45" customWidth="1"/>
    <col min="9218" max="9218" width="37.140625" style="45" customWidth="1"/>
    <col min="9219" max="9219" width="76.7109375" style="45" customWidth="1"/>
    <col min="9220" max="9220" width="37.7109375" style="45" customWidth="1"/>
    <col min="9221" max="9221" width="37.85546875" style="45" customWidth="1"/>
    <col min="9222" max="9222" width="39.85546875" style="45" customWidth="1"/>
    <col min="9223" max="9223" width="53.140625" style="45" customWidth="1"/>
    <col min="9224" max="9224" width="35.28515625" style="45" customWidth="1"/>
    <col min="9225" max="9225" width="31" style="45" customWidth="1"/>
    <col min="9226" max="9226" width="29.140625" style="45" customWidth="1"/>
    <col min="9227" max="9227" width="30.140625" style="45" customWidth="1"/>
    <col min="9228" max="9228" width="49.140625" style="45" customWidth="1"/>
    <col min="9229" max="9229" width="31.85546875" style="45" customWidth="1"/>
    <col min="9230" max="9230" width="39.140625" style="45" customWidth="1"/>
    <col min="9231" max="9231" width="53" style="45" bestFit="1" customWidth="1"/>
    <col min="9232" max="9232" width="33.42578125" style="45" bestFit="1" customWidth="1"/>
    <col min="9233" max="9233" width="28.140625" style="45" customWidth="1"/>
    <col min="9234" max="9238" width="6.7109375" style="45" customWidth="1"/>
    <col min="9239" max="9239" width="1.7109375" style="45" customWidth="1"/>
    <col min="9240" max="9463" width="9.140625" style="45"/>
    <col min="9464" max="9464" width="16" style="45" customWidth="1"/>
    <col min="9465" max="9465" width="27.7109375" style="45" customWidth="1"/>
    <col min="9466" max="9466" width="65.7109375" style="45" customWidth="1"/>
    <col min="9467" max="9467" width="21.85546875" style="45" bestFit="1" customWidth="1"/>
    <col min="9468" max="9468" width="30.140625" style="45" customWidth="1"/>
    <col min="9469" max="9469" width="62" style="45" customWidth="1"/>
    <col min="9470" max="9470" width="44" style="45" customWidth="1"/>
    <col min="9471" max="9471" width="43.140625" style="45" customWidth="1"/>
    <col min="9472" max="9472" width="45" style="45" customWidth="1"/>
    <col min="9473" max="9473" width="35.5703125" style="45" customWidth="1"/>
    <col min="9474" max="9474" width="37.140625" style="45" customWidth="1"/>
    <col min="9475" max="9475" width="76.7109375" style="45" customWidth="1"/>
    <col min="9476" max="9476" width="37.7109375" style="45" customWidth="1"/>
    <col min="9477" max="9477" width="37.85546875" style="45" customWidth="1"/>
    <col min="9478" max="9478" width="39.85546875" style="45" customWidth="1"/>
    <col min="9479" max="9479" width="53.140625" style="45" customWidth="1"/>
    <col min="9480" max="9480" width="35.28515625" style="45" customWidth="1"/>
    <col min="9481" max="9481" width="31" style="45" customWidth="1"/>
    <col min="9482" max="9482" width="29.140625" style="45" customWidth="1"/>
    <col min="9483" max="9483" width="30.140625" style="45" customWidth="1"/>
    <col min="9484" max="9484" width="49.140625" style="45" customWidth="1"/>
    <col min="9485" max="9485" width="31.85546875" style="45" customWidth="1"/>
    <col min="9486" max="9486" width="39.140625" style="45" customWidth="1"/>
    <col min="9487" max="9487" width="53" style="45" bestFit="1" customWidth="1"/>
    <col min="9488" max="9488" width="33.42578125" style="45" bestFit="1" customWidth="1"/>
    <col min="9489" max="9489" width="28.140625" style="45" customWidth="1"/>
    <col min="9490" max="9494" width="6.7109375" style="45" customWidth="1"/>
    <col min="9495" max="9495" width="1.7109375" style="45" customWidth="1"/>
    <col min="9496" max="9719" width="9.140625" style="45"/>
    <col min="9720" max="9720" width="16" style="45" customWidth="1"/>
    <col min="9721" max="9721" width="27.7109375" style="45" customWidth="1"/>
    <col min="9722" max="9722" width="65.7109375" style="45" customWidth="1"/>
    <col min="9723" max="9723" width="21.85546875" style="45" bestFit="1" customWidth="1"/>
    <col min="9724" max="9724" width="30.140625" style="45" customWidth="1"/>
    <col min="9725" max="9725" width="62" style="45" customWidth="1"/>
    <col min="9726" max="9726" width="44" style="45" customWidth="1"/>
    <col min="9727" max="9727" width="43.140625" style="45" customWidth="1"/>
    <col min="9728" max="9728" width="45" style="45" customWidth="1"/>
    <col min="9729" max="9729" width="35.5703125" style="45" customWidth="1"/>
    <col min="9730" max="9730" width="37.140625" style="45" customWidth="1"/>
    <col min="9731" max="9731" width="76.7109375" style="45" customWidth="1"/>
    <col min="9732" max="9732" width="37.7109375" style="45" customWidth="1"/>
    <col min="9733" max="9733" width="37.85546875" style="45" customWidth="1"/>
    <col min="9734" max="9734" width="39.85546875" style="45" customWidth="1"/>
    <col min="9735" max="9735" width="53.140625" style="45" customWidth="1"/>
    <col min="9736" max="9736" width="35.28515625" style="45" customWidth="1"/>
    <col min="9737" max="9737" width="31" style="45" customWidth="1"/>
    <col min="9738" max="9738" width="29.140625" style="45" customWidth="1"/>
    <col min="9739" max="9739" width="30.140625" style="45" customWidth="1"/>
    <col min="9740" max="9740" width="49.140625" style="45" customWidth="1"/>
    <col min="9741" max="9741" width="31.85546875" style="45" customWidth="1"/>
    <col min="9742" max="9742" width="39.140625" style="45" customWidth="1"/>
    <col min="9743" max="9743" width="53" style="45" bestFit="1" customWidth="1"/>
    <col min="9744" max="9744" width="33.42578125" style="45" bestFit="1" customWidth="1"/>
    <col min="9745" max="9745" width="28.140625" style="45" customWidth="1"/>
    <col min="9746" max="9750" width="6.7109375" style="45" customWidth="1"/>
    <col min="9751" max="9751" width="1.7109375" style="45" customWidth="1"/>
    <col min="9752" max="9975" width="9.140625" style="45"/>
    <col min="9976" max="9976" width="16" style="45" customWidth="1"/>
    <col min="9977" max="9977" width="27.7109375" style="45" customWidth="1"/>
    <col min="9978" max="9978" width="65.7109375" style="45" customWidth="1"/>
    <col min="9979" max="9979" width="21.85546875" style="45" bestFit="1" customWidth="1"/>
    <col min="9980" max="9980" width="30.140625" style="45" customWidth="1"/>
    <col min="9981" max="9981" width="62" style="45" customWidth="1"/>
    <col min="9982" max="9982" width="44" style="45" customWidth="1"/>
    <col min="9983" max="9983" width="43.140625" style="45" customWidth="1"/>
    <col min="9984" max="9984" width="45" style="45" customWidth="1"/>
    <col min="9985" max="9985" width="35.5703125" style="45" customWidth="1"/>
    <col min="9986" max="9986" width="37.140625" style="45" customWidth="1"/>
    <col min="9987" max="9987" width="76.7109375" style="45" customWidth="1"/>
    <col min="9988" max="9988" width="37.7109375" style="45" customWidth="1"/>
    <col min="9989" max="9989" width="37.85546875" style="45" customWidth="1"/>
    <col min="9990" max="9990" width="39.85546875" style="45" customWidth="1"/>
    <col min="9991" max="9991" width="53.140625" style="45" customWidth="1"/>
    <col min="9992" max="9992" width="35.28515625" style="45" customWidth="1"/>
    <col min="9993" max="9993" width="31" style="45" customWidth="1"/>
    <col min="9994" max="9994" width="29.140625" style="45" customWidth="1"/>
    <col min="9995" max="9995" width="30.140625" style="45" customWidth="1"/>
    <col min="9996" max="9996" width="49.140625" style="45" customWidth="1"/>
    <col min="9997" max="9997" width="31.85546875" style="45" customWidth="1"/>
    <col min="9998" max="9998" width="39.140625" style="45" customWidth="1"/>
    <col min="9999" max="9999" width="53" style="45" bestFit="1" customWidth="1"/>
    <col min="10000" max="10000" width="33.42578125" style="45" bestFit="1" customWidth="1"/>
    <col min="10001" max="10001" width="28.140625" style="45" customWidth="1"/>
    <col min="10002" max="10006" width="6.7109375" style="45" customWidth="1"/>
    <col min="10007" max="10007" width="1.7109375" style="45" customWidth="1"/>
    <col min="10008" max="10231" width="9.140625" style="45"/>
    <col min="10232" max="10232" width="16" style="45" customWidth="1"/>
    <col min="10233" max="10233" width="27.7109375" style="45" customWidth="1"/>
    <col min="10234" max="10234" width="65.7109375" style="45" customWidth="1"/>
    <col min="10235" max="10235" width="21.85546875" style="45" bestFit="1" customWidth="1"/>
    <col min="10236" max="10236" width="30.140625" style="45" customWidth="1"/>
    <col min="10237" max="10237" width="62" style="45" customWidth="1"/>
    <col min="10238" max="10238" width="44" style="45" customWidth="1"/>
    <col min="10239" max="10239" width="43.140625" style="45" customWidth="1"/>
    <col min="10240" max="10240" width="45" style="45" customWidth="1"/>
    <col min="10241" max="10241" width="35.5703125" style="45" customWidth="1"/>
    <col min="10242" max="10242" width="37.140625" style="45" customWidth="1"/>
    <col min="10243" max="10243" width="76.7109375" style="45" customWidth="1"/>
    <col min="10244" max="10244" width="37.7109375" style="45" customWidth="1"/>
    <col min="10245" max="10245" width="37.85546875" style="45" customWidth="1"/>
    <col min="10246" max="10246" width="39.85546875" style="45" customWidth="1"/>
    <col min="10247" max="10247" width="53.140625" style="45" customWidth="1"/>
    <col min="10248" max="10248" width="35.28515625" style="45" customWidth="1"/>
    <col min="10249" max="10249" width="31" style="45" customWidth="1"/>
    <col min="10250" max="10250" width="29.140625" style="45" customWidth="1"/>
    <col min="10251" max="10251" width="30.140625" style="45" customWidth="1"/>
    <col min="10252" max="10252" width="49.140625" style="45" customWidth="1"/>
    <col min="10253" max="10253" width="31.85546875" style="45" customWidth="1"/>
    <col min="10254" max="10254" width="39.140625" style="45" customWidth="1"/>
    <col min="10255" max="10255" width="53" style="45" bestFit="1" customWidth="1"/>
    <col min="10256" max="10256" width="33.42578125" style="45" bestFit="1" customWidth="1"/>
    <col min="10257" max="10257" width="28.140625" style="45" customWidth="1"/>
    <col min="10258" max="10262" width="6.7109375" style="45" customWidth="1"/>
    <col min="10263" max="10263" width="1.7109375" style="45" customWidth="1"/>
    <col min="10264" max="10487" width="9.140625" style="45"/>
    <col min="10488" max="10488" width="16" style="45" customWidth="1"/>
    <col min="10489" max="10489" width="27.7109375" style="45" customWidth="1"/>
    <col min="10490" max="10490" width="65.7109375" style="45" customWidth="1"/>
    <col min="10491" max="10491" width="21.85546875" style="45" bestFit="1" customWidth="1"/>
    <col min="10492" max="10492" width="30.140625" style="45" customWidth="1"/>
    <col min="10493" max="10493" width="62" style="45" customWidth="1"/>
    <col min="10494" max="10494" width="44" style="45" customWidth="1"/>
    <col min="10495" max="10495" width="43.140625" style="45" customWidth="1"/>
    <col min="10496" max="10496" width="45" style="45" customWidth="1"/>
    <col min="10497" max="10497" width="35.5703125" style="45" customWidth="1"/>
    <col min="10498" max="10498" width="37.140625" style="45" customWidth="1"/>
    <col min="10499" max="10499" width="76.7109375" style="45" customWidth="1"/>
    <col min="10500" max="10500" width="37.7109375" style="45" customWidth="1"/>
    <col min="10501" max="10501" width="37.85546875" style="45" customWidth="1"/>
    <col min="10502" max="10502" width="39.85546875" style="45" customWidth="1"/>
    <col min="10503" max="10503" width="53.140625" style="45" customWidth="1"/>
    <col min="10504" max="10504" width="35.28515625" style="45" customWidth="1"/>
    <col min="10505" max="10505" width="31" style="45" customWidth="1"/>
    <col min="10506" max="10506" width="29.140625" style="45" customWidth="1"/>
    <col min="10507" max="10507" width="30.140625" style="45" customWidth="1"/>
    <col min="10508" max="10508" width="49.140625" style="45" customWidth="1"/>
    <col min="10509" max="10509" width="31.85546875" style="45" customWidth="1"/>
    <col min="10510" max="10510" width="39.140625" style="45" customWidth="1"/>
    <col min="10511" max="10511" width="53" style="45" bestFit="1" customWidth="1"/>
    <col min="10512" max="10512" width="33.42578125" style="45" bestFit="1" customWidth="1"/>
    <col min="10513" max="10513" width="28.140625" style="45" customWidth="1"/>
    <col min="10514" max="10518" width="6.7109375" style="45" customWidth="1"/>
    <col min="10519" max="10519" width="1.7109375" style="45" customWidth="1"/>
    <col min="10520" max="10743" width="9.140625" style="45"/>
    <col min="10744" max="10744" width="16" style="45" customWidth="1"/>
    <col min="10745" max="10745" width="27.7109375" style="45" customWidth="1"/>
    <col min="10746" max="10746" width="65.7109375" style="45" customWidth="1"/>
    <col min="10747" max="10747" width="21.85546875" style="45" bestFit="1" customWidth="1"/>
    <col min="10748" max="10748" width="30.140625" style="45" customWidth="1"/>
    <col min="10749" max="10749" width="62" style="45" customWidth="1"/>
    <col min="10750" max="10750" width="44" style="45" customWidth="1"/>
    <col min="10751" max="10751" width="43.140625" style="45" customWidth="1"/>
    <col min="10752" max="10752" width="45" style="45" customWidth="1"/>
    <col min="10753" max="10753" width="35.5703125" style="45" customWidth="1"/>
    <col min="10754" max="10754" width="37.140625" style="45" customWidth="1"/>
    <col min="10755" max="10755" width="76.7109375" style="45" customWidth="1"/>
    <col min="10756" max="10756" width="37.7109375" style="45" customWidth="1"/>
    <col min="10757" max="10757" width="37.85546875" style="45" customWidth="1"/>
    <col min="10758" max="10758" width="39.85546875" style="45" customWidth="1"/>
    <col min="10759" max="10759" width="53.140625" style="45" customWidth="1"/>
    <col min="10760" max="10760" width="35.28515625" style="45" customWidth="1"/>
    <col min="10761" max="10761" width="31" style="45" customWidth="1"/>
    <col min="10762" max="10762" width="29.140625" style="45" customWidth="1"/>
    <col min="10763" max="10763" width="30.140625" style="45" customWidth="1"/>
    <col min="10764" max="10764" width="49.140625" style="45" customWidth="1"/>
    <col min="10765" max="10765" width="31.85546875" style="45" customWidth="1"/>
    <col min="10766" max="10766" width="39.140625" style="45" customWidth="1"/>
    <col min="10767" max="10767" width="53" style="45" bestFit="1" customWidth="1"/>
    <col min="10768" max="10768" width="33.42578125" style="45" bestFit="1" customWidth="1"/>
    <col min="10769" max="10769" width="28.140625" style="45" customWidth="1"/>
    <col min="10770" max="10774" width="6.7109375" style="45" customWidth="1"/>
    <col min="10775" max="10775" width="1.7109375" style="45" customWidth="1"/>
    <col min="10776" max="10999" width="9.140625" style="45"/>
    <col min="11000" max="11000" width="16" style="45" customWidth="1"/>
    <col min="11001" max="11001" width="27.7109375" style="45" customWidth="1"/>
    <col min="11002" max="11002" width="65.7109375" style="45" customWidth="1"/>
    <col min="11003" max="11003" width="21.85546875" style="45" bestFit="1" customWidth="1"/>
    <col min="11004" max="11004" width="30.140625" style="45" customWidth="1"/>
    <col min="11005" max="11005" width="62" style="45" customWidth="1"/>
    <col min="11006" max="11006" width="44" style="45" customWidth="1"/>
    <col min="11007" max="11007" width="43.140625" style="45" customWidth="1"/>
    <col min="11008" max="11008" width="45" style="45" customWidth="1"/>
    <col min="11009" max="11009" width="35.5703125" style="45" customWidth="1"/>
    <col min="11010" max="11010" width="37.140625" style="45" customWidth="1"/>
    <col min="11011" max="11011" width="76.7109375" style="45" customWidth="1"/>
    <col min="11012" max="11012" width="37.7109375" style="45" customWidth="1"/>
    <col min="11013" max="11013" width="37.85546875" style="45" customWidth="1"/>
    <col min="11014" max="11014" width="39.85546875" style="45" customWidth="1"/>
    <col min="11015" max="11015" width="53.140625" style="45" customWidth="1"/>
    <col min="11016" max="11016" width="35.28515625" style="45" customWidth="1"/>
    <col min="11017" max="11017" width="31" style="45" customWidth="1"/>
    <col min="11018" max="11018" width="29.140625" style="45" customWidth="1"/>
    <col min="11019" max="11019" width="30.140625" style="45" customWidth="1"/>
    <col min="11020" max="11020" width="49.140625" style="45" customWidth="1"/>
    <col min="11021" max="11021" width="31.85546875" style="45" customWidth="1"/>
    <col min="11022" max="11022" width="39.140625" style="45" customWidth="1"/>
    <col min="11023" max="11023" width="53" style="45" bestFit="1" customWidth="1"/>
    <col min="11024" max="11024" width="33.42578125" style="45" bestFit="1" customWidth="1"/>
    <col min="11025" max="11025" width="28.140625" style="45" customWidth="1"/>
    <col min="11026" max="11030" width="6.7109375" style="45" customWidth="1"/>
    <col min="11031" max="11031" width="1.7109375" style="45" customWidth="1"/>
    <col min="11032" max="11255" width="9.140625" style="45"/>
    <col min="11256" max="11256" width="16" style="45" customWidth="1"/>
    <col min="11257" max="11257" width="27.7109375" style="45" customWidth="1"/>
    <col min="11258" max="11258" width="65.7109375" style="45" customWidth="1"/>
    <col min="11259" max="11259" width="21.85546875" style="45" bestFit="1" customWidth="1"/>
    <col min="11260" max="11260" width="30.140625" style="45" customWidth="1"/>
    <col min="11261" max="11261" width="62" style="45" customWidth="1"/>
    <col min="11262" max="11262" width="44" style="45" customWidth="1"/>
    <col min="11263" max="11263" width="43.140625" style="45" customWidth="1"/>
    <col min="11264" max="11264" width="45" style="45" customWidth="1"/>
    <col min="11265" max="11265" width="35.5703125" style="45" customWidth="1"/>
    <col min="11266" max="11266" width="37.140625" style="45" customWidth="1"/>
    <col min="11267" max="11267" width="76.7109375" style="45" customWidth="1"/>
    <col min="11268" max="11268" width="37.7109375" style="45" customWidth="1"/>
    <col min="11269" max="11269" width="37.85546875" style="45" customWidth="1"/>
    <col min="11270" max="11270" width="39.85546875" style="45" customWidth="1"/>
    <col min="11271" max="11271" width="53.140625" style="45" customWidth="1"/>
    <col min="11272" max="11272" width="35.28515625" style="45" customWidth="1"/>
    <col min="11273" max="11273" width="31" style="45" customWidth="1"/>
    <col min="11274" max="11274" width="29.140625" style="45" customWidth="1"/>
    <col min="11275" max="11275" width="30.140625" style="45" customWidth="1"/>
    <col min="11276" max="11276" width="49.140625" style="45" customWidth="1"/>
    <col min="11277" max="11277" width="31.85546875" style="45" customWidth="1"/>
    <col min="11278" max="11278" width="39.140625" style="45" customWidth="1"/>
    <col min="11279" max="11279" width="53" style="45" bestFit="1" customWidth="1"/>
    <col min="11280" max="11280" width="33.42578125" style="45" bestFit="1" customWidth="1"/>
    <col min="11281" max="11281" width="28.140625" style="45" customWidth="1"/>
    <col min="11282" max="11286" width="6.7109375" style="45" customWidth="1"/>
    <col min="11287" max="11287" width="1.7109375" style="45" customWidth="1"/>
    <col min="11288" max="11511" width="9.140625" style="45"/>
    <col min="11512" max="11512" width="16" style="45" customWidth="1"/>
    <col min="11513" max="11513" width="27.7109375" style="45" customWidth="1"/>
    <col min="11514" max="11514" width="65.7109375" style="45" customWidth="1"/>
    <col min="11515" max="11515" width="21.85546875" style="45" bestFit="1" customWidth="1"/>
    <col min="11516" max="11516" width="30.140625" style="45" customWidth="1"/>
    <col min="11517" max="11517" width="62" style="45" customWidth="1"/>
    <col min="11518" max="11518" width="44" style="45" customWidth="1"/>
    <col min="11519" max="11519" width="43.140625" style="45" customWidth="1"/>
    <col min="11520" max="11520" width="45" style="45" customWidth="1"/>
    <col min="11521" max="11521" width="35.5703125" style="45" customWidth="1"/>
    <col min="11522" max="11522" width="37.140625" style="45" customWidth="1"/>
    <col min="11523" max="11523" width="76.7109375" style="45" customWidth="1"/>
    <col min="11524" max="11524" width="37.7109375" style="45" customWidth="1"/>
    <col min="11525" max="11525" width="37.85546875" style="45" customWidth="1"/>
    <col min="11526" max="11526" width="39.85546875" style="45" customWidth="1"/>
    <col min="11527" max="11527" width="53.140625" style="45" customWidth="1"/>
    <col min="11528" max="11528" width="35.28515625" style="45" customWidth="1"/>
    <col min="11529" max="11529" width="31" style="45" customWidth="1"/>
    <col min="11530" max="11530" width="29.140625" style="45" customWidth="1"/>
    <col min="11531" max="11531" width="30.140625" style="45" customWidth="1"/>
    <col min="11532" max="11532" width="49.140625" style="45" customWidth="1"/>
    <col min="11533" max="11533" width="31.85546875" style="45" customWidth="1"/>
    <col min="11534" max="11534" width="39.140625" style="45" customWidth="1"/>
    <col min="11535" max="11535" width="53" style="45" bestFit="1" customWidth="1"/>
    <col min="11536" max="11536" width="33.42578125" style="45" bestFit="1" customWidth="1"/>
    <col min="11537" max="11537" width="28.140625" style="45" customWidth="1"/>
    <col min="11538" max="11542" width="6.7109375" style="45" customWidth="1"/>
    <col min="11543" max="11543" width="1.7109375" style="45" customWidth="1"/>
    <col min="11544" max="11767" width="9.140625" style="45"/>
    <col min="11768" max="11768" width="16" style="45" customWidth="1"/>
    <col min="11769" max="11769" width="27.7109375" style="45" customWidth="1"/>
    <col min="11770" max="11770" width="65.7109375" style="45" customWidth="1"/>
    <col min="11771" max="11771" width="21.85546875" style="45" bestFit="1" customWidth="1"/>
    <col min="11772" max="11772" width="30.140625" style="45" customWidth="1"/>
    <col min="11773" max="11773" width="62" style="45" customWidth="1"/>
    <col min="11774" max="11774" width="44" style="45" customWidth="1"/>
    <col min="11775" max="11775" width="43.140625" style="45" customWidth="1"/>
    <col min="11776" max="11776" width="45" style="45" customWidth="1"/>
    <col min="11777" max="11777" width="35.5703125" style="45" customWidth="1"/>
    <col min="11778" max="11778" width="37.140625" style="45" customWidth="1"/>
    <col min="11779" max="11779" width="76.7109375" style="45" customWidth="1"/>
    <col min="11780" max="11780" width="37.7109375" style="45" customWidth="1"/>
    <col min="11781" max="11781" width="37.85546875" style="45" customWidth="1"/>
    <col min="11782" max="11782" width="39.85546875" style="45" customWidth="1"/>
    <col min="11783" max="11783" width="53.140625" style="45" customWidth="1"/>
    <col min="11784" max="11784" width="35.28515625" style="45" customWidth="1"/>
    <col min="11785" max="11785" width="31" style="45" customWidth="1"/>
    <col min="11786" max="11786" width="29.140625" style="45" customWidth="1"/>
    <col min="11787" max="11787" width="30.140625" style="45" customWidth="1"/>
    <col min="11788" max="11788" width="49.140625" style="45" customWidth="1"/>
    <col min="11789" max="11789" width="31.85546875" style="45" customWidth="1"/>
    <col min="11790" max="11790" width="39.140625" style="45" customWidth="1"/>
    <col min="11791" max="11791" width="53" style="45" bestFit="1" customWidth="1"/>
    <col min="11792" max="11792" width="33.42578125" style="45" bestFit="1" customWidth="1"/>
    <col min="11793" max="11793" width="28.140625" style="45" customWidth="1"/>
    <col min="11794" max="11798" width="6.7109375" style="45" customWidth="1"/>
    <col min="11799" max="11799" width="1.7109375" style="45" customWidth="1"/>
    <col min="11800" max="12023" width="9.140625" style="45"/>
    <col min="12024" max="12024" width="16" style="45" customWidth="1"/>
    <col min="12025" max="12025" width="27.7109375" style="45" customWidth="1"/>
    <col min="12026" max="12026" width="65.7109375" style="45" customWidth="1"/>
    <col min="12027" max="12027" width="21.85546875" style="45" bestFit="1" customWidth="1"/>
    <col min="12028" max="12028" width="30.140625" style="45" customWidth="1"/>
    <col min="12029" max="12029" width="62" style="45" customWidth="1"/>
    <col min="12030" max="12030" width="44" style="45" customWidth="1"/>
    <col min="12031" max="12031" width="43.140625" style="45" customWidth="1"/>
    <col min="12032" max="12032" width="45" style="45" customWidth="1"/>
    <col min="12033" max="12033" width="35.5703125" style="45" customWidth="1"/>
    <col min="12034" max="12034" width="37.140625" style="45" customWidth="1"/>
    <col min="12035" max="12035" width="76.7109375" style="45" customWidth="1"/>
    <col min="12036" max="12036" width="37.7109375" style="45" customWidth="1"/>
    <col min="12037" max="12037" width="37.85546875" style="45" customWidth="1"/>
    <col min="12038" max="12038" width="39.85546875" style="45" customWidth="1"/>
    <col min="12039" max="12039" width="53.140625" style="45" customWidth="1"/>
    <col min="12040" max="12040" width="35.28515625" style="45" customWidth="1"/>
    <col min="12041" max="12041" width="31" style="45" customWidth="1"/>
    <col min="12042" max="12042" width="29.140625" style="45" customWidth="1"/>
    <col min="12043" max="12043" width="30.140625" style="45" customWidth="1"/>
    <col min="12044" max="12044" width="49.140625" style="45" customWidth="1"/>
    <col min="12045" max="12045" width="31.85546875" style="45" customWidth="1"/>
    <col min="12046" max="12046" width="39.140625" style="45" customWidth="1"/>
    <col min="12047" max="12047" width="53" style="45" bestFit="1" customWidth="1"/>
    <col min="12048" max="12048" width="33.42578125" style="45" bestFit="1" customWidth="1"/>
    <col min="12049" max="12049" width="28.140625" style="45" customWidth="1"/>
    <col min="12050" max="12054" width="6.7109375" style="45" customWidth="1"/>
    <col min="12055" max="12055" width="1.7109375" style="45" customWidth="1"/>
    <col min="12056" max="12279" width="9.140625" style="45"/>
    <col min="12280" max="12280" width="16" style="45" customWidth="1"/>
    <col min="12281" max="12281" width="27.7109375" style="45" customWidth="1"/>
    <col min="12282" max="12282" width="65.7109375" style="45" customWidth="1"/>
    <col min="12283" max="12283" width="21.85546875" style="45" bestFit="1" customWidth="1"/>
    <col min="12284" max="12284" width="30.140625" style="45" customWidth="1"/>
    <col min="12285" max="12285" width="62" style="45" customWidth="1"/>
    <col min="12286" max="12286" width="44" style="45" customWidth="1"/>
    <col min="12287" max="12287" width="43.140625" style="45" customWidth="1"/>
    <col min="12288" max="12288" width="45" style="45" customWidth="1"/>
    <col min="12289" max="12289" width="35.5703125" style="45" customWidth="1"/>
    <col min="12290" max="12290" width="37.140625" style="45" customWidth="1"/>
    <col min="12291" max="12291" width="76.7109375" style="45" customWidth="1"/>
    <col min="12292" max="12292" width="37.7109375" style="45" customWidth="1"/>
    <col min="12293" max="12293" width="37.85546875" style="45" customWidth="1"/>
    <col min="12294" max="12294" width="39.85546875" style="45" customWidth="1"/>
    <col min="12295" max="12295" width="53.140625" style="45" customWidth="1"/>
    <col min="12296" max="12296" width="35.28515625" style="45" customWidth="1"/>
    <col min="12297" max="12297" width="31" style="45" customWidth="1"/>
    <col min="12298" max="12298" width="29.140625" style="45" customWidth="1"/>
    <col min="12299" max="12299" width="30.140625" style="45" customWidth="1"/>
    <col min="12300" max="12300" width="49.140625" style="45" customWidth="1"/>
    <col min="12301" max="12301" width="31.85546875" style="45" customWidth="1"/>
    <col min="12302" max="12302" width="39.140625" style="45" customWidth="1"/>
    <col min="12303" max="12303" width="53" style="45" bestFit="1" customWidth="1"/>
    <col min="12304" max="12304" width="33.42578125" style="45" bestFit="1" customWidth="1"/>
    <col min="12305" max="12305" width="28.140625" style="45" customWidth="1"/>
    <col min="12306" max="12310" width="6.7109375" style="45" customWidth="1"/>
    <col min="12311" max="12311" width="1.7109375" style="45" customWidth="1"/>
    <col min="12312" max="12535" width="9.140625" style="45"/>
    <col min="12536" max="12536" width="16" style="45" customWidth="1"/>
    <col min="12537" max="12537" width="27.7109375" style="45" customWidth="1"/>
    <col min="12538" max="12538" width="65.7109375" style="45" customWidth="1"/>
    <col min="12539" max="12539" width="21.85546875" style="45" bestFit="1" customWidth="1"/>
    <col min="12540" max="12540" width="30.140625" style="45" customWidth="1"/>
    <col min="12541" max="12541" width="62" style="45" customWidth="1"/>
    <col min="12542" max="12542" width="44" style="45" customWidth="1"/>
    <col min="12543" max="12543" width="43.140625" style="45" customWidth="1"/>
    <col min="12544" max="12544" width="45" style="45" customWidth="1"/>
    <col min="12545" max="12545" width="35.5703125" style="45" customWidth="1"/>
    <col min="12546" max="12546" width="37.140625" style="45" customWidth="1"/>
    <col min="12547" max="12547" width="76.7109375" style="45" customWidth="1"/>
    <col min="12548" max="12548" width="37.7109375" style="45" customWidth="1"/>
    <col min="12549" max="12549" width="37.85546875" style="45" customWidth="1"/>
    <col min="12550" max="12550" width="39.85546875" style="45" customWidth="1"/>
    <col min="12551" max="12551" width="53.140625" style="45" customWidth="1"/>
    <col min="12552" max="12552" width="35.28515625" style="45" customWidth="1"/>
    <col min="12553" max="12553" width="31" style="45" customWidth="1"/>
    <col min="12554" max="12554" width="29.140625" style="45" customWidth="1"/>
    <col min="12555" max="12555" width="30.140625" style="45" customWidth="1"/>
    <col min="12556" max="12556" width="49.140625" style="45" customWidth="1"/>
    <col min="12557" max="12557" width="31.85546875" style="45" customWidth="1"/>
    <col min="12558" max="12558" width="39.140625" style="45" customWidth="1"/>
    <col min="12559" max="12559" width="53" style="45" bestFit="1" customWidth="1"/>
    <col min="12560" max="12560" width="33.42578125" style="45" bestFit="1" customWidth="1"/>
    <col min="12561" max="12561" width="28.140625" style="45" customWidth="1"/>
    <col min="12562" max="12566" width="6.7109375" style="45" customWidth="1"/>
    <col min="12567" max="12567" width="1.7109375" style="45" customWidth="1"/>
    <col min="12568" max="12791" width="9.140625" style="45"/>
    <col min="12792" max="12792" width="16" style="45" customWidth="1"/>
    <col min="12793" max="12793" width="27.7109375" style="45" customWidth="1"/>
    <col min="12794" max="12794" width="65.7109375" style="45" customWidth="1"/>
    <col min="12795" max="12795" width="21.85546875" style="45" bestFit="1" customWidth="1"/>
    <col min="12796" max="12796" width="30.140625" style="45" customWidth="1"/>
    <col min="12797" max="12797" width="62" style="45" customWidth="1"/>
    <col min="12798" max="12798" width="44" style="45" customWidth="1"/>
    <col min="12799" max="12799" width="43.140625" style="45" customWidth="1"/>
    <col min="12800" max="12800" width="45" style="45" customWidth="1"/>
    <col min="12801" max="12801" width="35.5703125" style="45" customWidth="1"/>
    <col min="12802" max="12802" width="37.140625" style="45" customWidth="1"/>
    <col min="12803" max="12803" width="76.7109375" style="45" customWidth="1"/>
    <col min="12804" max="12804" width="37.7109375" style="45" customWidth="1"/>
    <col min="12805" max="12805" width="37.85546875" style="45" customWidth="1"/>
    <col min="12806" max="12806" width="39.85546875" style="45" customWidth="1"/>
    <col min="12807" max="12807" width="53.140625" style="45" customWidth="1"/>
    <col min="12808" max="12808" width="35.28515625" style="45" customWidth="1"/>
    <col min="12809" max="12809" width="31" style="45" customWidth="1"/>
    <col min="12810" max="12810" width="29.140625" style="45" customWidth="1"/>
    <col min="12811" max="12811" width="30.140625" style="45" customWidth="1"/>
    <col min="12812" max="12812" width="49.140625" style="45" customWidth="1"/>
    <col min="12813" max="12813" width="31.85546875" style="45" customWidth="1"/>
    <col min="12814" max="12814" width="39.140625" style="45" customWidth="1"/>
    <col min="12815" max="12815" width="53" style="45" bestFit="1" customWidth="1"/>
    <col min="12816" max="12816" width="33.42578125" style="45" bestFit="1" customWidth="1"/>
    <col min="12817" max="12817" width="28.140625" style="45" customWidth="1"/>
    <col min="12818" max="12822" width="6.7109375" style="45" customWidth="1"/>
    <col min="12823" max="12823" width="1.7109375" style="45" customWidth="1"/>
    <col min="12824" max="13047" width="9.140625" style="45"/>
    <col min="13048" max="13048" width="16" style="45" customWidth="1"/>
    <col min="13049" max="13049" width="27.7109375" style="45" customWidth="1"/>
    <col min="13050" max="13050" width="65.7109375" style="45" customWidth="1"/>
    <col min="13051" max="13051" width="21.85546875" style="45" bestFit="1" customWidth="1"/>
    <col min="13052" max="13052" width="30.140625" style="45" customWidth="1"/>
    <col min="13053" max="13053" width="62" style="45" customWidth="1"/>
    <col min="13054" max="13054" width="44" style="45" customWidth="1"/>
    <col min="13055" max="13055" width="43.140625" style="45" customWidth="1"/>
    <col min="13056" max="13056" width="45" style="45" customWidth="1"/>
    <col min="13057" max="13057" width="35.5703125" style="45" customWidth="1"/>
    <col min="13058" max="13058" width="37.140625" style="45" customWidth="1"/>
    <col min="13059" max="13059" width="76.7109375" style="45" customWidth="1"/>
    <col min="13060" max="13060" width="37.7109375" style="45" customWidth="1"/>
    <col min="13061" max="13061" width="37.85546875" style="45" customWidth="1"/>
    <col min="13062" max="13062" width="39.85546875" style="45" customWidth="1"/>
    <col min="13063" max="13063" width="53.140625" style="45" customWidth="1"/>
    <col min="13064" max="13064" width="35.28515625" style="45" customWidth="1"/>
    <col min="13065" max="13065" width="31" style="45" customWidth="1"/>
    <col min="13066" max="13066" width="29.140625" style="45" customWidth="1"/>
    <col min="13067" max="13067" width="30.140625" style="45" customWidth="1"/>
    <col min="13068" max="13068" width="49.140625" style="45" customWidth="1"/>
    <col min="13069" max="13069" width="31.85546875" style="45" customWidth="1"/>
    <col min="13070" max="13070" width="39.140625" style="45" customWidth="1"/>
    <col min="13071" max="13071" width="53" style="45" bestFit="1" customWidth="1"/>
    <col min="13072" max="13072" width="33.42578125" style="45" bestFit="1" customWidth="1"/>
    <col min="13073" max="13073" width="28.140625" style="45" customWidth="1"/>
    <col min="13074" max="13078" width="6.7109375" style="45" customWidth="1"/>
    <col min="13079" max="13079" width="1.7109375" style="45" customWidth="1"/>
    <col min="13080" max="13303" width="9.140625" style="45"/>
    <col min="13304" max="13304" width="16" style="45" customWidth="1"/>
    <col min="13305" max="13305" width="27.7109375" style="45" customWidth="1"/>
    <col min="13306" max="13306" width="65.7109375" style="45" customWidth="1"/>
    <col min="13307" max="13307" width="21.85546875" style="45" bestFit="1" customWidth="1"/>
    <col min="13308" max="13308" width="30.140625" style="45" customWidth="1"/>
    <col min="13309" max="13309" width="62" style="45" customWidth="1"/>
    <col min="13310" max="13310" width="44" style="45" customWidth="1"/>
    <col min="13311" max="13311" width="43.140625" style="45" customWidth="1"/>
    <col min="13312" max="13312" width="45" style="45" customWidth="1"/>
    <col min="13313" max="13313" width="35.5703125" style="45" customWidth="1"/>
    <col min="13314" max="13314" width="37.140625" style="45" customWidth="1"/>
    <col min="13315" max="13315" width="76.7109375" style="45" customWidth="1"/>
    <col min="13316" max="13316" width="37.7109375" style="45" customWidth="1"/>
    <col min="13317" max="13317" width="37.85546875" style="45" customWidth="1"/>
    <col min="13318" max="13318" width="39.85546875" style="45" customWidth="1"/>
    <col min="13319" max="13319" width="53.140625" style="45" customWidth="1"/>
    <col min="13320" max="13320" width="35.28515625" style="45" customWidth="1"/>
    <col min="13321" max="13321" width="31" style="45" customWidth="1"/>
    <col min="13322" max="13322" width="29.140625" style="45" customWidth="1"/>
    <col min="13323" max="13323" width="30.140625" style="45" customWidth="1"/>
    <col min="13324" max="13324" width="49.140625" style="45" customWidth="1"/>
    <col min="13325" max="13325" width="31.85546875" style="45" customWidth="1"/>
    <col min="13326" max="13326" width="39.140625" style="45" customWidth="1"/>
    <col min="13327" max="13327" width="53" style="45" bestFit="1" customWidth="1"/>
    <col min="13328" max="13328" width="33.42578125" style="45" bestFit="1" customWidth="1"/>
    <col min="13329" max="13329" width="28.140625" style="45" customWidth="1"/>
    <col min="13330" max="13334" width="6.7109375" style="45" customWidth="1"/>
    <col min="13335" max="13335" width="1.7109375" style="45" customWidth="1"/>
    <col min="13336" max="13559" width="9.140625" style="45"/>
    <col min="13560" max="13560" width="16" style="45" customWidth="1"/>
    <col min="13561" max="13561" width="27.7109375" style="45" customWidth="1"/>
    <col min="13562" max="13562" width="65.7109375" style="45" customWidth="1"/>
    <col min="13563" max="13563" width="21.85546875" style="45" bestFit="1" customWidth="1"/>
    <col min="13564" max="13564" width="30.140625" style="45" customWidth="1"/>
    <col min="13565" max="13565" width="62" style="45" customWidth="1"/>
    <col min="13566" max="13566" width="44" style="45" customWidth="1"/>
    <col min="13567" max="13567" width="43.140625" style="45" customWidth="1"/>
    <col min="13568" max="13568" width="45" style="45" customWidth="1"/>
    <col min="13569" max="13569" width="35.5703125" style="45" customWidth="1"/>
    <col min="13570" max="13570" width="37.140625" style="45" customWidth="1"/>
    <col min="13571" max="13571" width="76.7109375" style="45" customWidth="1"/>
    <col min="13572" max="13572" width="37.7109375" style="45" customWidth="1"/>
    <col min="13573" max="13573" width="37.85546875" style="45" customWidth="1"/>
    <col min="13574" max="13574" width="39.85546875" style="45" customWidth="1"/>
    <col min="13575" max="13575" width="53.140625" style="45" customWidth="1"/>
    <col min="13576" max="13576" width="35.28515625" style="45" customWidth="1"/>
    <col min="13577" max="13577" width="31" style="45" customWidth="1"/>
    <col min="13578" max="13578" width="29.140625" style="45" customWidth="1"/>
    <col min="13579" max="13579" width="30.140625" style="45" customWidth="1"/>
    <col min="13580" max="13580" width="49.140625" style="45" customWidth="1"/>
    <col min="13581" max="13581" width="31.85546875" style="45" customWidth="1"/>
    <col min="13582" max="13582" width="39.140625" style="45" customWidth="1"/>
    <col min="13583" max="13583" width="53" style="45" bestFit="1" customWidth="1"/>
    <col min="13584" max="13584" width="33.42578125" style="45" bestFit="1" customWidth="1"/>
    <col min="13585" max="13585" width="28.140625" style="45" customWidth="1"/>
    <col min="13586" max="13590" width="6.7109375" style="45" customWidth="1"/>
    <col min="13591" max="13591" width="1.7109375" style="45" customWidth="1"/>
    <col min="13592" max="13815" width="9.140625" style="45"/>
    <col min="13816" max="13816" width="16" style="45" customWidth="1"/>
    <col min="13817" max="13817" width="27.7109375" style="45" customWidth="1"/>
    <col min="13818" max="13818" width="65.7109375" style="45" customWidth="1"/>
    <col min="13819" max="13819" width="21.85546875" style="45" bestFit="1" customWidth="1"/>
    <col min="13820" max="13820" width="30.140625" style="45" customWidth="1"/>
    <col min="13821" max="13821" width="62" style="45" customWidth="1"/>
    <col min="13822" max="13822" width="44" style="45" customWidth="1"/>
    <col min="13823" max="13823" width="43.140625" style="45" customWidth="1"/>
    <col min="13824" max="13824" width="45" style="45" customWidth="1"/>
    <col min="13825" max="13825" width="35.5703125" style="45" customWidth="1"/>
    <col min="13826" max="13826" width="37.140625" style="45" customWidth="1"/>
    <col min="13827" max="13827" width="76.7109375" style="45" customWidth="1"/>
    <col min="13828" max="13828" width="37.7109375" style="45" customWidth="1"/>
    <col min="13829" max="13829" width="37.85546875" style="45" customWidth="1"/>
    <col min="13830" max="13830" width="39.85546875" style="45" customWidth="1"/>
    <col min="13831" max="13831" width="53.140625" style="45" customWidth="1"/>
    <col min="13832" max="13832" width="35.28515625" style="45" customWidth="1"/>
    <col min="13833" max="13833" width="31" style="45" customWidth="1"/>
    <col min="13834" max="13834" width="29.140625" style="45" customWidth="1"/>
    <col min="13835" max="13835" width="30.140625" style="45" customWidth="1"/>
    <col min="13836" max="13836" width="49.140625" style="45" customWidth="1"/>
    <col min="13837" max="13837" width="31.85546875" style="45" customWidth="1"/>
    <col min="13838" max="13838" width="39.140625" style="45" customWidth="1"/>
    <col min="13839" max="13839" width="53" style="45" bestFit="1" customWidth="1"/>
    <col min="13840" max="13840" width="33.42578125" style="45" bestFit="1" customWidth="1"/>
    <col min="13841" max="13841" width="28.140625" style="45" customWidth="1"/>
    <col min="13842" max="13846" width="6.7109375" style="45" customWidth="1"/>
    <col min="13847" max="13847" width="1.7109375" style="45" customWidth="1"/>
    <col min="13848" max="14071" width="9.140625" style="45"/>
    <col min="14072" max="14072" width="16" style="45" customWidth="1"/>
    <col min="14073" max="14073" width="27.7109375" style="45" customWidth="1"/>
    <col min="14074" max="14074" width="65.7109375" style="45" customWidth="1"/>
    <col min="14075" max="14075" width="21.85546875" style="45" bestFit="1" customWidth="1"/>
    <col min="14076" max="14076" width="30.140625" style="45" customWidth="1"/>
    <col min="14077" max="14077" width="62" style="45" customWidth="1"/>
    <col min="14078" max="14078" width="44" style="45" customWidth="1"/>
    <col min="14079" max="14079" width="43.140625" style="45" customWidth="1"/>
    <col min="14080" max="14080" width="45" style="45" customWidth="1"/>
    <col min="14081" max="14081" width="35.5703125" style="45" customWidth="1"/>
    <col min="14082" max="14082" width="37.140625" style="45" customWidth="1"/>
    <col min="14083" max="14083" width="76.7109375" style="45" customWidth="1"/>
    <col min="14084" max="14084" width="37.7109375" style="45" customWidth="1"/>
    <col min="14085" max="14085" width="37.85546875" style="45" customWidth="1"/>
    <col min="14086" max="14086" width="39.85546875" style="45" customWidth="1"/>
    <col min="14087" max="14087" width="53.140625" style="45" customWidth="1"/>
    <col min="14088" max="14088" width="35.28515625" style="45" customWidth="1"/>
    <col min="14089" max="14089" width="31" style="45" customWidth="1"/>
    <col min="14090" max="14090" width="29.140625" style="45" customWidth="1"/>
    <col min="14091" max="14091" width="30.140625" style="45" customWidth="1"/>
    <col min="14092" max="14092" width="49.140625" style="45" customWidth="1"/>
    <col min="14093" max="14093" width="31.85546875" style="45" customWidth="1"/>
    <col min="14094" max="14094" width="39.140625" style="45" customWidth="1"/>
    <col min="14095" max="14095" width="53" style="45" bestFit="1" customWidth="1"/>
    <col min="14096" max="14096" width="33.42578125" style="45" bestFit="1" customWidth="1"/>
    <col min="14097" max="14097" width="28.140625" style="45" customWidth="1"/>
    <col min="14098" max="14102" width="6.7109375" style="45" customWidth="1"/>
    <col min="14103" max="14103" width="1.7109375" style="45" customWidth="1"/>
    <col min="14104" max="14327" width="9.140625" style="45"/>
    <col min="14328" max="14328" width="16" style="45" customWidth="1"/>
    <col min="14329" max="14329" width="27.7109375" style="45" customWidth="1"/>
    <col min="14330" max="14330" width="65.7109375" style="45" customWidth="1"/>
    <col min="14331" max="14331" width="21.85546875" style="45" bestFit="1" customWidth="1"/>
    <col min="14332" max="14332" width="30.140625" style="45" customWidth="1"/>
    <col min="14333" max="14333" width="62" style="45" customWidth="1"/>
    <col min="14334" max="14334" width="44" style="45" customWidth="1"/>
    <col min="14335" max="14335" width="43.140625" style="45" customWidth="1"/>
    <col min="14336" max="14336" width="45" style="45" customWidth="1"/>
    <col min="14337" max="14337" width="35.5703125" style="45" customWidth="1"/>
    <col min="14338" max="14338" width="37.140625" style="45" customWidth="1"/>
    <col min="14339" max="14339" width="76.7109375" style="45" customWidth="1"/>
    <col min="14340" max="14340" width="37.7109375" style="45" customWidth="1"/>
    <col min="14341" max="14341" width="37.85546875" style="45" customWidth="1"/>
    <col min="14342" max="14342" width="39.85546875" style="45" customWidth="1"/>
    <col min="14343" max="14343" width="53.140625" style="45" customWidth="1"/>
    <col min="14344" max="14344" width="35.28515625" style="45" customWidth="1"/>
    <col min="14345" max="14345" width="31" style="45" customWidth="1"/>
    <col min="14346" max="14346" width="29.140625" style="45" customWidth="1"/>
    <col min="14347" max="14347" width="30.140625" style="45" customWidth="1"/>
    <col min="14348" max="14348" width="49.140625" style="45" customWidth="1"/>
    <col min="14349" max="14349" width="31.85546875" style="45" customWidth="1"/>
    <col min="14350" max="14350" width="39.140625" style="45" customWidth="1"/>
    <col min="14351" max="14351" width="53" style="45" bestFit="1" customWidth="1"/>
    <col min="14352" max="14352" width="33.42578125" style="45" bestFit="1" customWidth="1"/>
    <col min="14353" max="14353" width="28.140625" style="45" customWidth="1"/>
    <col min="14354" max="14358" width="6.7109375" style="45" customWidth="1"/>
    <col min="14359" max="14359" width="1.7109375" style="45" customWidth="1"/>
    <col min="14360" max="14583" width="9.140625" style="45"/>
    <col min="14584" max="14584" width="16" style="45" customWidth="1"/>
    <col min="14585" max="14585" width="27.7109375" style="45" customWidth="1"/>
    <col min="14586" max="14586" width="65.7109375" style="45" customWidth="1"/>
    <col min="14587" max="14587" width="21.85546875" style="45" bestFit="1" customWidth="1"/>
    <col min="14588" max="14588" width="30.140625" style="45" customWidth="1"/>
    <col min="14589" max="14589" width="62" style="45" customWidth="1"/>
    <col min="14590" max="14590" width="44" style="45" customWidth="1"/>
    <col min="14591" max="14591" width="43.140625" style="45" customWidth="1"/>
    <col min="14592" max="14592" width="45" style="45" customWidth="1"/>
    <col min="14593" max="14593" width="35.5703125" style="45" customWidth="1"/>
    <col min="14594" max="14594" width="37.140625" style="45" customWidth="1"/>
    <col min="14595" max="14595" width="76.7109375" style="45" customWidth="1"/>
    <col min="14596" max="14596" width="37.7109375" style="45" customWidth="1"/>
    <col min="14597" max="14597" width="37.85546875" style="45" customWidth="1"/>
    <col min="14598" max="14598" width="39.85546875" style="45" customWidth="1"/>
    <col min="14599" max="14599" width="53.140625" style="45" customWidth="1"/>
    <col min="14600" max="14600" width="35.28515625" style="45" customWidth="1"/>
    <col min="14601" max="14601" width="31" style="45" customWidth="1"/>
    <col min="14602" max="14602" width="29.140625" style="45" customWidth="1"/>
    <col min="14603" max="14603" width="30.140625" style="45" customWidth="1"/>
    <col min="14604" max="14604" width="49.140625" style="45" customWidth="1"/>
    <col min="14605" max="14605" width="31.85546875" style="45" customWidth="1"/>
    <col min="14606" max="14606" width="39.140625" style="45" customWidth="1"/>
    <col min="14607" max="14607" width="53" style="45" bestFit="1" customWidth="1"/>
    <col min="14608" max="14608" width="33.42578125" style="45" bestFit="1" customWidth="1"/>
    <col min="14609" max="14609" width="28.140625" style="45" customWidth="1"/>
    <col min="14610" max="14614" width="6.7109375" style="45" customWidth="1"/>
    <col min="14615" max="14615" width="1.7109375" style="45" customWidth="1"/>
    <col min="14616" max="14839" width="9.140625" style="45"/>
    <col min="14840" max="14840" width="16" style="45" customWidth="1"/>
    <col min="14841" max="14841" width="27.7109375" style="45" customWidth="1"/>
    <col min="14842" max="14842" width="65.7109375" style="45" customWidth="1"/>
    <col min="14843" max="14843" width="21.85546875" style="45" bestFit="1" customWidth="1"/>
    <col min="14844" max="14844" width="30.140625" style="45" customWidth="1"/>
    <col min="14845" max="14845" width="62" style="45" customWidth="1"/>
    <col min="14846" max="14846" width="44" style="45" customWidth="1"/>
    <col min="14847" max="14847" width="43.140625" style="45" customWidth="1"/>
    <col min="14848" max="14848" width="45" style="45" customWidth="1"/>
    <col min="14849" max="14849" width="35.5703125" style="45" customWidth="1"/>
    <col min="14850" max="14850" width="37.140625" style="45" customWidth="1"/>
    <col min="14851" max="14851" width="76.7109375" style="45" customWidth="1"/>
    <col min="14852" max="14852" width="37.7109375" style="45" customWidth="1"/>
    <col min="14853" max="14853" width="37.85546875" style="45" customWidth="1"/>
    <col min="14854" max="14854" width="39.85546875" style="45" customWidth="1"/>
    <col min="14855" max="14855" width="53.140625" style="45" customWidth="1"/>
    <col min="14856" max="14856" width="35.28515625" style="45" customWidth="1"/>
    <col min="14857" max="14857" width="31" style="45" customWidth="1"/>
    <col min="14858" max="14858" width="29.140625" style="45" customWidth="1"/>
    <col min="14859" max="14859" width="30.140625" style="45" customWidth="1"/>
    <col min="14860" max="14860" width="49.140625" style="45" customWidth="1"/>
    <col min="14861" max="14861" width="31.85546875" style="45" customWidth="1"/>
    <col min="14862" max="14862" width="39.140625" style="45" customWidth="1"/>
    <col min="14863" max="14863" width="53" style="45" bestFit="1" customWidth="1"/>
    <col min="14864" max="14864" width="33.42578125" style="45" bestFit="1" customWidth="1"/>
    <col min="14865" max="14865" width="28.140625" style="45" customWidth="1"/>
    <col min="14866" max="14870" width="6.7109375" style="45" customWidth="1"/>
    <col min="14871" max="14871" width="1.7109375" style="45" customWidth="1"/>
    <col min="14872" max="15095" width="9.140625" style="45"/>
    <col min="15096" max="15096" width="16" style="45" customWidth="1"/>
    <col min="15097" max="15097" width="27.7109375" style="45" customWidth="1"/>
    <col min="15098" max="15098" width="65.7109375" style="45" customWidth="1"/>
    <col min="15099" max="15099" width="21.85546875" style="45" bestFit="1" customWidth="1"/>
    <col min="15100" max="15100" width="30.140625" style="45" customWidth="1"/>
    <col min="15101" max="15101" width="62" style="45" customWidth="1"/>
    <col min="15102" max="15102" width="44" style="45" customWidth="1"/>
    <col min="15103" max="15103" width="43.140625" style="45" customWidth="1"/>
    <col min="15104" max="15104" width="45" style="45" customWidth="1"/>
    <col min="15105" max="15105" width="35.5703125" style="45" customWidth="1"/>
    <col min="15106" max="15106" width="37.140625" style="45" customWidth="1"/>
    <col min="15107" max="15107" width="76.7109375" style="45" customWidth="1"/>
    <col min="15108" max="15108" width="37.7109375" style="45" customWidth="1"/>
    <col min="15109" max="15109" width="37.85546875" style="45" customWidth="1"/>
    <col min="15110" max="15110" width="39.85546875" style="45" customWidth="1"/>
    <col min="15111" max="15111" width="53.140625" style="45" customWidth="1"/>
    <col min="15112" max="15112" width="35.28515625" style="45" customWidth="1"/>
    <col min="15113" max="15113" width="31" style="45" customWidth="1"/>
    <col min="15114" max="15114" width="29.140625" style="45" customWidth="1"/>
    <col min="15115" max="15115" width="30.140625" style="45" customWidth="1"/>
    <col min="15116" max="15116" width="49.140625" style="45" customWidth="1"/>
    <col min="15117" max="15117" width="31.85546875" style="45" customWidth="1"/>
    <col min="15118" max="15118" width="39.140625" style="45" customWidth="1"/>
    <col min="15119" max="15119" width="53" style="45" bestFit="1" customWidth="1"/>
    <col min="15120" max="15120" width="33.42578125" style="45" bestFit="1" customWidth="1"/>
    <col min="15121" max="15121" width="28.140625" style="45" customWidth="1"/>
    <col min="15122" max="15126" width="6.7109375" style="45" customWidth="1"/>
    <col min="15127" max="15127" width="1.7109375" style="45" customWidth="1"/>
    <col min="15128" max="15351" width="9.140625" style="45"/>
    <col min="15352" max="15352" width="16" style="45" customWidth="1"/>
    <col min="15353" max="15353" width="27.7109375" style="45" customWidth="1"/>
    <col min="15354" max="15354" width="65.7109375" style="45" customWidth="1"/>
    <col min="15355" max="15355" width="21.85546875" style="45" bestFit="1" customWidth="1"/>
    <col min="15356" max="15356" width="30.140625" style="45" customWidth="1"/>
    <col min="15357" max="15357" width="62" style="45" customWidth="1"/>
    <col min="15358" max="15358" width="44" style="45" customWidth="1"/>
    <col min="15359" max="15359" width="43.140625" style="45" customWidth="1"/>
    <col min="15360" max="15360" width="45" style="45" customWidth="1"/>
    <col min="15361" max="15361" width="35.5703125" style="45" customWidth="1"/>
    <col min="15362" max="15362" width="37.140625" style="45" customWidth="1"/>
    <col min="15363" max="15363" width="76.7109375" style="45" customWidth="1"/>
    <col min="15364" max="15364" width="37.7109375" style="45" customWidth="1"/>
    <col min="15365" max="15365" width="37.85546875" style="45" customWidth="1"/>
    <col min="15366" max="15366" width="39.85546875" style="45" customWidth="1"/>
    <col min="15367" max="15367" width="53.140625" style="45" customWidth="1"/>
    <col min="15368" max="15368" width="35.28515625" style="45" customWidth="1"/>
    <col min="15369" max="15369" width="31" style="45" customWidth="1"/>
    <col min="15370" max="15370" width="29.140625" style="45" customWidth="1"/>
    <col min="15371" max="15371" width="30.140625" style="45" customWidth="1"/>
    <col min="15372" max="15372" width="49.140625" style="45" customWidth="1"/>
    <col min="15373" max="15373" width="31.85546875" style="45" customWidth="1"/>
    <col min="15374" max="15374" width="39.140625" style="45" customWidth="1"/>
    <col min="15375" max="15375" width="53" style="45" bestFit="1" customWidth="1"/>
    <col min="15376" max="15376" width="33.42578125" style="45" bestFit="1" customWidth="1"/>
    <col min="15377" max="15377" width="28.140625" style="45" customWidth="1"/>
    <col min="15378" max="15382" width="6.7109375" style="45" customWidth="1"/>
    <col min="15383" max="15383" width="1.7109375" style="45" customWidth="1"/>
    <col min="15384" max="15607" width="9.140625" style="45"/>
    <col min="15608" max="15608" width="16" style="45" customWidth="1"/>
    <col min="15609" max="15609" width="27.7109375" style="45" customWidth="1"/>
    <col min="15610" max="15610" width="65.7109375" style="45" customWidth="1"/>
    <col min="15611" max="15611" width="21.85546875" style="45" bestFit="1" customWidth="1"/>
    <col min="15612" max="15612" width="30.140625" style="45" customWidth="1"/>
    <col min="15613" max="15613" width="62" style="45" customWidth="1"/>
    <col min="15614" max="15614" width="44" style="45" customWidth="1"/>
    <col min="15615" max="15615" width="43.140625" style="45" customWidth="1"/>
    <col min="15616" max="15616" width="45" style="45" customWidth="1"/>
    <col min="15617" max="15617" width="35.5703125" style="45" customWidth="1"/>
    <col min="15618" max="15618" width="37.140625" style="45" customWidth="1"/>
    <col min="15619" max="15619" width="76.7109375" style="45" customWidth="1"/>
    <col min="15620" max="15620" width="37.7109375" style="45" customWidth="1"/>
    <col min="15621" max="15621" width="37.85546875" style="45" customWidth="1"/>
    <col min="15622" max="15622" width="39.85546875" style="45" customWidth="1"/>
    <col min="15623" max="15623" width="53.140625" style="45" customWidth="1"/>
    <col min="15624" max="15624" width="35.28515625" style="45" customWidth="1"/>
    <col min="15625" max="15625" width="31" style="45" customWidth="1"/>
    <col min="15626" max="15626" width="29.140625" style="45" customWidth="1"/>
    <col min="15627" max="15627" width="30.140625" style="45" customWidth="1"/>
    <col min="15628" max="15628" width="49.140625" style="45" customWidth="1"/>
    <col min="15629" max="15629" width="31.85546875" style="45" customWidth="1"/>
    <col min="15630" max="15630" width="39.140625" style="45" customWidth="1"/>
    <col min="15631" max="15631" width="53" style="45" bestFit="1" customWidth="1"/>
    <col min="15632" max="15632" width="33.42578125" style="45" bestFit="1" customWidth="1"/>
    <col min="15633" max="15633" width="28.140625" style="45" customWidth="1"/>
    <col min="15634" max="15638" width="6.7109375" style="45" customWidth="1"/>
    <col min="15639" max="15639" width="1.7109375" style="45" customWidth="1"/>
    <col min="15640" max="15863" width="9.140625" style="45"/>
    <col min="15864" max="15864" width="16" style="45" customWidth="1"/>
    <col min="15865" max="15865" width="27.7109375" style="45" customWidth="1"/>
    <col min="15866" max="15866" width="65.7109375" style="45" customWidth="1"/>
    <col min="15867" max="15867" width="21.85546875" style="45" bestFit="1" customWidth="1"/>
    <col min="15868" max="15868" width="30.140625" style="45" customWidth="1"/>
    <col min="15869" max="15869" width="62" style="45" customWidth="1"/>
    <col min="15870" max="15870" width="44" style="45" customWidth="1"/>
    <col min="15871" max="15871" width="43.140625" style="45" customWidth="1"/>
    <col min="15872" max="15872" width="45" style="45" customWidth="1"/>
    <col min="15873" max="15873" width="35.5703125" style="45" customWidth="1"/>
    <col min="15874" max="15874" width="37.140625" style="45" customWidth="1"/>
    <col min="15875" max="15875" width="76.7109375" style="45" customWidth="1"/>
    <col min="15876" max="15876" width="37.7109375" style="45" customWidth="1"/>
    <col min="15877" max="15877" width="37.85546875" style="45" customWidth="1"/>
    <col min="15878" max="15878" width="39.85546875" style="45" customWidth="1"/>
    <col min="15879" max="15879" width="53.140625" style="45" customWidth="1"/>
    <col min="15880" max="15880" width="35.28515625" style="45" customWidth="1"/>
    <col min="15881" max="15881" width="31" style="45" customWidth="1"/>
    <col min="15882" max="15882" width="29.140625" style="45" customWidth="1"/>
    <col min="15883" max="15883" width="30.140625" style="45" customWidth="1"/>
    <col min="15884" max="15884" width="49.140625" style="45" customWidth="1"/>
    <col min="15885" max="15885" width="31.85546875" style="45" customWidth="1"/>
    <col min="15886" max="15886" width="39.140625" style="45" customWidth="1"/>
    <col min="15887" max="15887" width="53" style="45" bestFit="1" customWidth="1"/>
    <col min="15888" max="15888" width="33.42578125" style="45" bestFit="1" customWidth="1"/>
    <col min="15889" max="15889" width="28.140625" style="45" customWidth="1"/>
    <col min="15890" max="15894" width="6.7109375" style="45" customWidth="1"/>
    <col min="15895" max="15895" width="1.7109375" style="45" customWidth="1"/>
    <col min="15896" max="16119" width="9.140625" style="45"/>
    <col min="16120" max="16120" width="16" style="45" customWidth="1"/>
    <col min="16121" max="16121" width="27.7109375" style="45" customWidth="1"/>
    <col min="16122" max="16122" width="65.7109375" style="45" customWidth="1"/>
    <col min="16123" max="16123" width="21.85546875" style="45" bestFit="1" customWidth="1"/>
    <col min="16124" max="16124" width="30.140625" style="45" customWidth="1"/>
    <col min="16125" max="16125" width="62" style="45" customWidth="1"/>
    <col min="16126" max="16126" width="44" style="45" customWidth="1"/>
    <col min="16127" max="16127" width="43.140625" style="45" customWidth="1"/>
    <col min="16128" max="16128" width="45" style="45" customWidth="1"/>
    <col min="16129" max="16129" width="35.5703125" style="45" customWidth="1"/>
    <col min="16130" max="16130" width="37.140625" style="45" customWidth="1"/>
    <col min="16131" max="16131" width="76.7109375" style="45" customWidth="1"/>
    <col min="16132" max="16132" width="37.7109375" style="45" customWidth="1"/>
    <col min="16133" max="16133" width="37.85546875" style="45" customWidth="1"/>
    <col min="16134" max="16134" width="39.85546875" style="45" customWidth="1"/>
    <col min="16135" max="16135" width="53.140625" style="45" customWidth="1"/>
    <col min="16136" max="16136" width="35.28515625" style="45" customWidth="1"/>
    <col min="16137" max="16137" width="31" style="45" customWidth="1"/>
    <col min="16138" max="16138" width="29.140625" style="45" customWidth="1"/>
    <col min="16139" max="16139" width="30.140625" style="45" customWidth="1"/>
    <col min="16140" max="16140" width="49.140625" style="45" customWidth="1"/>
    <col min="16141" max="16141" width="31.85546875" style="45" customWidth="1"/>
    <col min="16142" max="16142" width="39.140625" style="45" customWidth="1"/>
    <col min="16143" max="16143" width="53" style="45" bestFit="1" customWidth="1"/>
    <col min="16144" max="16144" width="33.42578125" style="45" bestFit="1" customWidth="1"/>
    <col min="16145" max="16145" width="28.140625" style="45" customWidth="1"/>
    <col min="16146" max="16150" width="6.7109375" style="45" customWidth="1"/>
    <col min="16151" max="16151" width="1.7109375" style="45" customWidth="1"/>
    <col min="16152" max="16384" width="9.140625" style="45"/>
  </cols>
  <sheetData>
    <row r="1" spans="1:23" ht="30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60.75" customHeight="1" x14ac:dyDescent="0.25">
      <c r="A2" s="1"/>
      <c r="B2" s="352"/>
      <c r="C2" s="353"/>
      <c r="D2" s="353"/>
      <c r="E2" s="354"/>
      <c r="F2" s="358" t="s">
        <v>125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  <c r="S2" s="359"/>
      <c r="T2" s="359"/>
      <c r="U2" s="360"/>
      <c r="V2" s="364">
        <f>'11kV (Main)'!V2</f>
        <v>0</v>
      </c>
      <c r="W2" s="365"/>
    </row>
    <row r="3" spans="1:23" ht="65.25" customHeight="1" x14ac:dyDescent="0.25">
      <c r="A3" s="1"/>
      <c r="B3" s="355"/>
      <c r="C3" s="356"/>
      <c r="D3" s="356"/>
      <c r="E3" s="357"/>
      <c r="F3" s="361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3"/>
      <c r="V3" s="267" t="s">
        <v>0</v>
      </c>
      <c r="W3" s="146"/>
    </row>
    <row r="4" spans="1:23" ht="60.75" customHeight="1" x14ac:dyDescent="0.25">
      <c r="A4" s="1"/>
      <c r="B4" s="2"/>
      <c r="C4" s="1"/>
      <c r="D4" s="1"/>
      <c r="E4" s="1"/>
      <c r="F4" s="1"/>
      <c r="G4" s="3"/>
      <c r="H4" s="4"/>
      <c r="I4" s="3"/>
      <c r="J4" s="1"/>
      <c r="K4" s="3"/>
      <c r="L4" s="3"/>
      <c r="M4" s="1"/>
      <c r="N4" s="1"/>
      <c r="O4" s="1"/>
      <c r="P4" s="1"/>
      <c r="Q4" s="1"/>
      <c r="R4" s="3"/>
      <c r="S4" s="3"/>
      <c r="T4" s="1"/>
      <c r="U4" s="1"/>
      <c r="V4" s="268" t="s">
        <v>130</v>
      </c>
      <c r="W4" s="146"/>
    </row>
    <row r="5" spans="1:23" ht="60" customHeight="1" x14ac:dyDescent="0.25">
      <c r="A5" s="1"/>
      <c r="B5" s="5" t="s">
        <v>1</v>
      </c>
      <c r="C5" s="3"/>
      <c r="D5" s="3"/>
      <c r="E5" s="3"/>
      <c r="F5" s="3"/>
      <c r="G5" s="6"/>
      <c r="H5" s="7"/>
      <c r="I5" s="3"/>
      <c r="J5" s="4" t="s">
        <v>7</v>
      </c>
      <c r="K5" s="3"/>
      <c r="L5" s="1"/>
      <c r="M5" s="3"/>
      <c r="N5" s="3"/>
      <c r="O5" s="1"/>
      <c r="P5" s="1"/>
      <c r="Q5" s="1"/>
      <c r="R5" s="4" t="s">
        <v>3</v>
      </c>
      <c r="S5" s="1"/>
      <c r="T5" s="1"/>
      <c r="U5" s="1"/>
      <c r="V5" s="1"/>
      <c r="W5" s="8"/>
    </row>
    <row r="6" spans="1:23" ht="65.099999999999994" customHeight="1" x14ac:dyDescent="0.25">
      <c r="A6" s="1"/>
      <c r="B6" s="9" t="s">
        <v>2</v>
      </c>
      <c r="C6" s="7"/>
      <c r="D6" s="259">
        <f>'11kV (Main)'!D6</f>
        <v>0</v>
      </c>
      <c r="E6" s="6"/>
      <c r="F6" s="1"/>
      <c r="G6" s="51"/>
      <c r="H6" s="7"/>
      <c r="I6" s="1"/>
      <c r="J6" s="7" t="s">
        <v>82</v>
      </c>
      <c r="K6" s="3"/>
      <c r="L6" s="257">
        <f>'11kV (Main)'!L6</f>
        <v>0</v>
      </c>
      <c r="M6" s="256">
        <f>'11kV (Main)'!M6</f>
        <v>0</v>
      </c>
      <c r="N6" s="1"/>
      <c r="O6" s="1"/>
      <c r="P6" s="1"/>
      <c r="Q6" s="1"/>
      <c r="R6" s="3" t="s">
        <v>4</v>
      </c>
      <c r="S6" s="11"/>
      <c r="T6" s="1"/>
      <c r="U6" s="265">
        <f>'33kV (Main)'!U6</f>
        <v>0</v>
      </c>
      <c r="V6" s="1"/>
      <c r="W6" s="52"/>
    </row>
    <row r="7" spans="1:23" ht="65.099999999999994" customHeight="1" x14ac:dyDescent="0.25">
      <c r="A7" s="1"/>
      <c r="B7" s="9" t="s">
        <v>83</v>
      </c>
      <c r="C7" s="7"/>
      <c r="D7" s="259">
        <f>'11kV (Main)'!D7</f>
        <v>0</v>
      </c>
      <c r="E7" s="51"/>
      <c r="F7" s="1"/>
      <c r="G7" s="1"/>
      <c r="H7" s="7"/>
      <c r="I7" s="1"/>
      <c r="J7" s="7" t="s">
        <v>9</v>
      </c>
      <c r="K7" s="1"/>
      <c r="L7" s="258">
        <f>'11kV (Main)'!L7</f>
        <v>0</v>
      </c>
      <c r="M7" s="272"/>
      <c r="N7" s="1"/>
      <c r="O7" s="1"/>
      <c r="P7" s="1"/>
      <c r="Q7" s="1"/>
      <c r="R7" s="3" t="s">
        <v>5</v>
      </c>
      <c r="S7" s="11"/>
      <c r="T7" s="1"/>
      <c r="U7" s="266">
        <f>'33kV (Main)'!U7</f>
        <v>0</v>
      </c>
      <c r="V7" s="1"/>
      <c r="W7" s="52"/>
    </row>
    <row r="8" spans="1:23" ht="65.099999999999994" customHeight="1" x14ac:dyDescent="0.25">
      <c r="A8" s="1"/>
      <c r="B8" s="9" t="s">
        <v>84</v>
      </c>
      <c r="C8" s="7"/>
      <c r="D8" s="303">
        <f>'11kV (Main)'!D8</f>
        <v>0</v>
      </c>
      <c r="E8" s="14"/>
      <c r="F8" s="1"/>
      <c r="G8" s="1"/>
      <c r="H8" s="7"/>
      <c r="I8" s="1"/>
      <c r="J8" s="7" t="s">
        <v>10</v>
      </c>
      <c r="K8" s="1"/>
      <c r="L8" s="271">
        <f>'11kV (Main)'!L8</f>
        <v>0</v>
      </c>
      <c r="M8" s="272"/>
      <c r="N8" s="1"/>
      <c r="O8" s="1"/>
      <c r="P8" s="1"/>
      <c r="Q8" s="1"/>
      <c r="R8" s="3" t="s">
        <v>6</v>
      </c>
      <c r="S8" s="11"/>
      <c r="T8" s="1"/>
      <c r="U8" s="264">
        <f>'33kV (Main)'!U8</f>
        <v>0</v>
      </c>
      <c r="V8" s="1"/>
      <c r="W8" s="52"/>
    </row>
    <row r="9" spans="1:23" ht="65.099999999999994" customHeight="1" x14ac:dyDescent="0.25">
      <c r="A9" s="1"/>
      <c r="B9" s="12" t="s">
        <v>85</v>
      </c>
      <c r="C9" s="1"/>
      <c r="D9" s="262">
        <f>'11kV (Main)'!D9</f>
        <v>0</v>
      </c>
      <c r="E9" s="15"/>
      <c r="F9" s="1"/>
      <c r="G9" s="3"/>
      <c r="H9" s="7"/>
      <c r="I9" s="3"/>
      <c r="J9" s="7" t="s">
        <v>86</v>
      </c>
      <c r="K9" s="1"/>
      <c r="L9" s="271">
        <f>'11kV (Main)'!L9</f>
        <v>0</v>
      </c>
      <c r="M9" s="272"/>
      <c r="N9" s="1"/>
      <c r="O9" s="1"/>
      <c r="P9" s="1"/>
      <c r="Q9" s="1"/>
      <c r="R9" s="3"/>
      <c r="S9" s="3"/>
      <c r="T9" s="1"/>
      <c r="U9" s="1"/>
      <c r="V9" s="1"/>
      <c r="W9" s="8"/>
    </row>
    <row r="10" spans="1:23" ht="65.099999999999994" customHeight="1" x14ac:dyDescent="0.25">
      <c r="A10" s="1"/>
      <c r="B10" s="48"/>
      <c r="C10" s="3"/>
      <c r="D10" s="3"/>
      <c r="E10" s="7"/>
      <c r="F10" s="1"/>
      <c r="G10" s="7"/>
      <c r="H10" s="7"/>
      <c r="I10" s="3"/>
      <c r="J10" s="7" t="s">
        <v>8</v>
      </c>
      <c r="K10" s="3"/>
      <c r="L10" s="260">
        <f>'11kV (Main)'!L10</f>
        <v>0</v>
      </c>
      <c r="M10" s="270"/>
      <c r="N10" s="1"/>
      <c r="O10" s="1"/>
      <c r="P10" s="1"/>
      <c r="Q10" s="1"/>
      <c r="R10" s="3"/>
      <c r="S10" s="1"/>
      <c r="T10" s="1"/>
      <c r="U10" s="1"/>
      <c r="V10" s="1"/>
      <c r="W10" s="8"/>
    </row>
    <row r="11" spans="1:23" ht="65.099999999999994" customHeight="1" x14ac:dyDescent="0.25">
      <c r="A11" s="1"/>
      <c r="B11" s="9"/>
      <c r="C11" s="3"/>
      <c r="D11" s="1"/>
      <c r="E11" s="32"/>
      <c r="F11" s="47"/>
      <c r="G11" s="1"/>
      <c r="H11" s="7"/>
      <c r="I11" s="3"/>
      <c r="J11" s="7" t="s">
        <v>19</v>
      </c>
      <c r="K11" s="3"/>
      <c r="L11" s="259">
        <f>'11kV (Main)'!L11</f>
        <v>0</v>
      </c>
      <c r="M11" s="270"/>
      <c r="N11" s="3"/>
      <c r="O11" s="1"/>
      <c r="P11" s="3"/>
      <c r="Q11" s="1"/>
      <c r="R11" s="1"/>
      <c r="S11" s="7"/>
      <c r="T11" s="7"/>
      <c r="U11" s="7"/>
      <c r="V11" s="1"/>
      <c r="W11" s="8"/>
    </row>
    <row r="12" spans="1:23" ht="12.75" customHeight="1" x14ac:dyDescent="0.25">
      <c r="A12" s="1"/>
      <c r="B12" s="54"/>
      <c r="C12" s="3"/>
      <c r="D12" s="1"/>
      <c r="E12" s="32"/>
      <c r="F12" s="47"/>
      <c r="G12" s="1"/>
      <c r="H12" s="7"/>
      <c r="I12" s="3"/>
      <c r="J12" s="7"/>
      <c r="K12" s="3"/>
      <c r="L12" s="32"/>
      <c r="M12" s="32"/>
      <c r="N12" s="7"/>
      <c r="O12" s="3"/>
      <c r="P12" s="3"/>
      <c r="Q12" s="1"/>
      <c r="R12" s="1"/>
      <c r="S12" s="7"/>
      <c r="T12" s="7"/>
      <c r="U12" s="7"/>
      <c r="V12" s="1"/>
      <c r="W12" s="8"/>
    </row>
    <row r="13" spans="1:23" ht="59.25" customHeight="1" x14ac:dyDescent="0.25">
      <c r="A13" s="1"/>
      <c r="B13" s="366" t="s">
        <v>114</v>
      </c>
      <c r="C13" s="351" t="s">
        <v>115</v>
      </c>
      <c r="D13" s="351" t="s">
        <v>116</v>
      </c>
      <c r="E13" s="351" t="s">
        <v>113</v>
      </c>
      <c r="F13" s="351" t="s">
        <v>87</v>
      </c>
      <c r="G13" s="351" t="s">
        <v>88</v>
      </c>
      <c r="H13" s="351" t="s">
        <v>89</v>
      </c>
      <c r="I13" s="351" t="s">
        <v>117</v>
      </c>
      <c r="J13" s="351" t="s">
        <v>118</v>
      </c>
      <c r="K13" s="351" t="s">
        <v>119</v>
      </c>
      <c r="L13" s="372" t="s">
        <v>31</v>
      </c>
      <c r="M13" s="372"/>
      <c r="N13" s="372"/>
      <c r="O13" s="372"/>
      <c r="P13" s="372"/>
      <c r="Q13" s="372"/>
      <c r="R13" s="373" t="s">
        <v>11</v>
      </c>
      <c r="S13" s="373"/>
      <c r="T13" s="367" t="s">
        <v>12</v>
      </c>
      <c r="U13" s="368"/>
      <c r="V13" s="368"/>
      <c r="W13" s="369"/>
    </row>
    <row r="14" spans="1:23" ht="103.5" customHeight="1" x14ac:dyDescent="0.25">
      <c r="A14" s="1"/>
      <c r="B14" s="366"/>
      <c r="C14" s="351"/>
      <c r="D14" s="351"/>
      <c r="E14" s="351"/>
      <c r="F14" s="351"/>
      <c r="G14" s="351"/>
      <c r="H14" s="351"/>
      <c r="I14" s="351"/>
      <c r="J14" s="351"/>
      <c r="K14" s="351"/>
      <c r="L14" s="123" t="s">
        <v>90</v>
      </c>
      <c r="M14" s="123" t="s">
        <v>91</v>
      </c>
      <c r="N14" s="123" t="s">
        <v>92</v>
      </c>
      <c r="O14" s="123" t="s">
        <v>93</v>
      </c>
      <c r="P14" s="123" t="s">
        <v>94</v>
      </c>
      <c r="Q14" s="128" t="s">
        <v>95</v>
      </c>
      <c r="R14" s="123" t="s">
        <v>14</v>
      </c>
      <c r="S14" s="123" t="s">
        <v>15</v>
      </c>
      <c r="T14" s="123" t="s">
        <v>16</v>
      </c>
      <c r="U14" s="123" t="s">
        <v>96</v>
      </c>
      <c r="V14" s="370" t="s">
        <v>95</v>
      </c>
      <c r="W14" s="371"/>
    </row>
    <row r="15" spans="1:23" ht="69.95" customHeight="1" x14ac:dyDescent="0.25">
      <c r="A15" s="1"/>
      <c r="B15" s="332">
        <v>17</v>
      </c>
      <c r="C15" s="332"/>
      <c r="D15" s="339"/>
      <c r="E15" s="332"/>
      <c r="F15" s="348"/>
      <c r="G15" s="348"/>
      <c r="H15" s="348"/>
      <c r="I15" s="348"/>
      <c r="J15" s="132" t="s">
        <v>97</v>
      </c>
      <c r="K15" s="131" t="s">
        <v>98</v>
      </c>
      <c r="L15" s="145"/>
      <c r="M15" s="145"/>
      <c r="N15" s="145" t="str">
        <f>IF(M15="","",M15-L15)</f>
        <v/>
      </c>
      <c r="O15" s="145" t="str">
        <f t="shared" ref="O15:O62" si="0">IF(M15="","",((L15+M15)/2))</f>
        <v/>
      </c>
      <c r="P15" s="16"/>
      <c r="Q15" s="130"/>
      <c r="R15" s="124"/>
      <c r="S15" s="123" t="str">
        <f>IF(R15&lt;&gt;"", 0, "")</f>
        <v/>
      </c>
      <c r="T15" s="124"/>
      <c r="U15" s="123"/>
      <c r="V15" s="291"/>
      <c r="W15" s="292"/>
    </row>
    <row r="16" spans="1:23" ht="69.95" customHeight="1" x14ac:dyDescent="0.25">
      <c r="A16" s="1"/>
      <c r="B16" s="333"/>
      <c r="C16" s="333"/>
      <c r="D16" s="342"/>
      <c r="E16" s="333"/>
      <c r="F16" s="349"/>
      <c r="G16" s="349"/>
      <c r="H16" s="349"/>
      <c r="I16" s="349"/>
      <c r="J16" s="124"/>
      <c r="K16" s="131" t="s">
        <v>99</v>
      </c>
      <c r="L16" s="145"/>
      <c r="M16" s="304"/>
      <c r="N16" s="145" t="str">
        <f t="shared" ref="N16:N62" si="1">IF(M16="","",M16-L16)</f>
        <v/>
      </c>
      <c r="O16" s="145" t="str">
        <f t="shared" si="0"/>
        <v/>
      </c>
      <c r="P16" s="16"/>
      <c r="Q16" s="148"/>
      <c r="R16" s="124"/>
      <c r="S16" s="123" t="str">
        <f>IF(R16&lt;&gt;"", 0, "")</f>
        <v/>
      </c>
      <c r="T16" s="124"/>
      <c r="U16" s="123"/>
      <c r="V16" s="293"/>
      <c r="W16" s="62"/>
    </row>
    <row r="17" spans="1:23" ht="69.95" customHeight="1" x14ac:dyDescent="0.25">
      <c r="A17" s="1"/>
      <c r="B17" s="333"/>
      <c r="C17" s="333"/>
      <c r="D17" s="342"/>
      <c r="E17" s="333"/>
      <c r="F17" s="349"/>
      <c r="G17" s="349"/>
      <c r="H17" s="349"/>
      <c r="I17" s="349"/>
      <c r="J17" s="132" t="s">
        <v>100</v>
      </c>
      <c r="K17" s="131" t="s">
        <v>101</v>
      </c>
      <c r="L17" s="145"/>
      <c r="M17" s="304"/>
      <c r="N17" s="145" t="str">
        <f t="shared" si="1"/>
        <v/>
      </c>
      <c r="O17" s="145" t="str">
        <f t="shared" si="0"/>
        <v/>
      </c>
      <c r="P17" s="16"/>
      <c r="Q17" s="148"/>
      <c r="R17" s="31"/>
      <c r="S17" s="129"/>
      <c r="T17" s="124"/>
      <c r="U17" s="123"/>
      <c r="V17" s="293"/>
      <c r="W17" s="62"/>
    </row>
    <row r="18" spans="1:23" ht="69.95" customHeight="1" x14ac:dyDescent="0.25">
      <c r="A18" s="1"/>
      <c r="B18" s="333"/>
      <c r="C18" s="333"/>
      <c r="D18" s="342"/>
      <c r="E18" s="333"/>
      <c r="F18" s="349"/>
      <c r="G18" s="349"/>
      <c r="H18" s="349"/>
      <c r="I18" s="349"/>
      <c r="J18" s="124" t="str">
        <f>IF(J16="","","0.0")</f>
        <v/>
      </c>
      <c r="K18" s="131" t="s">
        <v>102</v>
      </c>
      <c r="L18" s="145"/>
      <c r="M18" s="304"/>
      <c r="N18" s="145" t="str">
        <f t="shared" si="1"/>
        <v/>
      </c>
      <c r="O18" s="145" t="str">
        <f t="shared" si="0"/>
        <v/>
      </c>
      <c r="P18" s="16"/>
      <c r="Q18" s="148"/>
      <c r="R18" s="124"/>
      <c r="S18" s="123" t="str">
        <f>IF(R18&lt;&gt;"", 0, "")</f>
        <v/>
      </c>
      <c r="T18" s="124"/>
      <c r="U18" s="123"/>
      <c r="V18" s="293"/>
      <c r="W18" s="62"/>
    </row>
    <row r="19" spans="1:23" ht="69.95" customHeight="1" x14ac:dyDescent="0.25">
      <c r="A19" s="1"/>
      <c r="B19" s="333"/>
      <c r="C19" s="333"/>
      <c r="D19" s="342"/>
      <c r="E19" s="333"/>
      <c r="F19" s="349"/>
      <c r="G19" s="349"/>
      <c r="H19" s="349"/>
      <c r="I19" s="349"/>
      <c r="J19" s="43"/>
      <c r="K19" s="131" t="s">
        <v>111</v>
      </c>
      <c r="L19" s="145"/>
      <c r="M19" s="304"/>
      <c r="N19" s="145" t="str">
        <f t="shared" si="1"/>
        <v/>
      </c>
      <c r="O19" s="145" t="str">
        <f t="shared" si="0"/>
        <v/>
      </c>
      <c r="P19" s="16"/>
      <c r="Q19" s="148"/>
      <c r="R19" s="31"/>
      <c r="S19" s="129"/>
      <c r="T19" s="124"/>
      <c r="U19" s="123"/>
      <c r="V19" s="293"/>
      <c r="W19" s="62"/>
    </row>
    <row r="20" spans="1:23" ht="69.95" customHeight="1" x14ac:dyDescent="0.25">
      <c r="A20" s="1"/>
      <c r="B20" s="334"/>
      <c r="C20" s="334"/>
      <c r="D20" s="345"/>
      <c r="E20" s="334"/>
      <c r="F20" s="350"/>
      <c r="G20" s="350"/>
      <c r="H20" s="350"/>
      <c r="I20" s="350"/>
      <c r="J20" s="43"/>
      <c r="K20" s="131" t="s">
        <v>112</v>
      </c>
      <c r="L20" s="145"/>
      <c r="M20" s="145"/>
      <c r="N20" s="145" t="str">
        <f t="shared" si="1"/>
        <v/>
      </c>
      <c r="O20" s="145" t="str">
        <f t="shared" si="0"/>
        <v/>
      </c>
      <c r="P20" s="16"/>
      <c r="Q20" s="149"/>
      <c r="R20" s="31"/>
      <c r="S20" s="129"/>
      <c r="T20" s="124"/>
      <c r="U20" s="123"/>
      <c r="V20" s="294"/>
      <c r="W20" s="295"/>
    </row>
    <row r="21" spans="1:23" ht="69.95" customHeight="1" x14ac:dyDescent="0.25">
      <c r="A21" s="1"/>
      <c r="B21" s="332">
        <v>18</v>
      </c>
      <c r="C21" s="332"/>
      <c r="D21" s="339"/>
      <c r="E21" s="332"/>
      <c r="F21" s="348"/>
      <c r="G21" s="348"/>
      <c r="H21" s="348"/>
      <c r="I21" s="348"/>
      <c r="J21" s="132" t="s">
        <v>97</v>
      </c>
      <c r="K21" s="131" t="s">
        <v>98</v>
      </c>
      <c r="L21" s="145"/>
      <c r="M21" s="145"/>
      <c r="N21" s="145" t="str">
        <f t="shared" si="1"/>
        <v/>
      </c>
      <c r="O21" s="145" t="str">
        <f t="shared" si="0"/>
        <v/>
      </c>
      <c r="P21" s="16"/>
      <c r="Q21" s="153"/>
      <c r="R21" s="124"/>
      <c r="S21" s="123" t="str">
        <f t="shared" ref="S21:S22" si="2">IF(R21&lt;&gt;"", 0, "")</f>
        <v/>
      </c>
      <c r="T21" s="124"/>
      <c r="U21" s="123"/>
      <c r="V21" s="291"/>
      <c r="W21" s="292"/>
    </row>
    <row r="22" spans="1:23" ht="69.95" customHeight="1" x14ac:dyDescent="0.25">
      <c r="A22" s="1"/>
      <c r="B22" s="333"/>
      <c r="C22" s="333"/>
      <c r="D22" s="342"/>
      <c r="E22" s="333"/>
      <c r="F22" s="349"/>
      <c r="G22" s="349"/>
      <c r="H22" s="349"/>
      <c r="I22" s="349"/>
      <c r="J22" s="124"/>
      <c r="K22" s="131" t="s">
        <v>99</v>
      </c>
      <c r="L22" s="145"/>
      <c r="M22" s="304"/>
      <c r="N22" s="145" t="str">
        <f t="shared" si="1"/>
        <v/>
      </c>
      <c r="O22" s="145" t="str">
        <f t="shared" si="0"/>
        <v/>
      </c>
      <c r="P22" s="16"/>
      <c r="Q22" s="154"/>
      <c r="R22" s="124"/>
      <c r="S22" s="123" t="str">
        <f t="shared" si="2"/>
        <v/>
      </c>
      <c r="T22" s="124"/>
      <c r="U22" s="123"/>
      <c r="V22" s="293"/>
      <c r="W22" s="62"/>
    </row>
    <row r="23" spans="1:23" ht="69.95" customHeight="1" x14ac:dyDescent="0.25">
      <c r="A23" s="1"/>
      <c r="B23" s="333"/>
      <c r="C23" s="333"/>
      <c r="D23" s="342"/>
      <c r="E23" s="333"/>
      <c r="F23" s="349"/>
      <c r="G23" s="349"/>
      <c r="H23" s="349"/>
      <c r="I23" s="349"/>
      <c r="J23" s="132" t="s">
        <v>100</v>
      </c>
      <c r="K23" s="131" t="s">
        <v>101</v>
      </c>
      <c r="L23" s="145"/>
      <c r="M23" s="304"/>
      <c r="N23" s="145" t="str">
        <f t="shared" si="1"/>
        <v/>
      </c>
      <c r="O23" s="145" t="str">
        <f t="shared" si="0"/>
        <v/>
      </c>
      <c r="P23" s="16"/>
      <c r="Q23" s="154"/>
      <c r="R23" s="31"/>
      <c r="S23" s="129"/>
      <c r="T23" s="124"/>
      <c r="U23" s="123"/>
      <c r="V23" s="293"/>
      <c r="W23" s="62"/>
    </row>
    <row r="24" spans="1:23" ht="69.95" customHeight="1" x14ac:dyDescent="0.25">
      <c r="A24" s="1"/>
      <c r="B24" s="333"/>
      <c r="C24" s="333"/>
      <c r="D24" s="342"/>
      <c r="E24" s="333"/>
      <c r="F24" s="349"/>
      <c r="G24" s="349"/>
      <c r="H24" s="349"/>
      <c r="I24" s="349"/>
      <c r="J24" s="124" t="str">
        <f>IF(J22="","","0.0")</f>
        <v/>
      </c>
      <c r="K24" s="131" t="s">
        <v>102</v>
      </c>
      <c r="L24" s="145"/>
      <c r="M24" s="304"/>
      <c r="N24" s="145" t="str">
        <f t="shared" si="1"/>
        <v/>
      </c>
      <c r="O24" s="145" t="str">
        <f t="shared" si="0"/>
        <v/>
      </c>
      <c r="P24" s="16"/>
      <c r="Q24" s="154"/>
      <c r="R24" s="124"/>
      <c r="S24" s="123" t="str">
        <f>IF(R24&lt;&gt;"", 0, "")</f>
        <v/>
      </c>
      <c r="T24" s="124"/>
      <c r="U24" s="123"/>
      <c r="V24" s="293"/>
      <c r="W24" s="62"/>
    </row>
    <row r="25" spans="1:23" ht="69.95" customHeight="1" x14ac:dyDescent="0.25">
      <c r="A25" s="1"/>
      <c r="B25" s="333"/>
      <c r="C25" s="333"/>
      <c r="D25" s="342"/>
      <c r="E25" s="333"/>
      <c r="F25" s="349"/>
      <c r="G25" s="349"/>
      <c r="H25" s="349"/>
      <c r="I25" s="349"/>
      <c r="J25" s="43"/>
      <c r="K25" s="131" t="s">
        <v>111</v>
      </c>
      <c r="L25" s="145"/>
      <c r="M25" s="304"/>
      <c r="N25" s="145" t="str">
        <f t="shared" si="1"/>
        <v/>
      </c>
      <c r="O25" s="145" t="str">
        <f t="shared" si="0"/>
        <v/>
      </c>
      <c r="P25" s="16"/>
      <c r="Q25" s="154"/>
      <c r="R25" s="31"/>
      <c r="S25" s="129"/>
      <c r="T25" s="124"/>
      <c r="U25" s="123"/>
      <c r="V25" s="293"/>
      <c r="W25" s="62"/>
    </row>
    <row r="26" spans="1:23" ht="69.95" customHeight="1" x14ac:dyDescent="0.25">
      <c r="A26" s="1"/>
      <c r="B26" s="334"/>
      <c r="C26" s="334"/>
      <c r="D26" s="345"/>
      <c r="E26" s="334"/>
      <c r="F26" s="350"/>
      <c r="G26" s="350"/>
      <c r="H26" s="350"/>
      <c r="I26" s="350"/>
      <c r="J26" s="43"/>
      <c r="K26" s="131" t="s">
        <v>112</v>
      </c>
      <c r="L26" s="145"/>
      <c r="M26" s="145"/>
      <c r="N26" s="145" t="str">
        <f t="shared" si="1"/>
        <v/>
      </c>
      <c r="O26" s="145" t="str">
        <f t="shared" si="0"/>
        <v/>
      </c>
      <c r="P26" s="16"/>
      <c r="Q26" s="155"/>
      <c r="R26" s="31"/>
      <c r="S26" s="129"/>
      <c r="T26" s="124"/>
      <c r="U26" s="123"/>
      <c r="V26" s="294"/>
      <c r="W26" s="295"/>
    </row>
    <row r="27" spans="1:23" ht="69.95" customHeight="1" x14ac:dyDescent="0.25">
      <c r="A27" s="1"/>
      <c r="B27" s="332">
        <v>19</v>
      </c>
      <c r="C27" s="332"/>
      <c r="D27" s="339"/>
      <c r="E27" s="332"/>
      <c r="F27" s="348"/>
      <c r="G27" s="348"/>
      <c r="H27" s="348"/>
      <c r="I27" s="348"/>
      <c r="J27" s="132" t="s">
        <v>97</v>
      </c>
      <c r="K27" s="131" t="s">
        <v>98</v>
      </c>
      <c r="L27" s="145"/>
      <c r="M27" s="145"/>
      <c r="N27" s="145" t="str">
        <f t="shared" si="1"/>
        <v/>
      </c>
      <c r="O27" s="145" t="str">
        <f t="shared" si="0"/>
        <v/>
      </c>
      <c r="P27" s="16"/>
      <c r="Q27" s="153"/>
      <c r="R27" s="124"/>
      <c r="S27" s="123" t="str">
        <f t="shared" ref="S27:S28" si="3">IF(R27&lt;&gt;"", 0, "")</f>
        <v/>
      </c>
      <c r="T27" s="124"/>
      <c r="U27" s="123"/>
      <c r="V27" s="291"/>
      <c r="W27" s="292"/>
    </row>
    <row r="28" spans="1:23" ht="69.95" customHeight="1" x14ac:dyDescent="0.25">
      <c r="A28" s="1"/>
      <c r="B28" s="333"/>
      <c r="C28" s="333"/>
      <c r="D28" s="342"/>
      <c r="E28" s="333"/>
      <c r="F28" s="349"/>
      <c r="G28" s="349"/>
      <c r="H28" s="349"/>
      <c r="I28" s="349"/>
      <c r="J28" s="124"/>
      <c r="K28" s="131" t="s">
        <v>99</v>
      </c>
      <c r="L28" s="145"/>
      <c r="M28" s="304"/>
      <c r="N28" s="145" t="str">
        <f t="shared" si="1"/>
        <v/>
      </c>
      <c r="O28" s="145" t="str">
        <f t="shared" si="0"/>
        <v/>
      </c>
      <c r="P28" s="16"/>
      <c r="Q28" s="154"/>
      <c r="R28" s="124"/>
      <c r="S28" s="123" t="str">
        <f t="shared" si="3"/>
        <v/>
      </c>
      <c r="T28" s="124"/>
      <c r="U28" s="123"/>
      <c r="V28" s="293"/>
      <c r="W28" s="62"/>
    </row>
    <row r="29" spans="1:23" ht="69.95" customHeight="1" x14ac:dyDescent="0.25">
      <c r="A29" s="1"/>
      <c r="B29" s="333"/>
      <c r="C29" s="333"/>
      <c r="D29" s="342"/>
      <c r="E29" s="333"/>
      <c r="F29" s="349"/>
      <c r="G29" s="349"/>
      <c r="H29" s="349"/>
      <c r="I29" s="349"/>
      <c r="J29" s="132" t="s">
        <v>100</v>
      </c>
      <c r="K29" s="131" t="s">
        <v>101</v>
      </c>
      <c r="L29" s="145"/>
      <c r="M29" s="304"/>
      <c r="N29" s="145" t="str">
        <f t="shared" si="1"/>
        <v/>
      </c>
      <c r="O29" s="145" t="str">
        <f t="shared" si="0"/>
        <v/>
      </c>
      <c r="P29" s="16"/>
      <c r="Q29" s="154"/>
      <c r="R29" s="31"/>
      <c r="S29" s="129"/>
      <c r="T29" s="124"/>
      <c r="U29" s="123"/>
      <c r="V29" s="293"/>
      <c r="W29" s="62"/>
    </row>
    <row r="30" spans="1:23" ht="69.95" customHeight="1" x14ac:dyDescent="0.25">
      <c r="A30" s="1"/>
      <c r="B30" s="333"/>
      <c r="C30" s="333"/>
      <c r="D30" s="342"/>
      <c r="E30" s="333"/>
      <c r="F30" s="349"/>
      <c r="G30" s="349"/>
      <c r="H30" s="349"/>
      <c r="I30" s="349"/>
      <c r="J30" s="124" t="str">
        <f>IF(J28="","","0.0")</f>
        <v/>
      </c>
      <c r="K30" s="131" t="s">
        <v>102</v>
      </c>
      <c r="L30" s="145"/>
      <c r="M30" s="304"/>
      <c r="N30" s="145" t="str">
        <f t="shared" si="1"/>
        <v/>
      </c>
      <c r="O30" s="145" t="str">
        <f t="shared" si="0"/>
        <v/>
      </c>
      <c r="P30" s="16"/>
      <c r="Q30" s="154"/>
      <c r="R30" s="124"/>
      <c r="S30" s="123" t="str">
        <f>IF(R30&lt;&gt;"", 0, "")</f>
        <v/>
      </c>
      <c r="T30" s="124"/>
      <c r="U30" s="123"/>
      <c r="V30" s="293"/>
      <c r="W30" s="62"/>
    </row>
    <row r="31" spans="1:23" ht="69.95" customHeight="1" x14ac:dyDescent="0.25">
      <c r="A31" s="1"/>
      <c r="B31" s="333"/>
      <c r="C31" s="333"/>
      <c r="D31" s="342"/>
      <c r="E31" s="333"/>
      <c r="F31" s="349"/>
      <c r="G31" s="349"/>
      <c r="H31" s="349"/>
      <c r="I31" s="349"/>
      <c r="J31" s="43"/>
      <c r="K31" s="131" t="s">
        <v>111</v>
      </c>
      <c r="L31" s="145"/>
      <c r="M31" s="304"/>
      <c r="N31" s="145" t="str">
        <f t="shared" si="1"/>
        <v/>
      </c>
      <c r="O31" s="145" t="str">
        <f t="shared" si="0"/>
        <v/>
      </c>
      <c r="P31" s="16"/>
      <c r="Q31" s="154"/>
      <c r="R31" s="31"/>
      <c r="S31" s="129"/>
      <c r="T31" s="124"/>
      <c r="U31" s="123"/>
      <c r="V31" s="293"/>
      <c r="W31" s="62"/>
    </row>
    <row r="32" spans="1:23" ht="69.95" customHeight="1" x14ac:dyDescent="0.25">
      <c r="A32" s="1"/>
      <c r="B32" s="334"/>
      <c r="C32" s="334"/>
      <c r="D32" s="345"/>
      <c r="E32" s="334"/>
      <c r="F32" s="350"/>
      <c r="G32" s="350"/>
      <c r="H32" s="350"/>
      <c r="I32" s="350"/>
      <c r="J32" s="43"/>
      <c r="K32" s="131" t="s">
        <v>112</v>
      </c>
      <c r="L32" s="145"/>
      <c r="M32" s="145"/>
      <c r="N32" s="145" t="str">
        <f t="shared" si="1"/>
        <v/>
      </c>
      <c r="O32" s="145" t="str">
        <f t="shared" si="0"/>
        <v/>
      </c>
      <c r="P32" s="16"/>
      <c r="Q32" s="155"/>
      <c r="R32" s="31"/>
      <c r="S32" s="129"/>
      <c r="T32" s="124"/>
      <c r="U32" s="123"/>
      <c r="V32" s="294"/>
      <c r="W32" s="295"/>
    </row>
    <row r="33" spans="1:23" ht="69.95" customHeight="1" x14ac:dyDescent="0.25">
      <c r="A33" s="1"/>
      <c r="B33" s="332">
        <v>20</v>
      </c>
      <c r="C33" s="332"/>
      <c r="D33" s="339"/>
      <c r="E33" s="332"/>
      <c r="F33" s="348"/>
      <c r="G33" s="348"/>
      <c r="H33" s="348"/>
      <c r="I33" s="348"/>
      <c r="J33" s="132" t="s">
        <v>97</v>
      </c>
      <c r="K33" s="131" t="s">
        <v>98</v>
      </c>
      <c r="L33" s="145"/>
      <c r="M33" s="145"/>
      <c r="N33" s="145" t="str">
        <f t="shared" si="1"/>
        <v/>
      </c>
      <c r="O33" s="145" t="str">
        <f t="shared" si="0"/>
        <v/>
      </c>
      <c r="P33" s="16"/>
      <c r="Q33" s="153"/>
      <c r="R33" s="124"/>
      <c r="S33" s="123" t="str">
        <f t="shared" ref="S33:S34" si="4">IF(R33&lt;&gt;"", 0, "")</f>
        <v/>
      </c>
      <c r="T33" s="124"/>
      <c r="U33" s="123"/>
      <c r="V33" s="291"/>
      <c r="W33" s="292"/>
    </row>
    <row r="34" spans="1:23" ht="69.95" customHeight="1" x14ac:dyDescent="0.25">
      <c r="A34" s="1"/>
      <c r="B34" s="333"/>
      <c r="C34" s="333"/>
      <c r="D34" s="342"/>
      <c r="E34" s="333"/>
      <c r="F34" s="349"/>
      <c r="G34" s="349"/>
      <c r="H34" s="349"/>
      <c r="I34" s="349"/>
      <c r="J34" s="124"/>
      <c r="K34" s="131" t="s">
        <v>99</v>
      </c>
      <c r="L34" s="145"/>
      <c r="M34" s="304"/>
      <c r="N34" s="145" t="str">
        <f t="shared" si="1"/>
        <v/>
      </c>
      <c r="O34" s="145" t="str">
        <f t="shared" si="0"/>
        <v/>
      </c>
      <c r="P34" s="16"/>
      <c r="Q34" s="154"/>
      <c r="R34" s="124"/>
      <c r="S34" s="123" t="str">
        <f t="shared" si="4"/>
        <v/>
      </c>
      <c r="T34" s="124"/>
      <c r="U34" s="123"/>
      <c r="V34" s="293"/>
      <c r="W34" s="62"/>
    </row>
    <row r="35" spans="1:23" ht="69.95" customHeight="1" x14ac:dyDescent="0.25">
      <c r="A35" s="1"/>
      <c r="B35" s="333"/>
      <c r="C35" s="333"/>
      <c r="D35" s="342"/>
      <c r="E35" s="333"/>
      <c r="F35" s="349"/>
      <c r="G35" s="349"/>
      <c r="H35" s="349"/>
      <c r="I35" s="349"/>
      <c r="J35" s="132" t="s">
        <v>100</v>
      </c>
      <c r="K35" s="131" t="s">
        <v>101</v>
      </c>
      <c r="L35" s="145"/>
      <c r="M35" s="304"/>
      <c r="N35" s="145" t="str">
        <f t="shared" si="1"/>
        <v/>
      </c>
      <c r="O35" s="145" t="str">
        <f t="shared" si="0"/>
        <v/>
      </c>
      <c r="P35" s="16"/>
      <c r="Q35" s="154"/>
      <c r="R35" s="31"/>
      <c r="S35" s="129"/>
      <c r="T35" s="124"/>
      <c r="U35" s="123"/>
      <c r="V35" s="293"/>
      <c r="W35" s="62"/>
    </row>
    <row r="36" spans="1:23" ht="69.95" customHeight="1" x14ac:dyDescent="0.25">
      <c r="A36" s="1"/>
      <c r="B36" s="333"/>
      <c r="C36" s="333"/>
      <c r="D36" s="342"/>
      <c r="E36" s="333"/>
      <c r="F36" s="349"/>
      <c r="G36" s="349"/>
      <c r="H36" s="349"/>
      <c r="I36" s="349"/>
      <c r="J36" s="124" t="str">
        <f>IF(J34="","","0.0")</f>
        <v/>
      </c>
      <c r="K36" s="131" t="s">
        <v>102</v>
      </c>
      <c r="L36" s="145"/>
      <c r="M36" s="304"/>
      <c r="N36" s="145" t="str">
        <f t="shared" si="1"/>
        <v/>
      </c>
      <c r="O36" s="145" t="str">
        <f t="shared" si="0"/>
        <v/>
      </c>
      <c r="P36" s="16"/>
      <c r="Q36" s="154"/>
      <c r="R36" s="124"/>
      <c r="S36" s="123" t="str">
        <f>IF(R36&lt;&gt;"", 0, "")</f>
        <v/>
      </c>
      <c r="T36" s="124"/>
      <c r="U36" s="123"/>
      <c r="V36" s="293"/>
      <c r="W36" s="62"/>
    </row>
    <row r="37" spans="1:23" ht="69.95" customHeight="1" x14ac:dyDescent="0.25">
      <c r="A37" s="1"/>
      <c r="B37" s="333"/>
      <c r="C37" s="333"/>
      <c r="D37" s="342"/>
      <c r="E37" s="333"/>
      <c r="F37" s="349"/>
      <c r="G37" s="349"/>
      <c r="H37" s="349"/>
      <c r="I37" s="349"/>
      <c r="J37" s="43"/>
      <c r="K37" s="131" t="s">
        <v>111</v>
      </c>
      <c r="L37" s="145"/>
      <c r="M37" s="304"/>
      <c r="N37" s="145" t="str">
        <f t="shared" si="1"/>
        <v/>
      </c>
      <c r="O37" s="145" t="str">
        <f t="shared" si="0"/>
        <v/>
      </c>
      <c r="P37" s="16"/>
      <c r="Q37" s="154"/>
      <c r="R37" s="31"/>
      <c r="S37" s="129"/>
      <c r="T37" s="124"/>
      <c r="U37" s="123"/>
      <c r="V37" s="293"/>
      <c r="W37" s="62"/>
    </row>
    <row r="38" spans="1:23" ht="69.95" customHeight="1" x14ac:dyDescent="0.25">
      <c r="A38" s="1"/>
      <c r="B38" s="334"/>
      <c r="C38" s="334"/>
      <c r="D38" s="345"/>
      <c r="E38" s="334"/>
      <c r="F38" s="350"/>
      <c r="G38" s="350"/>
      <c r="H38" s="350"/>
      <c r="I38" s="350"/>
      <c r="J38" s="43"/>
      <c r="K38" s="131" t="s">
        <v>112</v>
      </c>
      <c r="L38" s="145"/>
      <c r="M38" s="145"/>
      <c r="N38" s="145" t="str">
        <f t="shared" si="1"/>
        <v/>
      </c>
      <c r="O38" s="145" t="str">
        <f t="shared" si="0"/>
        <v/>
      </c>
      <c r="P38" s="16"/>
      <c r="Q38" s="155"/>
      <c r="R38" s="31"/>
      <c r="S38" s="129"/>
      <c r="T38" s="124"/>
      <c r="U38" s="123"/>
      <c r="V38" s="294"/>
      <c r="W38" s="295"/>
    </row>
    <row r="39" spans="1:23" ht="69.95" customHeight="1" x14ac:dyDescent="0.25">
      <c r="A39" s="1"/>
      <c r="B39" s="332">
        <v>21</v>
      </c>
      <c r="C39" s="332"/>
      <c r="D39" s="339"/>
      <c r="E39" s="332"/>
      <c r="F39" s="348"/>
      <c r="G39" s="348"/>
      <c r="H39" s="348"/>
      <c r="I39" s="348"/>
      <c r="J39" s="132" t="s">
        <v>97</v>
      </c>
      <c r="K39" s="131" t="s">
        <v>98</v>
      </c>
      <c r="L39" s="145"/>
      <c r="M39" s="145"/>
      <c r="N39" s="145" t="str">
        <f t="shared" si="1"/>
        <v/>
      </c>
      <c r="O39" s="145" t="str">
        <f t="shared" si="0"/>
        <v/>
      </c>
      <c r="P39" s="16"/>
      <c r="Q39" s="153"/>
      <c r="R39" s="124"/>
      <c r="S39" s="123" t="str">
        <f t="shared" ref="S39:S40" si="5">IF(R39&lt;&gt;"", 0, "")</f>
        <v/>
      </c>
      <c r="T39" s="124"/>
      <c r="U39" s="123"/>
      <c r="V39" s="291"/>
      <c r="W39" s="292"/>
    </row>
    <row r="40" spans="1:23" ht="69.95" customHeight="1" x14ac:dyDescent="0.25">
      <c r="A40" s="1"/>
      <c r="B40" s="333"/>
      <c r="C40" s="333"/>
      <c r="D40" s="342"/>
      <c r="E40" s="333"/>
      <c r="F40" s="349"/>
      <c r="G40" s="349"/>
      <c r="H40" s="349"/>
      <c r="I40" s="349"/>
      <c r="J40" s="124"/>
      <c r="K40" s="131" t="s">
        <v>99</v>
      </c>
      <c r="L40" s="145"/>
      <c r="M40" s="304"/>
      <c r="N40" s="145" t="str">
        <f t="shared" si="1"/>
        <v/>
      </c>
      <c r="O40" s="145" t="str">
        <f t="shared" si="0"/>
        <v/>
      </c>
      <c r="P40" s="16"/>
      <c r="Q40" s="154"/>
      <c r="R40" s="124"/>
      <c r="S40" s="123" t="str">
        <f t="shared" si="5"/>
        <v/>
      </c>
      <c r="T40" s="124"/>
      <c r="U40" s="123"/>
      <c r="V40" s="293"/>
      <c r="W40" s="62"/>
    </row>
    <row r="41" spans="1:23" ht="69.95" customHeight="1" x14ac:dyDescent="0.25">
      <c r="A41" s="1"/>
      <c r="B41" s="333"/>
      <c r="C41" s="333"/>
      <c r="D41" s="342"/>
      <c r="E41" s="333"/>
      <c r="F41" s="349"/>
      <c r="G41" s="349"/>
      <c r="H41" s="349"/>
      <c r="I41" s="349"/>
      <c r="J41" s="132" t="s">
        <v>100</v>
      </c>
      <c r="K41" s="131" t="s">
        <v>101</v>
      </c>
      <c r="L41" s="145"/>
      <c r="M41" s="304"/>
      <c r="N41" s="145" t="str">
        <f t="shared" si="1"/>
        <v/>
      </c>
      <c r="O41" s="145" t="str">
        <f t="shared" si="0"/>
        <v/>
      </c>
      <c r="P41" s="16"/>
      <c r="Q41" s="154"/>
      <c r="R41" s="31"/>
      <c r="S41" s="129"/>
      <c r="T41" s="124"/>
      <c r="U41" s="123"/>
      <c r="V41" s="293"/>
      <c r="W41" s="62"/>
    </row>
    <row r="42" spans="1:23" ht="69.95" customHeight="1" x14ac:dyDescent="0.25">
      <c r="A42" s="1"/>
      <c r="B42" s="333"/>
      <c r="C42" s="333"/>
      <c r="D42" s="342"/>
      <c r="E42" s="333"/>
      <c r="F42" s="349"/>
      <c r="G42" s="349"/>
      <c r="H42" s="349"/>
      <c r="I42" s="349"/>
      <c r="J42" s="124" t="str">
        <f>IF(J40="","","0.0")</f>
        <v/>
      </c>
      <c r="K42" s="131" t="s">
        <v>102</v>
      </c>
      <c r="L42" s="145"/>
      <c r="M42" s="304"/>
      <c r="N42" s="145" t="str">
        <f t="shared" si="1"/>
        <v/>
      </c>
      <c r="O42" s="145" t="str">
        <f t="shared" si="0"/>
        <v/>
      </c>
      <c r="P42" s="16"/>
      <c r="Q42" s="154"/>
      <c r="R42" s="124"/>
      <c r="S42" s="123" t="str">
        <f>IF(R42&lt;&gt;"", 0, "")</f>
        <v/>
      </c>
      <c r="T42" s="124"/>
      <c r="U42" s="123"/>
      <c r="V42" s="293"/>
      <c r="W42" s="62"/>
    </row>
    <row r="43" spans="1:23" ht="69.95" customHeight="1" x14ac:dyDescent="0.25">
      <c r="A43" s="1"/>
      <c r="B43" s="333"/>
      <c r="C43" s="333"/>
      <c r="D43" s="342"/>
      <c r="E43" s="333"/>
      <c r="F43" s="349"/>
      <c r="G43" s="349"/>
      <c r="H43" s="349"/>
      <c r="I43" s="349"/>
      <c r="J43" s="43"/>
      <c r="K43" s="131" t="s">
        <v>111</v>
      </c>
      <c r="L43" s="145"/>
      <c r="M43" s="304"/>
      <c r="N43" s="145" t="str">
        <f t="shared" si="1"/>
        <v/>
      </c>
      <c r="O43" s="145" t="str">
        <f t="shared" si="0"/>
        <v/>
      </c>
      <c r="P43" s="16"/>
      <c r="Q43" s="154"/>
      <c r="R43" s="31"/>
      <c r="S43" s="129"/>
      <c r="T43" s="124"/>
      <c r="U43" s="123"/>
      <c r="V43" s="293"/>
      <c r="W43" s="62"/>
    </row>
    <row r="44" spans="1:23" ht="69.95" customHeight="1" x14ac:dyDescent="0.25">
      <c r="A44" s="1"/>
      <c r="B44" s="334"/>
      <c r="C44" s="334"/>
      <c r="D44" s="345"/>
      <c r="E44" s="334"/>
      <c r="F44" s="350"/>
      <c r="G44" s="350"/>
      <c r="H44" s="350"/>
      <c r="I44" s="350"/>
      <c r="J44" s="43"/>
      <c r="K44" s="131" t="s">
        <v>112</v>
      </c>
      <c r="L44" s="145"/>
      <c r="M44" s="145"/>
      <c r="N44" s="145" t="str">
        <f t="shared" si="1"/>
        <v/>
      </c>
      <c r="O44" s="145" t="str">
        <f t="shared" si="0"/>
        <v/>
      </c>
      <c r="P44" s="16"/>
      <c r="Q44" s="155"/>
      <c r="R44" s="31"/>
      <c r="S44" s="129"/>
      <c r="T44" s="124"/>
      <c r="U44" s="123"/>
      <c r="V44" s="294"/>
      <c r="W44" s="295"/>
    </row>
    <row r="45" spans="1:23" ht="69.95" customHeight="1" x14ac:dyDescent="0.25">
      <c r="A45" s="1"/>
      <c r="B45" s="332">
        <v>22</v>
      </c>
      <c r="C45" s="332"/>
      <c r="D45" s="339"/>
      <c r="E45" s="332"/>
      <c r="F45" s="348"/>
      <c r="G45" s="348"/>
      <c r="H45" s="348"/>
      <c r="I45" s="348"/>
      <c r="J45" s="132" t="s">
        <v>97</v>
      </c>
      <c r="K45" s="131" t="s">
        <v>98</v>
      </c>
      <c r="L45" s="145"/>
      <c r="M45" s="145"/>
      <c r="N45" s="145" t="str">
        <f t="shared" si="1"/>
        <v/>
      </c>
      <c r="O45" s="145" t="str">
        <f t="shared" si="0"/>
        <v/>
      </c>
      <c r="P45" s="16"/>
      <c r="Q45" s="153"/>
      <c r="R45" s="124"/>
      <c r="S45" s="123" t="str">
        <f t="shared" ref="S45:S46" si="6">IF(R45&lt;&gt;"", 0, "")</f>
        <v/>
      </c>
      <c r="T45" s="124"/>
      <c r="U45" s="123"/>
      <c r="V45" s="291"/>
      <c r="W45" s="292"/>
    </row>
    <row r="46" spans="1:23" ht="69.95" customHeight="1" x14ac:dyDescent="0.25">
      <c r="A46" s="1"/>
      <c r="B46" s="333"/>
      <c r="C46" s="333"/>
      <c r="D46" s="342"/>
      <c r="E46" s="333"/>
      <c r="F46" s="349"/>
      <c r="G46" s="349"/>
      <c r="H46" s="349"/>
      <c r="I46" s="349"/>
      <c r="J46" s="124"/>
      <c r="K46" s="131" t="s">
        <v>99</v>
      </c>
      <c r="L46" s="145"/>
      <c r="M46" s="304"/>
      <c r="N46" s="145" t="str">
        <f t="shared" si="1"/>
        <v/>
      </c>
      <c r="O46" s="145" t="str">
        <f t="shared" si="0"/>
        <v/>
      </c>
      <c r="P46" s="16"/>
      <c r="Q46" s="154"/>
      <c r="R46" s="124"/>
      <c r="S46" s="123" t="str">
        <f t="shared" si="6"/>
        <v/>
      </c>
      <c r="T46" s="124"/>
      <c r="U46" s="123"/>
      <c r="V46" s="293"/>
      <c r="W46" s="62"/>
    </row>
    <row r="47" spans="1:23" ht="69.95" customHeight="1" x14ac:dyDescent="0.25">
      <c r="A47" s="1"/>
      <c r="B47" s="333"/>
      <c r="C47" s="333"/>
      <c r="D47" s="342"/>
      <c r="E47" s="333"/>
      <c r="F47" s="349"/>
      <c r="G47" s="349"/>
      <c r="H47" s="349"/>
      <c r="I47" s="349"/>
      <c r="J47" s="132" t="s">
        <v>100</v>
      </c>
      <c r="K47" s="131" t="s">
        <v>101</v>
      </c>
      <c r="L47" s="145"/>
      <c r="M47" s="304"/>
      <c r="N47" s="145" t="str">
        <f t="shared" si="1"/>
        <v/>
      </c>
      <c r="O47" s="145" t="str">
        <f t="shared" si="0"/>
        <v/>
      </c>
      <c r="P47" s="16"/>
      <c r="Q47" s="154"/>
      <c r="R47" s="31"/>
      <c r="S47" s="129"/>
      <c r="T47" s="124"/>
      <c r="U47" s="123"/>
      <c r="V47" s="293"/>
      <c r="W47" s="62"/>
    </row>
    <row r="48" spans="1:23" ht="69.95" customHeight="1" x14ac:dyDescent="0.25">
      <c r="A48" s="1"/>
      <c r="B48" s="333"/>
      <c r="C48" s="333"/>
      <c r="D48" s="342"/>
      <c r="E48" s="333"/>
      <c r="F48" s="349"/>
      <c r="G48" s="349"/>
      <c r="H48" s="349"/>
      <c r="I48" s="349"/>
      <c r="J48" s="124" t="str">
        <f>IF(J46="","","0.0")</f>
        <v/>
      </c>
      <c r="K48" s="131" t="s">
        <v>102</v>
      </c>
      <c r="L48" s="145"/>
      <c r="M48" s="304"/>
      <c r="N48" s="145" t="str">
        <f t="shared" si="1"/>
        <v/>
      </c>
      <c r="O48" s="145" t="str">
        <f t="shared" si="0"/>
        <v/>
      </c>
      <c r="P48" s="16"/>
      <c r="Q48" s="154"/>
      <c r="R48" s="124"/>
      <c r="S48" s="123" t="str">
        <f>IF(R48&lt;&gt;"", 0, "")</f>
        <v/>
      </c>
      <c r="T48" s="124"/>
      <c r="U48" s="123"/>
      <c r="V48" s="293"/>
      <c r="W48" s="62"/>
    </row>
    <row r="49" spans="1:23" ht="69.95" customHeight="1" x14ac:dyDescent="0.25">
      <c r="A49" s="1"/>
      <c r="B49" s="333"/>
      <c r="C49" s="333"/>
      <c r="D49" s="342"/>
      <c r="E49" s="333"/>
      <c r="F49" s="349"/>
      <c r="G49" s="349"/>
      <c r="H49" s="349"/>
      <c r="I49" s="349"/>
      <c r="J49" s="43"/>
      <c r="K49" s="131" t="s">
        <v>111</v>
      </c>
      <c r="L49" s="145"/>
      <c r="M49" s="304"/>
      <c r="N49" s="145" t="str">
        <f t="shared" si="1"/>
        <v/>
      </c>
      <c r="O49" s="145" t="str">
        <f t="shared" si="0"/>
        <v/>
      </c>
      <c r="P49" s="16"/>
      <c r="Q49" s="154"/>
      <c r="R49" s="31"/>
      <c r="S49" s="129"/>
      <c r="T49" s="124"/>
      <c r="U49" s="123"/>
      <c r="V49" s="293"/>
      <c r="W49" s="62"/>
    </row>
    <row r="50" spans="1:23" ht="69.95" customHeight="1" x14ac:dyDescent="0.25">
      <c r="A50" s="1"/>
      <c r="B50" s="334"/>
      <c r="C50" s="334"/>
      <c r="D50" s="345"/>
      <c r="E50" s="334"/>
      <c r="F50" s="350"/>
      <c r="G50" s="350"/>
      <c r="H50" s="350"/>
      <c r="I50" s="350"/>
      <c r="J50" s="43"/>
      <c r="K50" s="131" t="s">
        <v>112</v>
      </c>
      <c r="L50" s="145"/>
      <c r="M50" s="145"/>
      <c r="N50" s="145" t="str">
        <f t="shared" si="1"/>
        <v/>
      </c>
      <c r="O50" s="145" t="str">
        <f t="shared" si="0"/>
        <v/>
      </c>
      <c r="P50" s="16"/>
      <c r="Q50" s="155"/>
      <c r="R50" s="31"/>
      <c r="S50" s="129"/>
      <c r="T50" s="124"/>
      <c r="U50" s="123"/>
      <c r="V50" s="294"/>
      <c r="W50" s="295"/>
    </row>
    <row r="51" spans="1:23" ht="69.95" customHeight="1" x14ac:dyDescent="0.25">
      <c r="A51" s="1"/>
      <c r="B51" s="332">
        <v>23</v>
      </c>
      <c r="C51" s="332"/>
      <c r="D51" s="339"/>
      <c r="E51" s="332"/>
      <c r="F51" s="348"/>
      <c r="G51" s="348"/>
      <c r="H51" s="348"/>
      <c r="I51" s="348"/>
      <c r="J51" s="132" t="s">
        <v>97</v>
      </c>
      <c r="K51" s="131" t="s">
        <v>98</v>
      </c>
      <c r="L51" s="145"/>
      <c r="M51" s="145"/>
      <c r="N51" s="145" t="str">
        <f t="shared" si="1"/>
        <v/>
      </c>
      <c r="O51" s="145" t="str">
        <f t="shared" si="0"/>
        <v/>
      </c>
      <c r="P51" s="16"/>
      <c r="Q51" s="153"/>
      <c r="R51" s="124"/>
      <c r="S51" s="123" t="str">
        <f t="shared" ref="S51:S52" si="7">IF(R51&lt;&gt;"", 0, "")</f>
        <v/>
      </c>
      <c r="T51" s="124"/>
      <c r="U51" s="123"/>
      <c r="V51" s="291"/>
      <c r="W51" s="292"/>
    </row>
    <row r="52" spans="1:23" ht="69.95" customHeight="1" x14ac:dyDescent="0.25">
      <c r="A52" s="1"/>
      <c r="B52" s="333"/>
      <c r="C52" s="333"/>
      <c r="D52" s="342"/>
      <c r="E52" s="333"/>
      <c r="F52" s="349"/>
      <c r="G52" s="349"/>
      <c r="H52" s="349"/>
      <c r="I52" s="349"/>
      <c r="J52" s="124"/>
      <c r="K52" s="131" t="s">
        <v>99</v>
      </c>
      <c r="L52" s="145"/>
      <c r="M52" s="304"/>
      <c r="N52" s="145" t="str">
        <f t="shared" si="1"/>
        <v/>
      </c>
      <c r="O52" s="145" t="str">
        <f t="shared" si="0"/>
        <v/>
      </c>
      <c r="P52" s="16"/>
      <c r="Q52" s="154"/>
      <c r="R52" s="124"/>
      <c r="S52" s="123" t="str">
        <f t="shared" si="7"/>
        <v/>
      </c>
      <c r="T52" s="124"/>
      <c r="U52" s="123"/>
      <c r="V52" s="293"/>
      <c r="W52" s="62"/>
    </row>
    <row r="53" spans="1:23" ht="69.95" customHeight="1" x14ac:dyDescent="0.25">
      <c r="A53" s="1"/>
      <c r="B53" s="333"/>
      <c r="C53" s="333"/>
      <c r="D53" s="342"/>
      <c r="E53" s="333"/>
      <c r="F53" s="349"/>
      <c r="G53" s="349"/>
      <c r="H53" s="349"/>
      <c r="I53" s="349"/>
      <c r="J53" s="132" t="s">
        <v>100</v>
      </c>
      <c r="K53" s="131" t="s">
        <v>101</v>
      </c>
      <c r="L53" s="145"/>
      <c r="M53" s="304"/>
      <c r="N53" s="145" t="str">
        <f t="shared" si="1"/>
        <v/>
      </c>
      <c r="O53" s="145" t="str">
        <f t="shared" si="0"/>
        <v/>
      </c>
      <c r="P53" s="16"/>
      <c r="Q53" s="154"/>
      <c r="R53" s="31"/>
      <c r="S53" s="129"/>
      <c r="T53" s="124"/>
      <c r="U53" s="123"/>
      <c r="V53" s="293"/>
      <c r="W53" s="62"/>
    </row>
    <row r="54" spans="1:23" ht="69.95" customHeight="1" x14ac:dyDescent="0.25">
      <c r="A54" s="1"/>
      <c r="B54" s="333"/>
      <c r="C54" s="333"/>
      <c r="D54" s="342"/>
      <c r="E54" s="333"/>
      <c r="F54" s="349"/>
      <c r="G54" s="349"/>
      <c r="H54" s="349"/>
      <c r="I54" s="349"/>
      <c r="J54" s="124" t="str">
        <f>IF(J52="","","0.0")</f>
        <v/>
      </c>
      <c r="K54" s="131" t="s">
        <v>102</v>
      </c>
      <c r="L54" s="145"/>
      <c r="M54" s="304"/>
      <c r="N54" s="145" t="str">
        <f t="shared" si="1"/>
        <v/>
      </c>
      <c r="O54" s="145" t="str">
        <f t="shared" si="0"/>
        <v/>
      </c>
      <c r="P54" s="16"/>
      <c r="Q54" s="154"/>
      <c r="R54" s="124"/>
      <c r="S54" s="123" t="str">
        <f>IF(R54&lt;&gt;"", 0, "")</f>
        <v/>
      </c>
      <c r="T54" s="124"/>
      <c r="U54" s="123"/>
      <c r="V54" s="293"/>
      <c r="W54" s="62"/>
    </row>
    <row r="55" spans="1:23" ht="69.95" customHeight="1" x14ac:dyDescent="0.25">
      <c r="A55" s="1"/>
      <c r="B55" s="333"/>
      <c r="C55" s="333"/>
      <c r="D55" s="342"/>
      <c r="E55" s="333"/>
      <c r="F55" s="349"/>
      <c r="G55" s="349"/>
      <c r="H55" s="349"/>
      <c r="I55" s="349"/>
      <c r="J55" s="43"/>
      <c r="K55" s="131" t="s">
        <v>111</v>
      </c>
      <c r="L55" s="145"/>
      <c r="M55" s="304"/>
      <c r="N55" s="145" t="str">
        <f t="shared" si="1"/>
        <v/>
      </c>
      <c r="O55" s="145" t="str">
        <f t="shared" si="0"/>
        <v/>
      </c>
      <c r="P55" s="16"/>
      <c r="Q55" s="154"/>
      <c r="R55" s="31"/>
      <c r="S55" s="129"/>
      <c r="T55" s="124"/>
      <c r="U55" s="123"/>
      <c r="V55" s="293"/>
      <c r="W55" s="62"/>
    </row>
    <row r="56" spans="1:23" ht="69.95" customHeight="1" x14ac:dyDescent="0.25">
      <c r="A56" s="1"/>
      <c r="B56" s="334"/>
      <c r="C56" s="334"/>
      <c r="D56" s="345"/>
      <c r="E56" s="334"/>
      <c r="F56" s="350"/>
      <c r="G56" s="350"/>
      <c r="H56" s="350"/>
      <c r="I56" s="350"/>
      <c r="J56" s="43"/>
      <c r="K56" s="131" t="s">
        <v>112</v>
      </c>
      <c r="L56" s="145"/>
      <c r="M56" s="145"/>
      <c r="N56" s="145" t="str">
        <f t="shared" si="1"/>
        <v/>
      </c>
      <c r="O56" s="145" t="str">
        <f t="shared" si="0"/>
        <v/>
      </c>
      <c r="P56" s="16"/>
      <c r="Q56" s="155"/>
      <c r="R56" s="31"/>
      <c r="S56" s="129"/>
      <c r="T56" s="124"/>
      <c r="U56" s="123"/>
      <c r="V56" s="294"/>
      <c r="W56" s="295"/>
    </row>
    <row r="57" spans="1:23" ht="69.95" customHeight="1" x14ac:dyDescent="0.25">
      <c r="A57" s="1"/>
      <c r="B57" s="332">
        <v>24</v>
      </c>
      <c r="C57" s="332"/>
      <c r="D57" s="339"/>
      <c r="E57" s="332"/>
      <c r="F57" s="348"/>
      <c r="G57" s="348"/>
      <c r="H57" s="348"/>
      <c r="I57" s="348"/>
      <c r="J57" s="132" t="s">
        <v>97</v>
      </c>
      <c r="K57" s="131" t="s">
        <v>98</v>
      </c>
      <c r="L57" s="145"/>
      <c r="M57" s="145"/>
      <c r="N57" s="145" t="str">
        <f t="shared" si="1"/>
        <v/>
      </c>
      <c r="O57" s="145" t="str">
        <f t="shared" si="0"/>
        <v/>
      </c>
      <c r="P57" s="16"/>
      <c r="Q57" s="153"/>
      <c r="R57" s="124"/>
      <c r="S57" s="123" t="str">
        <f t="shared" ref="S57:S58" si="8">IF(R57&lt;&gt;"", 0, "")</f>
        <v/>
      </c>
      <c r="T57" s="124"/>
      <c r="U57" s="123"/>
      <c r="V57" s="291"/>
      <c r="W57" s="292"/>
    </row>
    <row r="58" spans="1:23" ht="69.95" customHeight="1" x14ac:dyDescent="0.25">
      <c r="A58" s="1"/>
      <c r="B58" s="333"/>
      <c r="C58" s="333"/>
      <c r="D58" s="342"/>
      <c r="E58" s="333"/>
      <c r="F58" s="349"/>
      <c r="G58" s="349"/>
      <c r="H58" s="349"/>
      <c r="I58" s="349"/>
      <c r="J58" s="124"/>
      <c r="K58" s="131" t="s">
        <v>99</v>
      </c>
      <c r="L58" s="145"/>
      <c r="M58" s="304"/>
      <c r="N58" s="145" t="str">
        <f t="shared" si="1"/>
        <v/>
      </c>
      <c r="O58" s="145" t="str">
        <f t="shared" si="0"/>
        <v/>
      </c>
      <c r="P58" s="16"/>
      <c r="Q58" s="154"/>
      <c r="R58" s="124"/>
      <c r="S58" s="123" t="str">
        <f t="shared" si="8"/>
        <v/>
      </c>
      <c r="T58" s="124"/>
      <c r="U58" s="123"/>
      <c r="V58" s="293"/>
      <c r="W58" s="62"/>
    </row>
    <row r="59" spans="1:23" ht="69.95" customHeight="1" x14ac:dyDescent="0.25">
      <c r="A59" s="1"/>
      <c r="B59" s="333"/>
      <c r="C59" s="333"/>
      <c r="D59" s="342"/>
      <c r="E59" s="333"/>
      <c r="F59" s="349"/>
      <c r="G59" s="349"/>
      <c r="H59" s="349"/>
      <c r="I59" s="349"/>
      <c r="J59" s="132" t="s">
        <v>100</v>
      </c>
      <c r="K59" s="131" t="s">
        <v>101</v>
      </c>
      <c r="L59" s="145"/>
      <c r="M59" s="304"/>
      <c r="N59" s="145" t="str">
        <f t="shared" si="1"/>
        <v/>
      </c>
      <c r="O59" s="145" t="str">
        <f t="shared" si="0"/>
        <v/>
      </c>
      <c r="P59" s="16"/>
      <c r="Q59" s="154"/>
      <c r="R59" s="31"/>
      <c r="S59" s="129"/>
      <c r="T59" s="124"/>
      <c r="U59" s="123"/>
      <c r="V59" s="293"/>
      <c r="W59" s="62"/>
    </row>
    <row r="60" spans="1:23" ht="69.95" customHeight="1" x14ac:dyDescent="0.25">
      <c r="A60" s="1"/>
      <c r="B60" s="333"/>
      <c r="C60" s="333"/>
      <c r="D60" s="342"/>
      <c r="E60" s="333"/>
      <c r="F60" s="349"/>
      <c r="G60" s="349"/>
      <c r="H60" s="349"/>
      <c r="I60" s="349"/>
      <c r="J60" s="124" t="str">
        <f>IF(J58="","","0.0")</f>
        <v/>
      </c>
      <c r="K60" s="131" t="s">
        <v>102</v>
      </c>
      <c r="L60" s="145"/>
      <c r="M60" s="304"/>
      <c r="N60" s="145" t="str">
        <f t="shared" si="1"/>
        <v/>
      </c>
      <c r="O60" s="145" t="str">
        <f t="shared" si="0"/>
        <v/>
      </c>
      <c r="P60" s="16"/>
      <c r="Q60" s="154"/>
      <c r="R60" s="124"/>
      <c r="S60" s="123" t="str">
        <f>IF(R60&lt;&gt;"", 0, "")</f>
        <v/>
      </c>
      <c r="T60" s="124"/>
      <c r="U60" s="123"/>
      <c r="V60" s="293"/>
      <c r="W60" s="62"/>
    </row>
    <row r="61" spans="1:23" ht="69.95" customHeight="1" x14ac:dyDescent="0.25">
      <c r="A61" s="1"/>
      <c r="B61" s="333"/>
      <c r="C61" s="333"/>
      <c r="D61" s="342"/>
      <c r="E61" s="333"/>
      <c r="F61" s="349"/>
      <c r="G61" s="349"/>
      <c r="H61" s="349"/>
      <c r="I61" s="349"/>
      <c r="J61" s="43"/>
      <c r="K61" s="131" t="s">
        <v>111</v>
      </c>
      <c r="L61" s="145"/>
      <c r="M61" s="304"/>
      <c r="N61" s="145" t="str">
        <f t="shared" si="1"/>
        <v/>
      </c>
      <c r="O61" s="145" t="str">
        <f t="shared" si="0"/>
        <v/>
      </c>
      <c r="P61" s="16"/>
      <c r="Q61" s="154"/>
      <c r="R61" s="31"/>
      <c r="S61" s="129"/>
      <c r="T61" s="124"/>
      <c r="U61" s="123"/>
      <c r="V61" s="293"/>
      <c r="W61" s="62"/>
    </row>
    <row r="62" spans="1:23" ht="69.95" customHeight="1" x14ac:dyDescent="0.25">
      <c r="A62" s="1"/>
      <c r="B62" s="333"/>
      <c r="C62" s="333"/>
      <c r="D62" s="342"/>
      <c r="E62" s="334"/>
      <c r="F62" s="350"/>
      <c r="G62" s="350"/>
      <c r="H62" s="350"/>
      <c r="I62" s="349"/>
      <c r="J62" s="43"/>
      <c r="K62" s="131" t="s">
        <v>112</v>
      </c>
      <c r="L62" s="145"/>
      <c r="M62" s="145"/>
      <c r="N62" s="145" t="str">
        <f t="shared" si="1"/>
        <v/>
      </c>
      <c r="O62" s="145" t="str">
        <f t="shared" si="0"/>
        <v/>
      </c>
      <c r="P62" s="16"/>
      <c r="Q62" s="155"/>
      <c r="R62" s="18"/>
      <c r="S62" s="33"/>
      <c r="T62" s="121"/>
      <c r="U62" s="130"/>
      <c r="V62" s="294"/>
      <c r="W62" s="295"/>
    </row>
    <row r="63" spans="1:23" ht="69.95" customHeight="1" x14ac:dyDescent="0.25">
      <c r="A63" s="1"/>
      <c r="B63" s="384"/>
      <c r="C63" s="382"/>
      <c r="D63" s="382"/>
      <c r="E63" s="382"/>
      <c r="F63" s="382"/>
      <c r="G63" s="382"/>
      <c r="H63" s="382"/>
      <c r="I63" s="382"/>
      <c r="J63" s="382"/>
      <c r="K63" s="135"/>
      <c r="L63" s="136"/>
      <c r="M63" s="135"/>
      <c r="N63" s="135"/>
      <c r="O63" s="135"/>
      <c r="P63" s="137"/>
      <c r="Q63" s="376"/>
      <c r="R63" s="138"/>
      <c r="S63" s="138"/>
      <c r="T63" s="138"/>
      <c r="U63" s="138"/>
      <c r="V63" s="382"/>
      <c r="W63" s="383"/>
    </row>
    <row r="64" spans="1:23" ht="69.95" customHeight="1" x14ac:dyDescent="0.25">
      <c r="A64" s="1"/>
      <c r="B64" s="374"/>
      <c r="C64" s="375"/>
      <c r="D64" s="375"/>
      <c r="E64" s="375"/>
      <c r="F64" s="375"/>
      <c r="G64" s="375"/>
      <c r="H64" s="375"/>
      <c r="I64" s="375"/>
      <c r="J64" s="375"/>
      <c r="K64" s="139"/>
      <c r="L64" s="140"/>
      <c r="M64" s="139"/>
      <c r="N64" s="139"/>
      <c r="O64" s="139"/>
      <c r="P64" s="141"/>
      <c r="Q64" s="377"/>
      <c r="R64" s="142"/>
      <c r="S64" s="142"/>
      <c r="T64" s="142"/>
      <c r="U64" s="142"/>
      <c r="V64" s="375"/>
      <c r="W64" s="378"/>
    </row>
    <row r="65" spans="1:23" ht="69.95" customHeight="1" x14ac:dyDescent="0.25">
      <c r="A65" s="1"/>
      <c r="B65" s="374"/>
      <c r="C65" s="375"/>
      <c r="D65" s="375"/>
      <c r="E65" s="375"/>
      <c r="F65" s="375"/>
      <c r="G65" s="375"/>
      <c r="H65" s="375"/>
      <c r="I65" s="375"/>
      <c r="J65" s="375"/>
      <c r="K65" s="139"/>
      <c r="L65" s="140"/>
      <c r="M65" s="139"/>
      <c r="N65" s="139"/>
      <c r="O65" s="139"/>
      <c r="P65" s="141"/>
      <c r="Q65" s="377"/>
      <c r="R65" s="142"/>
      <c r="S65" s="142"/>
      <c r="T65" s="142"/>
      <c r="U65" s="142"/>
      <c r="V65" s="375"/>
      <c r="W65" s="378"/>
    </row>
    <row r="66" spans="1:23" ht="69.95" customHeight="1" x14ac:dyDescent="0.25">
      <c r="A66" s="1"/>
      <c r="B66" s="374"/>
      <c r="C66" s="375"/>
      <c r="D66" s="375"/>
      <c r="E66" s="375"/>
      <c r="F66" s="375"/>
      <c r="G66" s="375"/>
      <c r="H66" s="375"/>
      <c r="I66" s="375"/>
      <c r="J66" s="375"/>
      <c r="K66" s="139"/>
      <c r="L66" s="140"/>
      <c r="M66" s="139"/>
      <c r="N66" s="139"/>
      <c r="O66" s="139"/>
      <c r="P66" s="141"/>
      <c r="Q66" s="377"/>
      <c r="R66" s="142"/>
      <c r="S66" s="142"/>
      <c r="T66" s="142"/>
      <c r="U66" s="142"/>
      <c r="V66" s="375"/>
      <c r="W66" s="378"/>
    </row>
    <row r="67" spans="1:23" ht="69.95" customHeight="1" x14ac:dyDescent="0.25">
      <c r="A67" s="1"/>
      <c r="B67" s="374"/>
      <c r="C67" s="375"/>
      <c r="D67" s="375"/>
      <c r="E67" s="375"/>
      <c r="F67" s="375"/>
      <c r="G67" s="375"/>
      <c r="H67" s="375"/>
      <c r="I67" s="375"/>
      <c r="J67" s="375"/>
      <c r="K67" s="139"/>
      <c r="L67" s="140"/>
      <c r="M67" s="139"/>
      <c r="N67" s="139"/>
      <c r="O67" s="139"/>
      <c r="P67" s="141"/>
      <c r="Q67" s="377"/>
      <c r="R67" s="142"/>
      <c r="S67" s="142"/>
      <c r="T67" s="142"/>
      <c r="U67" s="142"/>
      <c r="V67" s="375"/>
      <c r="W67" s="378"/>
    </row>
    <row r="68" spans="1:23" ht="69.95" customHeight="1" x14ac:dyDescent="0.25">
      <c r="A68" s="1"/>
      <c r="B68" s="374"/>
      <c r="C68" s="375"/>
      <c r="D68" s="375"/>
      <c r="E68" s="375"/>
      <c r="F68" s="375"/>
      <c r="G68" s="375"/>
      <c r="H68" s="375"/>
      <c r="I68" s="375"/>
      <c r="J68" s="375"/>
      <c r="K68" s="139"/>
      <c r="L68" s="140"/>
      <c r="M68" s="139"/>
      <c r="N68" s="139"/>
      <c r="O68" s="139"/>
      <c r="P68" s="141"/>
      <c r="Q68" s="377"/>
      <c r="R68" s="142"/>
      <c r="S68" s="142"/>
      <c r="T68" s="142"/>
      <c r="U68" s="142"/>
      <c r="V68" s="375"/>
      <c r="W68" s="378"/>
    </row>
    <row r="69" spans="1:23" ht="69.95" customHeight="1" x14ac:dyDescent="0.25">
      <c r="A69" s="1"/>
      <c r="B69" s="374"/>
      <c r="C69" s="375"/>
      <c r="D69" s="375"/>
      <c r="E69" s="375"/>
      <c r="F69" s="375"/>
      <c r="G69" s="375"/>
      <c r="H69" s="375"/>
      <c r="I69" s="375"/>
      <c r="J69" s="375"/>
      <c r="K69" s="139"/>
      <c r="L69" s="140"/>
      <c r="M69" s="139"/>
      <c r="N69" s="139"/>
      <c r="O69" s="139"/>
      <c r="P69" s="141"/>
      <c r="Q69" s="377"/>
      <c r="R69" s="142"/>
      <c r="S69" s="142"/>
      <c r="T69" s="142"/>
      <c r="U69" s="142"/>
      <c r="V69" s="375"/>
      <c r="W69" s="378"/>
    </row>
    <row r="70" spans="1:23" ht="69.95" customHeight="1" x14ac:dyDescent="0.25">
      <c r="A70" s="1"/>
      <c r="B70" s="374"/>
      <c r="C70" s="375"/>
      <c r="D70" s="375"/>
      <c r="E70" s="375"/>
      <c r="F70" s="375"/>
      <c r="G70" s="375"/>
      <c r="H70" s="375"/>
      <c r="I70" s="375"/>
      <c r="J70" s="375"/>
      <c r="K70" s="139"/>
      <c r="L70" s="140"/>
      <c r="M70" s="139"/>
      <c r="N70" s="139"/>
      <c r="O70" s="139"/>
      <c r="P70" s="141"/>
      <c r="Q70" s="377"/>
      <c r="R70" s="142"/>
      <c r="S70" s="142"/>
      <c r="T70" s="142"/>
      <c r="U70" s="142"/>
      <c r="V70" s="375"/>
      <c r="W70" s="378"/>
    </row>
    <row r="71" spans="1:23" ht="69.95" customHeight="1" x14ac:dyDescent="0.25">
      <c r="A71" s="1"/>
      <c r="B71" s="374"/>
      <c r="C71" s="375"/>
      <c r="D71" s="375"/>
      <c r="E71" s="375"/>
      <c r="F71" s="375"/>
      <c r="G71" s="375"/>
      <c r="H71" s="375"/>
      <c r="I71" s="375"/>
      <c r="J71" s="375"/>
      <c r="K71" s="139"/>
      <c r="L71" s="140"/>
      <c r="M71" s="139"/>
      <c r="N71" s="139"/>
      <c r="O71" s="139"/>
      <c r="P71" s="141"/>
      <c r="Q71" s="377"/>
      <c r="R71" s="142"/>
      <c r="S71" s="142"/>
      <c r="T71" s="142"/>
      <c r="U71" s="142"/>
      <c r="V71" s="375"/>
      <c r="W71" s="378"/>
    </row>
    <row r="72" spans="1:23" ht="69.95" customHeight="1" x14ac:dyDescent="0.25">
      <c r="A72" s="1"/>
      <c r="B72" s="374"/>
      <c r="C72" s="375"/>
      <c r="D72" s="375"/>
      <c r="E72" s="375"/>
      <c r="F72" s="375"/>
      <c r="G72" s="375"/>
      <c r="H72" s="375"/>
      <c r="I72" s="375"/>
      <c r="J72" s="375"/>
      <c r="K72" s="139"/>
      <c r="L72" s="140"/>
      <c r="M72" s="139"/>
      <c r="N72" s="139"/>
      <c r="O72" s="139"/>
      <c r="P72" s="141"/>
      <c r="Q72" s="377"/>
      <c r="R72" s="142"/>
      <c r="S72" s="142"/>
      <c r="T72" s="142"/>
      <c r="U72" s="142"/>
      <c r="V72" s="375"/>
      <c r="W72" s="378"/>
    </row>
    <row r="73" spans="1:23" ht="69.95" customHeight="1" x14ac:dyDescent="0.25">
      <c r="A73" s="1"/>
      <c r="B73" s="374"/>
      <c r="C73" s="375"/>
      <c r="D73" s="375"/>
      <c r="E73" s="375"/>
      <c r="F73" s="375"/>
      <c r="G73" s="375"/>
      <c r="H73" s="375"/>
      <c r="I73" s="375"/>
      <c r="J73" s="375"/>
      <c r="K73" s="139"/>
      <c r="L73" s="140"/>
      <c r="M73" s="139"/>
      <c r="N73" s="139"/>
      <c r="O73" s="139"/>
      <c r="P73" s="141"/>
      <c r="Q73" s="377"/>
      <c r="R73" s="142"/>
      <c r="S73" s="142"/>
      <c r="T73" s="142"/>
      <c r="U73" s="142"/>
      <c r="V73" s="375"/>
      <c r="W73" s="378"/>
    </row>
    <row r="74" spans="1:23" ht="69.95" customHeight="1" x14ac:dyDescent="0.25">
      <c r="A74" s="1"/>
      <c r="B74" s="374"/>
      <c r="C74" s="375"/>
      <c r="D74" s="375"/>
      <c r="E74" s="375"/>
      <c r="F74" s="375"/>
      <c r="G74" s="375"/>
      <c r="H74" s="375"/>
      <c r="I74" s="375"/>
      <c r="J74" s="375"/>
      <c r="K74" s="139"/>
      <c r="L74" s="140"/>
      <c r="M74" s="139"/>
      <c r="N74" s="139"/>
      <c r="O74" s="139"/>
      <c r="P74" s="141"/>
      <c r="Q74" s="377"/>
      <c r="R74" s="142"/>
      <c r="S74" s="142"/>
      <c r="T74" s="142"/>
      <c r="U74" s="142"/>
      <c r="V74" s="375"/>
      <c r="W74" s="378"/>
    </row>
    <row r="75" spans="1:23" ht="69.95" customHeight="1" x14ac:dyDescent="0.25">
      <c r="A75" s="1"/>
      <c r="B75" s="143"/>
      <c r="C75" s="139"/>
      <c r="D75" s="139"/>
      <c r="E75" s="139"/>
      <c r="F75" s="139"/>
      <c r="G75" s="139"/>
      <c r="H75" s="139"/>
      <c r="I75" s="139"/>
      <c r="J75" s="139"/>
      <c r="K75" s="139"/>
      <c r="L75" s="140"/>
      <c r="M75" s="139"/>
      <c r="N75" s="139"/>
      <c r="O75" s="139"/>
      <c r="P75" s="141"/>
      <c r="Q75" s="140"/>
      <c r="R75" s="142"/>
      <c r="S75" s="142"/>
      <c r="T75" s="142"/>
      <c r="U75" s="142"/>
      <c r="V75" s="139"/>
      <c r="W75" s="144"/>
    </row>
    <row r="76" spans="1:23" ht="39" customHeight="1" x14ac:dyDescent="0.25">
      <c r="A76" s="1"/>
      <c r="B76" s="336"/>
      <c r="C76" s="337"/>
      <c r="D76" s="337"/>
      <c r="E76" s="337"/>
      <c r="F76" s="337"/>
      <c r="G76" s="337"/>
      <c r="H76" s="337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127"/>
    </row>
    <row r="77" spans="1:23" ht="60" customHeight="1" x14ac:dyDescent="0.25">
      <c r="A77" s="1"/>
      <c r="B77" s="21"/>
      <c r="C77" s="323" t="s">
        <v>17</v>
      </c>
      <c r="D77" s="323"/>
      <c r="E77" s="338" t="s">
        <v>194</v>
      </c>
      <c r="F77" s="381"/>
      <c r="G77" s="22"/>
      <c r="H77" s="49"/>
      <c r="I77" s="323" t="s">
        <v>110</v>
      </c>
      <c r="J77" s="323"/>
      <c r="K77" s="323"/>
      <c r="L77" s="331" t="s">
        <v>195</v>
      </c>
      <c r="M77" s="380"/>
      <c r="N77" s="49"/>
      <c r="O77" s="49"/>
      <c r="P77" s="49"/>
      <c r="Q77" s="49"/>
      <c r="R77" s="1"/>
      <c r="S77" s="55"/>
      <c r="T77" s="56"/>
      <c r="U77" s="1"/>
      <c r="V77" s="1"/>
      <c r="W77" s="8"/>
    </row>
    <row r="78" spans="1:23" s="46" customFormat="1" ht="60" customHeight="1" x14ac:dyDescent="0.55000000000000004">
      <c r="A78" s="27"/>
      <c r="B78" s="24"/>
      <c r="C78" s="25"/>
      <c r="D78" s="25"/>
      <c r="E78" s="25"/>
      <c r="F78" s="25"/>
      <c r="G78" s="25"/>
      <c r="H78" s="25"/>
      <c r="I78" s="323"/>
      <c r="J78" s="323"/>
      <c r="K78" s="323"/>
      <c r="L78" s="57"/>
      <c r="M78" s="25"/>
      <c r="N78" s="25"/>
      <c r="O78" s="25"/>
      <c r="P78" s="25"/>
      <c r="Q78" s="26"/>
      <c r="R78" s="58"/>
      <c r="S78" s="27"/>
      <c r="T78" s="27"/>
      <c r="U78" s="30" t="s">
        <v>109</v>
      </c>
      <c r="V78" s="27"/>
      <c r="W78" s="59"/>
    </row>
    <row r="79" spans="1:23" ht="60" customHeight="1" x14ac:dyDescent="0.25">
      <c r="A79" s="1"/>
      <c r="B79" s="21"/>
      <c r="C79" s="323" t="s">
        <v>18</v>
      </c>
      <c r="D79" s="323"/>
      <c r="E79" s="10"/>
      <c r="F79" s="60"/>
      <c r="G79" s="61"/>
      <c r="H79" s="50"/>
      <c r="I79" s="324" t="s">
        <v>18</v>
      </c>
      <c r="J79" s="324"/>
      <c r="K79" s="1"/>
      <c r="L79" s="379"/>
      <c r="M79" s="379"/>
      <c r="N79" s="50"/>
      <c r="O79" s="50"/>
      <c r="P79" s="50"/>
      <c r="Q79" s="50"/>
      <c r="R79" s="1"/>
      <c r="S79" s="1"/>
      <c r="T79" s="1"/>
      <c r="U79" s="1"/>
      <c r="V79" s="3"/>
      <c r="W79" s="62"/>
    </row>
    <row r="80" spans="1:23" s="46" customFormat="1" ht="39" customHeight="1" x14ac:dyDescent="0.55000000000000004">
      <c r="A80" s="27"/>
      <c r="B80" s="28"/>
      <c r="C80" s="25"/>
      <c r="D80" s="25"/>
      <c r="E80" s="25"/>
      <c r="F80" s="25"/>
      <c r="G80" s="25"/>
      <c r="H80" s="25"/>
      <c r="I80" s="25"/>
      <c r="J80" s="29"/>
      <c r="K80" s="25"/>
      <c r="L80" s="26"/>
      <c r="M80" s="26"/>
      <c r="N80" s="26"/>
      <c r="O80" s="26"/>
      <c r="P80" s="26"/>
      <c r="Q80" s="26"/>
      <c r="R80" s="27"/>
      <c r="S80" s="27"/>
      <c r="T80" s="27"/>
      <c r="U80" s="27"/>
      <c r="V80" s="327" t="s">
        <v>122</v>
      </c>
      <c r="W80" s="328"/>
    </row>
    <row r="81" spans="1:23" s="46" customFormat="1" ht="54" customHeight="1" x14ac:dyDescent="0.55000000000000004">
      <c r="A81" s="27"/>
      <c r="B81" s="63"/>
      <c r="C81" s="64"/>
      <c r="D81" s="65"/>
      <c r="E81" s="66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8"/>
      <c r="Q81" s="68"/>
      <c r="R81" s="69"/>
      <c r="S81" s="69"/>
      <c r="T81" s="69"/>
      <c r="U81" s="69"/>
      <c r="V81" s="326"/>
      <c r="W81" s="329"/>
    </row>
  </sheetData>
  <protectedRanges>
    <protectedRange sqref="M16:M19 M22:M25 Q23:Q25 M28:M31 Q29:Q31 M34:M37 Q35:Q37 M40:M43 Q41:Q43 M46:M49 B63:C73 B76:W76 Q47:Q49 E63:O75 M52:M55 Q53:Q55 M58:M61 Q59:Q61 Q63:W75 B15:D62 H15:K62" name="p40ae67166de39ef3f3ec01bbdae900a3"/>
    <protectedRange sqref="U6:U8 S6:S8 W6:W8" name="pc594b6ecd9b303ee1785ffe3b4f4380d_1"/>
    <protectedRange sqref="L11 M7 E11:E12 M9 L8:M8 L12:M12 L6:L7" name="p547f5a980904daf0dfa79ab76f7eb7f1_1"/>
    <protectedRange sqref="E6:E8 D6:D9 G5:G6" name="p915cfce853e1a0fa81a642efe2ca8f86_1"/>
    <protectedRange sqref="C81 S77:T77 U78" name="p62f34c08bc43a732167a4cb2a22494e9"/>
    <protectedRange sqref="H77 J81:K81 H79 E79 E81 E77 M79:Q79 J77 L77:Q77" name="pd76f2506e825e80154285506ac3cb46a_1"/>
    <protectedRange sqref="L9" name="p547f5a980904daf0dfa79ab76f7eb7f1_1_1"/>
    <protectedRange sqref="E15:E20" name="p40ae67166de39ef3f3ec01bbdae900a3_1"/>
    <protectedRange sqref="E21:E26" name="p40ae67166de39ef3f3ec01bbdae900a3_2"/>
    <protectedRange sqref="E27:E32" name="p40ae67166de39ef3f3ec01bbdae900a3_3"/>
    <protectedRange sqref="E33:E38" name="p40ae67166de39ef3f3ec01bbdae900a3_4"/>
    <protectedRange sqref="E39:E44" name="p40ae67166de39ef3f3ec01bbdae900a3_5"/>
    <protectedRange sqref="E45:E50" name="p40ae67166de39ef3f3ec01bbdae900a3_6"/>
    <protectedRange sqref="E51:E56" name="p40ae67166de39ef3f3ec01bbdae900a3_7"/>
    <protectedRange sqref="E57:E62" name="p40ae67166de39ef3f3ec01bbdae900a3_8"/>
    <protectedRange sqref="F15:F62" name="p40ae67166de39ef3f3ec01bbdae900a3_9"/>
    <protectedRange sqref="G15:G62" name="p40ae67166de39ef3f3ec01bbdae900a3_10"/>
    <protectedRange sqref="Q17:Q19" name="p40ae67166de39ef3f3ec01bbdae900a3_11"/>
    <protectedRange sqref="W15:W16 W26:W28 W32:W34 W38:W40 W44:W46 W20:W22 W50:W52 W56:W58 R62:U62 W62 R15:U16 R17:W19 R20:U22 R23:W25 R26:U28 R29:W31 R32:U34 R35:W37 R38:U40 R41:W43 R44:U46 R47:W49 R50:U52 R53:W55 R56:U58 R59:W61" name="p40ae67166de39ef3f3ec01bbdae900a3_15"/>
  </protectedRanges>
  <mergeCells count="99">
    <mergeCell ref="T13:W13"/>
    <mergeCell ref="V14:W14"/>
    <mergeCell ref="B2:E3"/>
    <mergeCell ref="F2:U3"/>
    <mergeCell ref="V2:W2"/>
    <mergeCell ref="B13:B14"/>
    <mergeCell ref="C13:C14"/>
    <mergeCell ref="D13:D14"/>
    <mergeCell ref="E13:E14"/>
    <mergeCell ref="F13:F14"/>
    <mergeCell ref="G13:G14"/>
    <mergeCell ref="H13:H14"/>
    <mergeCell ref="I13:I14"/>
    <mergeCell ref="J13:J14"/>
    <mergeCell ref="K13:K14"/>
    <mergeCell ref="L13:Q13"/>
    <mergeCell ref="R13:S13"/>
    <mergeCell ref="H15:H20"/>
    <mergeCell ref="I15:I20"/>
    <mergeCell ref="B21:B26"/>
    <mergeCell ref="C21:C26"/>
    <mergeCell ref="D21:D26"/>
    <mergeCell ref="E21:E26"/>
    <mergeCell ref="F21:F26"/>
    <mergeCell ref="G21:G26"/>
    <mergeCell ref="H21:H26"/>
    <mergeCell ref="I21:I26"/>
    <mergeCell ref="B15:B20"/>
    <mergeCell ref="C15:C20"/>
    <mergeCell ref="D15:D20"/>
    <mergeCell ref="E15:E20"/>
    <mergeCell ref="F15:F20"/>
    <mergeCell ref="G15:G20"/>
    <mergeCell ref="H27:H32"/>
    <mergeCell ref="I27:I32"/>
    <mergeCell ref="B33:B38"/>
    <mergeCell ref="C33:C38"/>
    <mergeCell ref="D33:D38"/>
    <mergeCell ref="E33:E38"/>
    <mergeCell ref="F33:F38"/>
    <mergeCell ref="G33:G38"/>
    <mergeCell ref="H33:H38"/>
    <mergeCell ref="I33:I38"/>
    <mergeCell ref="B27:B32"/>
    <mergeCell ref="C27:C32"/>
    <mergeCell ref="D27:D32"/>
    <mergeCell ref="E27:E32"/>
    <mergeCell ref="F27:F32"/>
    <mergeCell ref="G27:G32"/>
    <mergeCell ref="H39:H44"/>
    <mergeCell ref="I39:I44"/>
    <mergeCell ref="B45:B50"/>
    <mergeCell ref="C45:C50"/>
    <mergeCell ref="D45:D50"/>
    <mergeCell ref="E45:E50"/>
    <mergeCell ref="F45:F50"/>
    <mergeCell ref="G45:G50"/>
    <mergeCell ref="H45:H50"/>
    <mergeCell ref="I45:I50"/>
    <mergeCell ref="B39:B44"/>
    <mergeCell ref="C39:C44"/>
    <mergeCell ref="D39:D44"/>
    <mergeCell ref="E39:E44"/>
    <mergeCell ref="F39:F44"/>
    <mergeCell ref="G39:G44"/>
    <mergeCell ref="H51:H56"/>
    <mergeCell ref="I51:I56"/>
    <mergeCell ref="B57:B62"/>
    <mergeCell ref="C57:C62"/>
    <mergeCell ref="D57:D62"/>
    <mergeCell ref="E57:E62"/>
    <mergeCell ref="F57:F62"/>
    <mergeCell ref="G57:G62"/>
    <mergeCell ref="H57:H62"/>
    <mergeCell ref="I57:I62"/>
    <mergeCell ref="B51:B56"/>
    <mergeCell ref="C51:C56"/>
    <mergeCell ref="D51:D56"/>
    <mergeCell ref="E51:E56"/>
    <mergeCell ref="F51:F56"/>
    <mergeCell ref="G51:G56"/>
    <mergeCell ref="B63:B68"/>
    <mergeCell ref="C63:J68"/>
    <mergeCell ref="Q63:Q68"/>
    <mergeCell ref="V63:W68"/>
    <mergeCell ref="B69:B74"/>
    <mergeCell ref="C69:J74"/>
    <mergeCell ref="Q69:Q74"/>
    <mergeCell ref="V69:W74"/>
    <mergeCell ref="V80:W80"/>
    <mergeCell ref="V81:W81"/>
    <mergeCell ref="B76:V76"/>
    <mergeCell ref="C77:D77"/>
    <mergeCell ref="I77:K78"/>
    <mergeCell ref="L77:M77"/>
    <mergeCell ref="C79:D79"/>
    <mergeCell ref="I79:J79"/>
    <mergeCell ref="L79:M79"/>
    <mergeCell ref="E77:F77"/>
  </mergeCells>
  <conditionalFormatting sqref="W4">
    <cfRule type="cellIs" dxfId="3" priority="1" operator="equal">
      <formula>"DEFECT"</formula>
    </cfRule>
    <cfRule type="cellIs" dxfId="2" priority="2" operator="equal">
      <formula>"MONITOR"</formula>
    </cfRule>
  </conditionalFormatting>
  <dataValidations count="5">
    <dataValidation type="list" allowBlank="1" showInputMessage="1" sqref="E15:E62" xr:uid="{0FC409D0-7302-4181-B40C-8D5F112A64D6}">
      <formula1>"XLPE,PILC,N/A,NOT ACCESSIBLE"</formula1>
    </dataValidation>
    <dataValidation type="list" allowBlank="1" showInputMessage="1" sqref="F15:F62" xr:uid="{38954C6E-AB60-4459-B1B4-BA4F4DCB1938}">
      <formula1>"SERVICE,TEST,RACK OUT,N/A"</formula1>
    </dataValidation>
    <dataValidation type="list" allowBlank="1" showInputMessage="1" sqref="G15:G62" xr:uid="{87B3C901-C2C1-4C36-B82B-BDE464BEF503}">
      <formula1>"CLOSE,TRIP,N/A"</formula1>
    </dataValidation>
    <dataValidation type="list" allowBlank="1" showInputMessage="1" sqref="H15:H62" xr:uid="{534CFF2C-5D55-4650-A160-BCCE4E26019A}">
      <formula1>"MAIN,RESERVE,N/A"</formula1>
    </dataValidation>
    <dataValidation type="list" allowBlank="1" showInputMessage="1" showErrorMessage="1" sqref="W4" xr:uid="{03ACBDB7-2C5A-4DBF-B412-B01C1B979C57}">
      <formula1>"NORMAL,DEFECT,MONITOR"</formula1>
    </dataValidation>
  </dataValidations>
  <pageMargins left="3.937007874015748E-2" right="3.937007874015748E-2" top="0" bottom="0" header="0.31496062992125984" footer="0.31496062992125984"/>
  <pageSetup scale="11" fitToHeight="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984D-4481-418C-B827-EFDFF27515F8}">
  <sheetPr>
    <tabColor rgb="FF92D050"/>
    <pageSetUpPr fitToPage="1"/>
  </sheetPr>
  <dimension ref="A1:W81"/>
  <sheetViews>
    <sheetView zoomScale="25" zoomScaleNormal="25" workbookViewId="0">
      <selection activeCell="W4" sqref="W4"/>
    </sheetView>
  </sheetViews>
  <sheetFormatPr defaultRowHeight="12.75" customHeight="1" x14ac:dyDescent="0.25"/>
  <cols>
    <col min="1" max="1" width="9.140625" style="45"/>
    <col min="2" max="2" width="22.7109375" style="45" customWidth="1"/>
    <col min="3" max="3" width="63.7109375" style="45" customWidth="1"/>
    <col min="4" max="4" width="110.7109375" style="45" customWidth="1"/>
    <col min="5" max="8" width="50.140625" style="45" customWidth="1"/>
    <col min="9" max="10" width="43" style="45" customWidth="1"/>
    <col min="11" max="11" width="88.42578125" style="45" customWidth="1"/>
    <col min="12" max="16" width="64.7109375" style="45" customWidth="1"/>
    <col min="17" max="17" width="85.85546875" style="45" customWidth="1"/>
    <col min="18" max="20" width="42.85546875" style="45" customWidth="1"/>
    <col min="21" max="21" width="85.5703125" style="45" customWidth="1"/>
    <col min="22" max="22" width="57" style="45" customWidth="1"/>
    <col min="23" max="23" width="42.7109375" style="45" customWidth="1"/>
    <col min="24" max="247" width="9.140625" style="45"/>
    <col min="248" max="248" width="16" style="45" customWidth="1"/>
    <col min="249" max="249" width="27.7109375" style="45" customWidth="1"/>
    <col min="250" max="250" width="65.7109375" style="45" customWidth="1"/>
    <col min="251" max="251" width="21.85546875" style="45" bestFit="1" customWidth="1"/>
    <col min="252" max="252" width="30.140625" style="45" customWidth="1"/>
    <col min="253" max="253" width="62" style="45" customWidth="1"/>
    <col min="254" max="254" width="44" style="45" customWidth="1"/>
    <col min="255" max="255" width="43.140625" style="45" customWidth="1"/>
    <col min="256" max="256" width="45" style="45" customWidth="1"/>
    <col min="257" max="257" width="35.5703125" style="45" customWidth="1"/>
    <col min="258" max="258" width="37.140625" style="45" customWidth="1"/>
    <col min="259" max="259" width="76.7109375" style="45" customWidth="1"/>
    <col min="260" max="260" width="37.7109375" style="45" customWidth="1"/>
    <col min="261" max="261" width="37.85546875" style="45" customWidth="1"/>
    <col min="262" max="262" width="39.85546875" style="45" customWidth="1"/>
    <col min="263" max="263" width="53.140625" style="45" customWidth="1"/>
    <col min="264" max="264" width="35.28515625" style="45" customWidth="1"/>
    <col min="265" max="265" width="31" style="45" customWidth="1"/>
    <col min="266" max="266" width="29.140625" style="45" customWidth="1"/>
    <col min="267" max="267" width="30.140625" style="45" customWidth="1"/>
    <col min="268" max="268" width="49.140625" style="45" customWidth="1"/>
    <col min="269" max="269" width="31.85546875" style="45" customWidth="1"/>
    <col min="270" max="270" width="39.140625" style="45" customWidth="1"/>
    <col min="271" max="271" width="53" style="45" bestFit="1" customWidth="1"/>
    <col min="272" max="272" width="33.42578125" style="45" bestFit="1" customWidth="1"/>
    <col min="273" max="273" width="28.140625" style="45" customWidth="1"/>
    <col min="274" max="278" width="6.7109375" style="45" customWidth="1"/>
    <col min="279" max="279" width="1.7109375" style="45" customWidth="1"/>
    <col min="280" max="503" width="9.140625" style="45"/>
    <col min="504" max="504" width="16" style="45" customWidth="1"/>
    <col min="505" max="505" width="27.7109375" style="45" customWidth="1"/>
    <col min="506" max="506" width="65.7109375" style="45" customWidth="1"/>
    <col min="507" max="507" width="21.85546875" style="45" bestFit="1" customWidth="1"/>
    <col min="508" max="508" width="30.140625" style="45" customWidth="1"/>
    <col min="509" max="509" width="62" style="45" customWidth="1"/>
    <col min="510" max="510" width="44" style="45" customWidth="1"/>
    <col min="511" max="511" width="43.140625" style="45" customWidth="1"/>
    <col min="512" max="512" width="45" style="45" customWidth="1"/>
    <col min="513" max="513" width="35.5703125" style="45" customWidth="1"/>
    <col min="514" max="514" width="37.140625" style="45" customWidth="1"/>
    <col min="515" max="515" width="76.7109375" style="45" customWidth="1"/>
    <col min="516" max="516" width="37.7109375" style="45" customWidth="1"/>
    <col min="517" max="517" width="37.85546875" style="45" customWidth="1"/>
    <col min="518" max="518" width="39.85546875" style="45" customWidth="1"/>
    <col min="519" max="519" width="53.140625" style="45" customWidth="1"/>
    <col min="520" max="520" width="35.28515625" style="45" customWidth="1"/>
    <col min="521" max="521" width="31" style="45" customWidth="1"/>
    <col min="522" max="522" width="29.140625" style="45" customWidth="1"/>
    <col min="523" max="523" width="30.140625" style="45" customWidth="1"/>
    <col min="524" max="524" width="49.140625" style="45" customWidth="1"/>
    <col min="525" max="525" width="31.85546875" style="45" customWidth="1"/>
    <col min="526" max="526" width="39.140625" style="45" customWidth="1"/>
    <col min="527" max="527" width="53" style="45" bestFit="1" customWidth="1"/>
    <col min="528" max="528" width="33.42578125" style="45" bestFit="1" customWidth="1"/>
    <col min="529" max="529" width="28.140625" style="45" customWidth="1"/>
    <col min="530" max="534" width="6.7109375" style="45" customWidth="1"/>
    <col min="535" max="535" width="1.7109375" style="45" customWidth="1"/>
    <col min="536" max="759" width="9.140625" style="45"/>
    <col min="760" max="760" width="16" style="45" customWidth="1"/>
    <col min="761" max="761" width="27.7109375" style="45" customWidth="1"/>
    <col min="762" max="762" width="65.7109375" style="45" customWidth="1"/>
    <col min="763" max="763" width="21.85546875" style="45" bestFit="1" customWidth="1"/>
    <col min="764" max="764" width="30.140625" style="45" customWidth="1"/>
    <col min="765" max="765" width="62" style="45" customWidth="1"/>
    <col min="766" max="766" width="44" style="45" customWidth="1"/>
    <col min="767" max="767" width="43.140625" style="45" customWidth="1"/>
    <col min="768" max="768" width="45" style="45" customWidth="1"/>
    <col min="769" max="769" width="35.5703125" style="45" customWidth="1"/>
    <col min="770" max="770" width="37.140625" style="45" customWidth="1"/>
    <col min="771" max="771" width="76.7109375" style="45" customWidth="1"/>
    <col min="772" max="772" width="37.7109375" style="45" customWidth="1"/>
    <col min="773" max="773" width="37.85546875" style="45" customWidth="1"/>
    <col min="774" max="774" width="39.85546875" style="45" customWidth="1"/>
    <col min="775" max="775" width="53.140625" style="45" customWidth="1"/>
    <col min="776" max="776" width="35.28515625" style="45" customWidth="1"/>
    <col min="777" max="777" width="31" style="45" customWidth="1"/>
    <col min="778" max="778" width="29.140625" style="45" customWidth="1"/>
    <col min="779" max="779" width="30.140625" style="45" customWidth="1"/>
    <col min="780" max="780" width="49.140625" style="45" customWidth="1"/>
    <col min="781" max="781" width="31.85546875" style="45" customWidth="1"/>
    <col min="782" max="782" width="39.140625" style="45" customWidth="1"/>
    <col min="783" max="783" width="53" style="45" bestFit="1" customWidth="1"/>
    <col min="784" max="784" width="33.42578125" style="45" bestFit="1" customWidth="1"/>
    <col min="785" max="785" width="28.140625" style="45" customWidth="1"/>
    <col min="786" max="790" width="6.7109375" style="45" customWidth="1"/>
    <col min="791" max="791" width="1.7109375" style="45" customWidth="1"/>
    <col min="792" max="1015" width="9.140625" style="45"/>
    <col min="1016" max="1016" width="16" style="45" customWidth="1"/>
    <col min="1017" max="1017" width="27.7109375" style="45" customWidth="1"/>
    <col min="1018" max="1018" width="65.7109375" style="45" customWidth="1"/>
    <col min="1019" max="1019" width="21.85546875" style="45" bestFit="1" customWidth="1"/>
    <col min="1020" max="1020" width="30.140625" style="45" customWidth="1"/>
    <col min="1021" max="1021" width="62" style="45" customWidth="1"/>
    <col min="1022" max="1022" width="44" style="45" customWidth="1"/>
    <col min="1023" max="1023" width="43.140625" style="45" customWidth="1"/>
    <col min="1024" max="1024" width="45" style="45" customWidth="1"/>
    <col min="1025" max="1025" width="35.5703125" style="45" customWidth="1"/>
    <col min="1026" max="1026" width="37.140625" style="45" customWidth="1"/>
    <col min="1027" max="1027" width="76.7109375" style="45" customWidth="1"/>
    <col min="1028" max="1028" width="37.7109375" style="45" customWidth="1"/>
    <col min="1029" max="1029" width="37.85546875" style="45" customWidth="1"/>
    <col min="1030" max="1030" width="39.85546875" style="45" customWidth="1"/>
    <col min="1031" max="1031" width="53.140625" style="45" customWidth="1"/>
    <col min="1032" max="1032" width="35.28515625" style="45" customWidth="1"/>
    <col min="1033" max="1033" width="31" style="45" customWidth="1"/>
    <col min="1034" max="1034" width="29.140625" style="45" customWidth="1"/>
    <col min="1035" max="1035" width="30.140625" style="45" customWidth="1"/>
    <col min="1036" max="1036" width="49.140625" style="45" customWidth="1"/>
    <col min="1037" max="1037" width="31.85546875" style="45" customWidth="1"/>
    <col min="1038" max="1038" width="39.140625" style="45" customWidth="1"/>
    <col min="1039" max="1039" width="53" style="45" bestFit="1" customWidth="1"/>
    <col min="1040" max="1040" width="33.42578125" style="45" bestFit="1" customWidth="1"/>
    <col min="1041" max="1041" width="28.140625" style="45" customWidth="1"/>
    <col min="1042" max="1046" width="6.7109375" style="45" customWidth="1"/>
    <col min="1047" max="1047" width="1.7109375" style="45" customWidth="1"/>
    <col min="1048" max="1271" width="9.140625" style="45"/>
    <col min="1272" max="1272" width="16" style="45" customWidth="1"/>
    <col min="1273" max="1273" width="27.7109375" style="45" customWidth="1"/>
    <col min="1274" max="1274" width="65.7109375" style="45" customWidth="1"/>
    <col min="1275" max="1275" width="21.85546875" style="45" bestFit="1" customWidth="1"/>
    <col min="1276" max="1276" width="30.140625" style="45" customWidth="1"/>
    <col min="1277" max="1277" width="62" style="45" customWidth="1"/>
    <col min="1278" max="1278" width="44" style="45" customWidth="1"/>
    <col min="1279" max="1279" width="43.140625" style="45" customWidth="1"/>
    <col min="1280" max="1280" width="45" style="45" customWidth="1"/>
    <col min="1281" max="1281" width="35.5703125" style="45" customWidth="1"/>
    <col min="1282" max="1282" width="37.140625" style="45" customWidth="1"/>
    <col min="1283" max="1283" width="76.7109375" style="45" customWidth="1"/>
    <col min="1284" max="1284" width="37.7109375" style="45" customWidth="1"/>
    <col min="1285" max="1285" width="37.85546875" style="45" customWidth="1"/>
    <col min="1286" max="1286" width="39.85546875" style="45" customWidth="1"/>
    <col min="1287" max="1287" width="53.140625" style="45" customWidth="1"/>
    <col min="1288" max="1288" width="35.28515625" style="45" customWidth="1"/>
    <col min="1289" max="1289" width="31" style="45" customWidth="1"/>
    <col min="1290" max="1290" width="29.140625" style="45" customWidth="1"/>
    <col min="1291" max="1291" width="30.140625" style="45" customWidth="1"/>
    <col min="1292" max="1292" width="49.140625" style="45" customWidth="1"/>
    <col min="1293" max="1293" width="31.85546875" style="45" customWidth="1"/>
    <col min="1294" max="1294" width="39.140625" style="45" customWidth="1"/>
    <col min="1295" max="1295" width="53" style="45" bestFit="1" customWidth="1"/>
    <col min="1296" max="1296" width="33.42578125" style="45" bestFit="1" customWidth="1"/>
    <col min="1297" max="1297" width="28.140625" style="45" customWidth="1"/>
    <col min="1298" max="1302" width="6.7109375" style="45" customWidth="1"/>
    <col min="1303" max="1303" width="1.7109375" style="45" customWidth="1"/>
    <col min="1304" max="1527" width="9.140625" style="45"/>
    <col min="1528" max="1528" width="16" style="45" customWidth="1"/>
    <col min="1529" max="1529" width="27.7109375" style="45" customWidth="1"/>
    <col min="1530" max="1530" width="65.7109375" style="45" customWidth="1"/>
    <col min="1531" max="1531" width="21.85546875" style="45" bestFit="1" customWidth="1"/>
    <col min="1532" max="1532" width="30.140625" style="45" customWidth="1"/>
    <col min="1533" max="1533" width="62" style="45" customWidth="1"/>
    <col min="1534" max="1534" width="44" style="45" customWidth="1"/>
    <col min="1535" max="1535" width="43.140625" style="45" customWidth="1"/>
    <col min="1536" max="1536" width="45" style="45" customWidth="1"/>
    <col min="1537" max="1537" width="35.5703125" style="45" customWidth="1"/>
    <col min="1538" max="1538" width="37.140625" style="45" customWidth="1"/>
    <col min="1539" max="1539" width="76.7109375" style="45" customWidth="1"/>
    <col min="1540" max="1540" width="37.7109375" style="45" customWidth="1"/>
    <col min="1541" max="1541" width="37.85546875" style="45" customWidth="1"/>
    <col min="1542" max="1542" width="39.85546875" style="45" customWidth="1"/>
    <col min="1543" max="1543" width="53.140625" style="45" customWidth="1"/>
    <col min="1544" max="1544" width="35.28515625" style="45" customWidth="1"/>
    <col min="1545" max="1545" width="31" style="45" customWidth="1"/>
    <col min="1546" max="1546" width="29.140625" style="45" customWidth="1"/>
    <col min="1547" max="1547" width="30.140625" style="45" customWidth="1"/>
    <col min="1548" max="1548" width="49.140625" style="45" customWidth="1"/>
    <col min="1549" max="1549" width="31.85546875" style="45" customWidth="1"/>
    <col min="1550" max="1550" width="39.140625" style="45" customWidth="1"/>
    <col min="1551" max="1551" width="53" style="45" bestFit="1" customWidth="1"/>
    <col min="1552" max="1552" width="33.42578125" style="45" bestFit="1" customWidth="1"/>
    <col min="1553" max="1553" width="28.140625" style="45" customWidth="1"/>
    <col min="1554" max="1558" width="6.7109375" style="45" customWidth="1"/>
    <col min="1559" max="1559" width="1.7109375" style="45" customWidth="1"/>
    <col min="1560" max="1783" width="9.140625" style="45"/>
    <col min="1784" max="1784" width="16" style="45" customWidth="1"/>
    <col min="1785" max="1785" width="27.7109375" style="45" customWidth="1"/>
    <col min="1786" max="1786" width="65.7109375" style="45" customWidth="1"/>
    <col min="1787" max="1787" width="21.85546875" style="45" bestFit="1" customWidth="1"/>
    <col min="1788" max="1788" width="30.140625" style="45" customWidth="1"/>
    <col min="1789" max="1789" width="62" style="45" customWidth="1"/>
    <col min="1790" max="1790" width="44" style="45" customWidth="1"/>
    <col min="1791" max="1791" width="43.140625" style="45" customWidth="1"/>
    <col min="1792" max="1792" width="45" style="45" customWidth="1"/>
    <col min="1793" max="1793" width="35.5703125" style="45" customWidth="1"/>
    <col min="1794" max="1794" width="37.140625" style="45" customWidth="1"/>
    <col min="1795" max="1795" width="76.7109375" style="45" customWidth="1"/>
    <col min="1796" max="1796" width="37.7109375" style="45" customWidth="1"/>
    <col min="1797" max="1797" width="37.85546875" style="45" customWidth="1"/>
    <col min="1798" max="1798" width="39.85546875" style="45" customWidth="1"/>
    <col min="1799" max="1799" width="53.140625" style="45" customWidth="1"/>
    <col min="1800" max="1800" width="35.28515625" style="45" customWidth="1"/>
    <col min="1801" max="1801" width="31" style="45" customWidth="1"/>
    <col min="1802" max="1802" width="29.140625" style="45" customWidth="1"/>
    <col min="1803" max="1803" width="30.140625" style="45" customWidth="1"/>
    <col min="1804" max="1804" width="49.140625" style="45" customWidth="1"/>
    <col min="1805" max="1805" width="31.85546875" style="45" customWidth="1"/>
    <col min="1806" max="1806" width="39.140625" style="45" customWidth="1"/>
    <col min="1807" max="1807" width="53" style="45" bestFit="1" customWidth="1"/>
    <col min="1808" max="1808" width="33.42578125" style="45" bestFit="1" customWidth="1"/>
    <col min="1809" max="1809" width="28.140625" style="45" customWidth="1"/>
    <col min="1810" max="1814" width="6.7109375" style="45" customWidth="1"/>
    <col min="1815" max="1815" width="1.7109375" style="45" customWidth="1"/>
    <col min="1816" max="2039" width="9.140625" style="45"/>
    <col min="2040" max="2040" width="16" style="45" customWidth="1"/>
    <col min="2041" max="2041" width="27.7109375" style="45" customWidth="1"/>
    <col min="2042" max="2042" width="65.7109375" style="45" customWidth="1"/>
    <col min="2043" max="2043" width="21.85546875" style="45" bestFit="1" customWidth="1"/>
    <col min="2044" max="2044" width="30.140625" style="45" customWidth="1"/>
    <col min="2045" max="2045" width="62" style="45" customWidth="1"/>
    <col min="2046" max="2046" width="44" style="45" customWidth="1"/>
    <col min="2047" max="2047" width="43.140625" style="45" customWidth="1"/>
    <col min="2048" max="2048" width="45" style="45" customWidth="1"/>
    <col min="2049" max="2049" width="35.5703125" style="45" customWidth="1"/>
    <col min="2050" max="2050" width="37.140625" style="45" customWidth="1"/>
    <col min="2051" max="2051" width="76.7109375" style="45" customWidth="1"/>
    <col min="2052" max="2052" width="37.7109375" style="45" customWidth="1"/>
    <col min="2053" max="2053" width="37.85546875" style="45" customWidth="1"/>
    <col min="2054" max="2054" width="39.85546875" style="45" customWidth="1"/>
    <col min="2055" max="2055" width="53.140625" style="45" customWidth="1"/>
    <col min="2056" max="2056" width="35.28515625" style="45" customWidth="1"/>
    <col min="2057" max="2057" width="31" style="45" customWidth="1"/>
    <col min="2058" max="2058" width="29.140625" style="45" customWidth="1"/>
    <col min="2059" max="2059" width="30.140625" style="45" customWidth="1"/>
    <col min="2060" max="2060" width="49.140625" style="45" customWidth="1"/>
    <col min="2061" max="2061" width="31.85546875" style="45" customWidth="1"/>
    <col min="2062" max="2062" width="39.140625" style="45" customWidth="1"/>
    <col min="2063" max="2063" width="53" style="45" bestFit="1" customWidth="1"/>
    <col min="2064" max="2064" width="33.42578125" style="45" bestFit="1" customWidth="1"/>
    <col min="2065" max="2065" width="28.140625" style="45" customWidth="1"/>
    <col min="2066" max="2070" width="6.7109375" style="45" customWidth="1"/>
    <col min="2071" max="2071" width="1.7109375" style="45" customWidth="1"/>
    <col min="2072" max="2295" width="9.140625" style="45"/>
    <col min="2296" max="2296" width="16" style="45" customWidth="1"/>
    <col min="2297" max="2297" width="27.7109375" style="45" customWidth="1"/>
    <col min="2298" max="2298" width="65.7109375" style="45" customWidth="1"/>
    <col min="2299" max="2299" width="21.85546875" style="45" bestFit="1" customWidth="1"/>
    <col min="2300" max="2300" width="30.140625" style="45" customWidth="1"/>
    <col min="2301" max="2301" width="62" style="45" customWidth="1"/>
    <col min="2302" max="2302" width="44" style="45" customWidth="1"/>
    <col min="2303" max="2303" width="43.140625" style="45" customWidth="1"/>
    <col min="2304" max="2304" width="45" style="45" customWidth="1"/>
    <col min="2305" max="2305" width="35.5703125" style="45" customWidth="1"/>
    <col min="2306" max="2306" width="37.140625" style="45" customWidth="1"/>
    <col min="2307" max="2307" width="76.7109375" style="45" customWidth="1"/>
    <col min="2308" max="2308" width="37.7109375" style="45" customWidth="1"/>
    <col min="2309" max="2309" width="37.85546875" style="45" customWidth="1"/>
    <col min="2310" max="2310" width="39.85546875" style="45" customWidth="1"/>
    <col min="2311" max="2311" width="53.140625" style="45" customWidth="1"/>
    <col min="2312" max="2312" width="35.28515625" style="45" customWidth="1"/>
    <col min="2313" max="2313" width="31" style="45" customWidth="1"/>
    <col min="2314" max="2314" width="29.140625" style="45" customWidth="1"/>
    <col min="2315" max="2315" width="30.140625" style="45" customWidth="1"/>
    <col min="2316" max="2316" width="49.140625" style="45" customWidth="1"/>
    <col min="2317" max="2317" width="31.85546875" style="45" customWidth="1"/>
    <col min="2318" max="2318" width="39.140625" style="45" customWidth="1"/>
    <col min="2319" max="2319" width="53" style="45" bestFit="1" customWidth="1"/>
    <col min="2320" max="2320" width="33.42578125" style="45" bestFit="1" customWidth="1"/>
    <col min="2321" max="2321" width="28.140625" style="45" customWidth="1"/>
    <col min="2322" max="2326" width="6.7109375" style="45" customWidth="1"/>
    <col min="2327" max="2327" width="1.7109375" style="45" customWidth="1"/>
    <col min="2328" max="2551" width="9.140625" style="45"/>
    <col min="2552" max="2552" width="16" style="45" customWidth="1"/>
    <col min="2553" max="2553" width="27.7109375" style="45" customWidth="1"/>
    <col min="2554" max="2554" width="65.7109375" style="45" customWidth="1"/>
    <col min="2555" max="2555" width="21.85546875" style="45" bestFit="1" customWidth="1"/>
    <col min="2556" max="2556" width="30.140625" style="45" customWidth="1"/>
    <col min="2557" max="2557" width="62" style="45" customWidth="1"/>
    <col min="2558" max="2558" width="44" style="45" customWidth="1"/>
    <col min="2559" max="2559" width="43.140625" style="45" customWidth="1"/>
    <col min="2560" max="2560" width="45" style="45" customWidth="1"/>
    <col min="2561" max="2561" width="35.5703125" style="45" customWidth="1"/>
    <col min="2562" max="2562" width="37.140625" style="45" customWidth="1"/>
    <col min="2563" max="2563" width="76.7109375" style="45" customWidth="1"/>
    <col min="2564" max="2564" width="37.7109375" style="45" customWidth="1"/>
    <col min="2565" max="2565" width="37.85546875" style="45" customWidth="1"/>
    <col min="2566" max="2566" width="39.85546875" style="45" customWidth="1"/>
    <col min="2567" max="2567" width="53.140625" style="45" customWidth="1"/>
    <col min="2568" max="2568" width="35.28515625" style="45" customWidth="1"/>
    <col min="2569" max="2569" width="31" style="45" customWidth="1"/>
    <col min="2570" max="2570" width="29.140625" style="45" customWidth="1"/>
    <col min="2571" max="2571" width="30.140625" style="45" customWidth="1"/>
    <col min="2572" max="2572" width="49.140625" style="45" customWidth="1"/>
    <col min="2573" max="2573" width="31.85546875" style="45" customWidth="1"/>
    <col min="2574" max="2574" width="39.140625" style="45" customWidth="1"/>
    <col min="2575" max="2575" width="53" style="45" bestFit="1" customWidth="1"/>
    <col min="2576" max="2576" width="33.42578125" style="45" bestFit="1" customWidth="1"/>
    <col min="2577" max="2577" width="28.140625" style="45" customWidth="1"/>
    <col min="2578" max="2582" width="6.7109375" style="45" customWidth="1"/>
    <col min="2583" max="2583" width="1.7109375" style="45" customWidth="1"/>
    <col min="2584" max="2807" width="9.140625" style="45"/>
    <col min="2808" max="2808" width="16" style="45" customWidth="1"/>
    <col min="2809" max="2809" width="27.7109375" style="45" customWidth="1"/>
    <col min="2810" max="2810" width="65.7109375" style="45" customWidth="1"/>
    <col min="2811" max="2811" width="21.85546875" style="45" bestFit="1" customWidth="1"/>
    <col min="2812" max="2812" width="30.140625" style="45" customWidth="1"/>
    <col min="2813" max="2813" width="62" style="45" customWidth="1"/>
    <col min="2814" max="2814" width="44" style="45" customWidth="1"/>
    <col min="2815" max="2815" width="43.140625" style="45" customWidth="1"/>
    <col min="2816" max="2816" width="45" style="45" customWidth="1"/>
    <col min="2817" max="2817" width="35.5703125" style="45" customWidth="1"/>
    <col min="2818" max="2818" width="37.140625" style="45" customWidth="1"/>
    <col min="2819" max="2819" width="76.7109375" style="45" customWidth="1"/>
    <col min="2820" max="2820" width="37.7109375" style="45" customWidth="1"/>
    <col min="2821" max="2821" width="37.85546875" style="45" customWidth="1"/>
    <col min="2822" max="2822" width="39.85546875" style="45" customWidth="1"/>
    <col min="2823" max="2823" width="53.140625" style="45" customWidth="1"/>
    <col min="2824" max="2824" width="35.28515625" style="45" customWidth="1"/>
    <col min="2825" max="2825" width="31" style="45" customWidth="1"/>
    <col min="2826" max="2826" width="29.140625" style="45" customWidth="1"/>
    <col min="2827" max="2827" width="30.140625" style="45" customWidth="1"/>
    <col min="2828" max="2828" width="49.140625" style="45" customWidth="1"/>
    <col min="2829" max="2829" width="31.85546875" style="45" customWidth="1"/>
    <col min="2830" max="2830" width="39.140625" style="45" customWidth="1"/>
    <col min="2831" max="2831" width="53" style="45" bestFit="1" customWidth="1"/>
    <col min="2832" max="2832" width="33.42578125" style="45" bestFit="1" customWidth="1"/>
    <col min="2833" max="2833" width="28.140625" style="45" customWidth="1"/>
    <col min="2834" max="2838" width="6.7109375" style="45" customWidth="1"/>
    <col min="2839" max="2839" width="1.7109375" style="45" customWidth="1"/>
    <col min="2840" max="3063" width="9.140625" style="45"/>
    <col min="3064" max="3064" width="16" style="45" customWidth="1"/>
    <col min="3065" max="3065" width="27.7109375" style="45" customWidth="1"/>
    <col min="3066" max="3066" width="65.7109375" style="45" customWidth="1"/>
    <col min="3067" max="3067" width="21.85546875" style="45" bestFit="1" customWidth="1"/>
    <col min="3068" max="3068" width="30.140625" style="45" customWidth="1"/>
    <col min="3069" max="3069" width="62" style="45" customWidth="1"/>
    <col min="3070" max="3070" width="44" style="45" customWidth="1"/>
    <col min="3071" max="3071" width="43.140625" style="45" customWidth="1"/>
    <col min="3072" max="3072" width="45" style="45" customWidth="1"/>
    <col min="3073" max="3073" width="35.5703125" style="45" customWidth="1"/>
    <col min="3074" max="3074" width="37.140625" style="45" customWidth="1"/>
    <col min="3075" max="3075" width="76.7109375" style="45" customWidth="1"/>
    <col min="3076" max="3076" width="37.7109375" style="45" customWidth="1"/>
    <col min="3077" max="3077" width="37.85546875" style="45" customWidth="1"/>
    <col min="3078" max="3078" width="39.85546875" style="45" customWidth="1"/>
    <col min="3079" max="3079" width="53.140625" style="45" customWidth="1"/>
    <col min="3080" max="3080" width="35.28515625" style="45" customWidth="1"/>
    <col min="3081" max="3081" width="31" style="45" customWidth="1"/>
    <col min="3082" max="3082" width="29.140625" style="45" customWidth="1"/>
    <col min="3083" max="3083" width="30.140625" style="45" customWidth="1"/>
    <col min="3084" max="3084" width="49.140625" style="45" customWidth="1"/>
    <col min="3085" max="3085" width="31.85546875" style="45" customWidth="1"/>
    <col min="3086" max="3086" width="39.140625" style="45" customWidth="1"/>
    <col min="3087" max="3087" width="53" style="45" bestFit="1" customWidth="1"/>
    <col min="3088" max="3088" width="33.42578125" style="45" bestFit="1" customWidth="1"/>
    <col min="3089" max="3089" width="28.140625" style="45" customWidth="1"/>
    <col min="3090" max="3094" width="6.7109375" style="45" customWidth="1"/>
    <col min="3095" max="3095" width="1.7109375" style="45" customWidth="1"/>
    <col min="3096" max="3319" width="9.140625" style="45"/>
    <col min="3320" max="3320" width="16" style="45" customWidth="1"/>
    <col min="3321" max="3321" width="27.7109375" style="45" customWidth="1"/>
    <col min="3322" max="3322" width="65.7109375" style="45" customWidth="1"/>
    <col min="3323" max="3323" width="21.85546875" style="45" bestFit="1" customWidth="1"/>
    <col min="3324" max="3324" width="30.140625" style="45" customWidth="1"/>
    <col min="3325" max="3325" width="62" style="45" customWidth="1"/>
    <col min="3326" max="3326" width="44" style="45" customWidth="1"/>
    <col min="3327" max="3327" width="43.140625" style="45" customWidth="1"/>
    <col min="3328" max="3328" width="45" style="45" customWidth="1"/>
    <col min="3329" max="3329" width="35.5703125" style="45" customWidth="1"/>
    <col min="3330" max="3330" width="37.140625" style="45" customWidth="1"/>
    <col min="3331" max="3331" width="76.7109375" style="45" customWidth="1"/>
    <col min="3332" max="3332" width="37.7109375" style="45" customWidth="1"/>
    <col min="3333" max="3333" width="37.85546875" style="45" customWidth="1"/>
    <col min="3334" max="3334" width="39.85546875" style="45" customWidth="1"/>
    <col min="3335" max="3335" width="53.140625" style="45" customWidth="1"/>
    <col min="3336" max="3336" width="35.28515625" style="45" customWidth="1"/>
    <col min="3337" max="3337" width="31" style="45" customWidth="1"/>
    <col min="3338" max="3338" width="29.140625" style="45" customWidth="1"/>
    <col min="3339" max="3339" width="30.140625" style="45" customWidth="1"/>
    <col min="3340" max="3340" width="49.140625" style="45" customWidth="1"/>
    <col min="3341" max="3341" width="31.85546875" style="45" customWidth="1"/>
    <col min="3342" max="3342" width="39.140625" style="45" customWidth="1"/>
    <col min="3343" max="3343" width="53" style="45" bestFit="1" customWidth="1"/>
    <col min="3344" max="3344" width="33.42578125" style="45" bestFit="1" customWidth="1"/>
    <col min="3345" max="3345" width="28.140625" style="45" customWidth="1"/>
    <col min="3346" max="3350" width="6.7109375" style="45" customWidth="1"/>
    <col min="3351" max="3351" width="1.7109375" style="45" customWidth="1"/>
    <col min="3352" max="3575" width="9.140625" style="45"/>
    <col min="3576" max="3576" width="16" style="45" customWidth="1"/>
    <col min="3577" max="3577" width="27.7109375" style="45" customWidth="1"/>
    <col min="3578" max="3578" width="65.7109375" style="45" customWidth="1"/>
    <col min="3579" max="3579" width="21.85546875" style="45" bestFit="1" customWidth="1"/>
    <col min="3580" max="3580" width="30.140625" style="45" customWidth="1"/>
    <col min="3581" max="3581" width="62" style="45" customWidth="1"/>
    <col min="3582" max="3582" width="44" style="45" customWidth="1"/>
    <col min="3583" max="3583" width="43.140625" style="45" customWidth="1"/>
    <col min="3584" max="3584" width="45" style="45" customWidth="1"/>
    <col min="3585" max="3585" width="35.5703125" style="45" customWidth="1"/>
    <col min="3586" max="3586" width="37.140625" style="45" customWidth="1"/>
    <col min="3587" max="3587" width="76.7109375" style="45" customWidth="1"/>
    <col min="3588" max="3588" width="37.7109375" style="45" customWidth="1"/>
    <col min="3589" max="3589" width="37.85546875" style="45" customWidth="1"/>
    <col min="3590" max="3590" width="39.85546875" style="45" customWidth="1"/>
    <col min="3591" max="3591" width="53.140625" style="45" customWidth="1"/>
    <col min="3592" max="3592" width="35.28515625" style="45" customWidth="1"/>
    <col min="3593" max="3593" width="31" style="45" customWidth="1"/>
    <col min="3594" max="3594" width="29.140625" style="45" customWidth="1"/>
    <col min="3595" max="3595" width="30.140625" style="45" customWidth="1"/>
    <col min="3596" max="3596" width="49.140625" style="45" customWidth="1"/>
    <col min="3597" max="3597" width="31.85546875" style="45" customWidth="1"/>
    <col min="3598" max="3598" width="39.140625" style="45" customWidth="1"/>
    <col min="3599" max="3599" width="53" style="45" bestFit="1" customWidth="1"/>
    <col min="3600" max="3600" width="33.42578125" style="45" bestFit="1" customWidth="1"/>
    <col min="3601" max="3601" width="28.140625" style="45" customWidth="1"/>
    <col min="3602" max="3606" width="6.7109375" style="45" customWidth="1"/>
    <col min="3607" max="3607" width="1.7109375" style="45" customWidth="1"/>
    <col min="3608" max="3831" width="9.140625" style="45"/>
    <col min="3832" max="3832" width="16" style="45" customWidth="1"/>
    <col min="3833" max="3833" width="27.7109375" style="45" customWidth="1"/>
    <col min="3834" max="3834" width="65.7109375" style="45" customWidth="1"/>
    <col min="3835" max="3835" width="21.85546875" style="45" bestFit="1" customWidth="1"/>
    <col min="3836" max="3836" width="30.140625" style="45" customWidth="1"/>
    <col min="3837" max="3837" width="62" style="45" customWidth="1"/>
    <col min="3838" max="3838" width="44" style="45" customWidth="1"/>
    <col min="3839" max="3839" width="43.140625" style="45" customWidth="1"/>
    <col min="3840" max="3840" width="45" style="45" customWidth="1"/>
    <col min="3841" max="3841" width="35.5703125" style="45" customWidth="1"/>
    <col min="3842" max="3842" width="37.140625" style="45" customWidth="1"/>
    <col min="3843" max="3843" width="76.7109375" style="45" customWidth="1"/>
    <col min="3844" max="3844" width="37.7109375" style="45" customWidth="1"/>
    <col min="3845" max="3845" width="37.85546875" style="45" customWidth="1"/>
    <col min="3846" max="3846" width="39.85546875" style="45" customWidth="1"/>
    <col min="3847" max="3847" width="53.140625" style="45" customWidth="1"/>
    <col min="3848" max="3848" width="35.28515625" style="45" customWidth="1"/>
    <col min="3849" max="3849" width="31" style="45" customWidth="1"/>
    <col min="3850" max="3850" width="29.140625" style="45" customWidth="1"/>
    <col min="3851" max="3851" width="30.140625" style="45" customWidth="1"/>
    <col min="3852" max="3852" width="49.140625" style="45" customWidth="1"/>
    <col min="3853" max="3853" width="31.85546875" style="45" customWidth="1"/>
    <col min="3854" max="3854" width="39.140625" style="45" customWidth="1"/>
    <col min="3855" max="3855" width="53" style="45" bestFit="1" customWidth="1"/>
    <col min="3856" max="3856" width="33.42578125" style="45" bestFit="1" customWidth="1"/>
    <col min="3857" max="3857" width="28.140625" style="45" customWidth="1"/>
    <col min="3858" max="3862" width="6.7109375" style="45" customWidth="1"/>
    <col min="3863" max="3863" width="1.7109375" style="45" customWidth="1"/>
    <col min="3864" max="4087" width="9.140625" style="45"/>
    <col min="4088" max="4088" width="16" style="45" customWidth="1"/>
    <col min="4089" max="4089" width="27.7109375" style="45" customWidth="1"/>
    <col min="4090" max="4090" width="65.7109375" style="45" customWidth="1"/>
    <col min="4091" max="4091" width="21.85546875" style="45" bestFit="1" customWidth="1"/>
    <col min="4092" max="4092" width="30.140625" style="45" customWidth="1"/>
    <col min="4093" max="4093" width="62" style="45" customWidth="1"/>
    <col min="4094" max="4094" width="44" style="45" customWidth="1"/>
    <col min="4095" max="4095" width="43.140625" style="45" customWidth="1"/>
    <col min="4096" max="4096" width="45" style="45" customWidth="1"/>
    <col min="4097" max="4097" width="35.5703125" style="45" customWidth="1"/>
    <col min="4098" max="4098" width="37.140625" style="45" customWidth="1"/>
    <col min="4099" max="4099" width="76.7109375" style="45" customWidth="1"/>
    <col min="4100" max="4100" width="37.7109375" style="45" customWidth="1"/>
    <col min="4101" max="4101" width="37.85546875" style="45" customWidth="1"/>
    <col min="4102" max="4102" width="39.85546875" style="45" customWidth="1"/>
    <col min="4103" max="4103" width="53.140625" style="45" customWidth="1"/>
    <col min="4104" max="4104" width="35.28515625" style="45" customWidth="1"/>
    <col min="4105" max="4105" width="31" style="45" customWidth="1"/>
    <col min="4106" max="4106" width="29.140625" style="45" customWidth="1"/>
    <col min="4107" max="4107" width="30.140625" style="45" customWidth="1"/>
    <col min="4108" max="4108" width="49.140625" style="45" customWidth="1"/>
    <col min="4109" max="4109" width="31.85546875" style="45" customWidth="1"/>
    <col min="4110" max="4110" width="39.140625" style="45" customWidth="1"/>
    <col min="4111" max="4111" width="53" style="45" bestFit="1" customWidth="1"/>
    <col min="4112" max="4112" width="33.42578125" style="45" bestFit="1" customWidth="1"/>
    <col min="4113" max="4113" width="28.140625" style="45" customWidth="1"/>
    <col min="4114" max="4118" width="6.7109375" style="45" customWidth="1"/>
    <col min="4119" max="4119" width="1.7109375" style="45" customWidth="1"/>
    <col min="4120" max="4343" width="9.140625" style="45"/>
    <col min="4344" max="4344" width="16" style="45" customWidth="1"/>
    <col min="4345" max="4345" width="27.7109375" style="45" customWidth="1"/>
    <col min="4346" max="4346" width="65.7109375" style="45" customWidth="1"/>
    <col min="4347" max="4347" width="21.85546875" style="45" bestFit="1" customWidth="1"/>
    <col min="4348" max="4348" width="30.140625" style="45" customWidth="1"/>
    <col min="4349" max="4349" width="62" style="45" customWidth="1"/>
    <col min="4350" max="4350" width="44" style="45" customWidth="1"/>
    <col min="4351" max="4351" width="43.140625" style="45" customWidth="1"/>
    <col min="4352" max="4352" width="45" style="45" customWidth="1"/>
    <col min="4353" max="4353" width="35.5703125" style="45" customWidth="1"/>
    <col min="4354" max="4354" width="37.140625" style="45" customWidth="1"/>
    <col min="4355" max="4355" width="76.7109375" style="45" customWidth="1"/>
    <col min="4356" max="4356" width="37.7109375" style="45" customWidth="1"/>
    <col min="4357" max="4357" width="37.85546875" style="45" customWidth="1"/>
    <col min="4358" max="4358" width="39.85546875" style="45" customWidth="1"/>
    <col min="4359" max="4359" width="53.140625" style="45" customWidth="1"/>
    <col min="4360" max="4360" width="35.28515625" style="45" customWidth="1"/>
    <col min="4361" max="4361" width="31" style="45" customWidth="1"/>
    <col min="4362" max="4362" width="29.140625" style="45" customWidth="1"/>
    <col min="4363" max="4363" width="30.140625" style="45" customWidth="1"/>
    <col min="4364" max="4364" width="49.140625" style="45" customWidth="1"/>
    <col min="4365" max="4365" width="31.85546875" style="45" customWidth="1"/>
    <col min="4366" max="4366" width="39.140625" style="45" customWidth="1"/>
    <col min="4367" max="4367" width="53" style="45" bestFit="1" customWidth="1"/>
    <col min="4368" max="4368" width="33.42578125" style="45" bestFit="1" customWidth="1"/>
    <col min="4369" max="4369" width="28.140625" style="45" customWidth="1"/>
    <col min="4370" max="4374" width="6.7109375" style="45" customWidth="1"/>
    <col min="4375" max="4375" width="1.7109375" style="45" customWidth="1"/>
    <col min="4376" max="4599" width="9.140625" style="45"/>
    <col min="4600" max="4600" width="16" style="45" customWidth="1"/>
    <col min="4601" max="4601" width="27.7109375" style="45" customWidth="1"/>
    <col min="4602" max="4602" width="65.7109375" style="45" customWidth="1"/>
    <col min="4603" max="4603" width="21.85546875" style="45" bestFit="1" customWidth="1"/>
    <col min="4604" max="4604" width="30.140625" style="45" customWidth="1"/>
    <col min="4605" max="4605" width="62" style="45" customWidth="1"/>
    <col min="4606" max="4606" width="44" style="45" customWidth="1"/>
    <col min="4607" max="4607" width="43.140625" style="45" customWidth="1"/>
    <col min="4608" max="4608" width="45" style="45" customWidth="1"/>
    <col min="4609" max="4609" width="35.5703125" style="45" customWidth="1"/>
    <col min="4610" max="4610" width="37.140625" style="45" customWidth="1"/>
    <col min="4611" max="4611" width="76.7109375" style="45" customWidth="1"/>
    <col min="4612" max="4612" width="37.7109375" style="45" customWidth="1"/>
    <col min="4613" max="4613" width="37.85546875" style="45" customWidth="1"/>
    <col min="4614" max="4614" width="39.85546875" style="45" customWidth="1"/>
    <col min="4615" max="4615" width="53.140625" style="45" customWidth="1"/>
    <col min="4616" max="4616" width="35.28515625" style="45" customWidth="1"/>
    <col min="4617" max="4617" width="31" style="45" customWidth="1"/>
    <col min="4618" max="4618" width="29.140625" style="45" customWidth="1"/>
    <col min="4619" max="4619" width="30.140625" style="45" customWidth="1"/>
    <col min="4620" max="4620" width="49.140625" style="45" customWidth="1"/>
    <col min="4621" max="4621" width="31.85546875" style="45" customWidth="1"/>
    <col min="4622" max="4622" width="39.140625" style="45" customWidth="1"/>
    <col min="4623" max="4623" width="53" style="45" bestFit="1" customWidth="1"/>
    <col min="4624" max="4624" width="33.42578125" style="45" bestFit="1" customWidth="1"/>
    <col min="4625" max="4625" width="28.140625" style="45" customWidth="1"/>
    <col min="4626" max="4630" width="6.7109375" style="45" customWidth="1"/>
    <col min="4631" max="4631" width="1.7109375" style="45" customWidth="1"/>
    <col min="4632" max="4855" width="9.140625" style="45"/>
    <col min="4856" max="4856" width="16" style="45" customWidth="1"/>
    <col min="4857" max="4857" width="27.7109375" style="45" customWidth="1"/>
    <col min="4858" max="4858" width="65.7109375" style="45" customWidth="1"/>
    <col min="4859" max="4859" width="21.85546875" style="45" bestFit="1" customWidth="1"/>
    <col min="4860" max="4860" width="30.140625" style="45" customWidth="1"/>
    <col min="4861" max="4861" width="62" style="45" customWidth="1"/>
    <col min="4862" max="4862" width="44" style="45" customWidth="1"/>
    <col min="4863" max="4863" width="43.140625" style="45" customWidth="1"/>
    <col min="4864" max="4864" width="45" style="45" customWidth="1"/>
    <col min="4865" max="4865" width="35.5703125" style="45" customWidth="1"/>
    <col min="4866" max="4866" width="37.140625" style="45" customWidth="1"/>
    <col min="4867" max="4867" width="76.7109375" style="45" customWidth="1"/>
    <col min="4868" max="4868" width="37.7109375" style="45" customWidth="1"/>
    <col min="4869" max="4869" width="37.85546875" style="45" customWidth="1"/>
    <col min="4870" max="4870" width="39.85546875" style="45" customWidth="1"/>
    <col min="4871" max="4871" width="53.140625" style="45" customWidth="1"/>
    <col min="4872" max="4872" width="35.28515625" style="45" customWidth="1"/>
    <col min="4873" max="4873" width="31" style="45" customWidth="1"/>
    <col min="4874" max="4874" width="29.140625" style="45" customWidth="1"/>
    <col min="4875" max="4875" width="30.140625" style="45" customWidth="1"/>
    <col min="4876" max="4876" width="49.140625" style="45" customWidth="1"/>
    <col min="4877" max="4877" width="31.85546875" style="45" customWidth="1"/>
    <col min="4878" max="4878" width="39.140625" style="45" customWidth="1"/>
    <col min="4879" max="4879" width="53" style="45" bestFit="1" customWidth="1"/>
    <col min="4880" max="4880" width="33.42578125" style="45" bestFit="1" customWidth="1"/>
    <col min="4881" max="4881" width="28.140625" style="45" customWidth="1"/>
    <col min="4882" max="4886" width="6.7109375" style="45" customWidth="1"/>
    <col min="4887" max="4887" width="1.7109375" style="45" customWidth="1"/>
    <col min="4888" max="5111" width="9.140625" style="45"/>
    <col min="5112" max="5112" width="16" style="45" customWidth="1"/>
    <col min="5113" max="5113" width="27.7109375" style="45" customWidth="1"/>
    <col min="5114" max="5114" width="65.7109375" style="45" customWidth="1"/>
    <col min="5115" max="5115" width="21.85546875" style="45" bestFit="1" customWidth="1"/>
    <col min="5116" max="5116" width="30.140625" style="45" customWidth="1"/>
    <col min="5117" max="5117" width="62" style="45" customWidth="1"/>
    <col min="5118" max="5118" width="44" style="45" customWidth="1"/>
    <col min="5119" max="5119" width="43.140625" style="45" customWidth="1"/>
    <col min="5120" max="5120" width="45" style="45" customWidth="1"/>
    <col min="5121" max="5121" width="35.5703125" style="45" customWidth="1"/>
    <col min="5122" max="5122" width="37.140625" style="45" customWidth="1"/>
    <col min="5123" max="5123" width="76.7109375" style="45" customWidth="1"/>
    <col min="5124" max="5124" width="37.7109375" style="45" customWidth="1"/>
    <col min="5125" max="5125" width="37.85546875" style="45" customWidth="1"/>
    <col min="5126" max="5126" width="39.85546875" style="45" customWidth="1"/>
    <col min="5127" max="5127" width="53.140625" style="45" customWidth="1"/>
    <col min="5128" max="5128" width="35.28515625" style="45" customWidth="1"/>
    <col min="5129" max="5129" width="31" style="45" customWidth="1"/>
    <col min="5130" max="5130" width="29.140625" style="45" customWidth="1"/>
    <col min="5131" max="5131" width="30.140625" style="45" customWidth="1"/>
    <col min="5132" max="5132" width="49.140625" style="45" customWidth="1"/>
    <col min="5133" max="5133" width="31.85546875" style="45" customWidth="1"/>
    <col min="5134" max="5134" width="39.140625" style="45" customWidth="1"/>
    <col min="5135" max="5135" width="53" style="45" bestFit="1" customWidth="1"/>
    <col min="5136" max="5136" width="33.42578125" style="45" bestFit="1" customWidth="1"/>
    <col min="5137" max="5137" width="28.140625" style="45" customWidth="1"/>
    <col min="5138" max="5142" width="6.7109375" style="45" customWidth="1"/>
    <col min="5143" max="5143" width="1.7109375" style="45" customWidth="1"/>
    <col min="5144" max="5367" width="9.140625" style="45"/>
    <col min="5368" max="5368" width="16" style="45" customWidth="1"/>
    <col min="5369" max="5369" width="27.7109375" style="45" customWidth="1"/>
    <col min="5370" max="5370" width="65.7109375" style="45" customWidth="1"/>
    <col min="5371" max="5371" width="21.85546875" style="45" bestFit="1" customWidth="1"/>
    <col min="5372" max="5372" width="30.140625" style="45" customWidth="1"/>
    <col min="5373" max="5373" width="62" style="45" customWidth="1"/>
    <col min="5374" max="5374" width="44" style="45" customWidth="1"/>
    <col min="5375" max="5375" width="43.140625" style="45" customWidth="1"/>
    <col min="5376" max="5376" width="45" style="45" customWidth="1"/>
    <col min="5377" max="5377" width="35.5703125" style="45" customWidth="1"/>
    <col min="5378" max="5378" width="37.140625" style="45" customWidth="1"/>
    <col min="5379" max="5379" width="76.7109375" style="45" customWidth="1"/>
    <col min="5380" max="5380" width="37.7109375" style="45" customWidth="1"/>
    <col min="5381" max="5381" width="37.85546875" style="45" customWidth="1"/>
    <col min="5382" max="5382" width="39.85546875" style="45" customWidth="1"/>
    <col min="5383" max="5383" width="53.140625" style="45" customWidth="1"/>
    <col min="5384" max="5384" width="35.28515625" style="45" customWidth="1"/>
    <col min="5385" max="5385" width="31" style="45" customWidth="1"/>
    <col min="5386" max="5386" width="29.140625" style="45" customWidth="1"/>
    <col min="5387" max="5387" width="30.140625" style="45" customWidth="1"/>
    <col min="5388" max="5388" width="49.140625" style="45" customWidth="1"/>
    <col min="5389" max="5389" width="31.85546875" style="45" customWidth="1"/>
    <col min="5390" max="5390" width="39.140625" style="45" customWidth="1"/>
    <col min="5391" max="5391" width="53" style="45" bestFit="1" customWidth="1"/>
    <col min="5392" max="5392" width="33.42578125" style="45" bestFit="1" customWidth="1"/>
    <col min="5393" max="5393" width="28.140625" style="45" customWidth="1"/>
    <col min="5394" max="5398" width="6.7109375" style="45" customWidth="1"/>
    <col min="5399" max="5399" width="1.7109375" style="45" customWidth="1"/>
    <col min="5400" max="5623" width="9.140625" style="45"/>
    <col min="5624" max="5624" width="16" style="45" customWidth="1"/>
    <col min="5625" max="5625" width="27.7109375" style="45" customWidth="1"/>
    <col min="5626" max="5626" width="65.7109375" style="45" customWidth="1"/>
    <col min="5627" max="5627" width="21.85546875" style="45" bestFit="1" customWidth="1"/>
    <col min="5628" max="5628" width="30.140625" style="45" customWidth="1"/>
    <col min="5629" max="5629" width="62" style="45" customWidth="1"/>
    <col min="5630" max="5630" width="44" style="45" customWidth="1"/>
    <col min="5631" max="5631" width="43.140625" style="45" customWidth="1"/>
    <col min="5632" max="5632" width="45" style="45" customWidth="1"/>
    <col min="5633" max="5633" width="35.5703125" style="45" customWidth="1"/>
    <col min="5634" max="5634" width="37.140625" style="45" customWidth="1"/>
    <col min="5635" max="5635" width="76.7109375" style="45" customWidth="1"/>
    <col min="5636" max="5636" width="37.7109375" style="45" customWidth="1"/>
    <col min="5637" max="5637" width="37.85546875" style="45" customWidth="1"/>
    <col min="5638" max="5638" width="39.85546875" style="45" customWidth="1"/>
    <col min="5639" max="5639" width="53.140625" style="45" customWidth="1"/>
    <col min="5640" max="5640" width="35.28515625" style="45" customWidth="1"/>
    <col min="5641" max="5641" width="31" style="45" customWidth="1"/>
    <col min="5642" max="5642" width="29.140625" style="45" customWidth="1"/>
    <col min="5643" max="5643" width="30.140625" style="45" customWidth="1"/>
    <col min="5644" max="5644" width="49.140625" style="45" customWidth="1"/>
    <col min="5645" max="5645" width="31.85546875" style="45" customWidth="1"/>
    <col min="5646" max="5646" width="39.140625" style="45" customWidth="1"/>
    <col min="5647" max="5647" width="53" style="45" bestFit="1" customWidth="1"/>
    <col min="5648" max="5648" width="33.42578125" style="45" bestFit="1" customWidth="1"/>
    <col min="5649" max="5649" width="28.140625" style="45" customWidth="1"/>
    <col min="5650" max="5654" width="6.7109375" style="45" customWidth="1"/>
    <col min="5655" max="5655" width="1.7109375" style="45" customWidth="1"/>
    <col min="5656" max="5879" width="9.140625" style="45"/>
    <col min="5880" max="5880" width="16" style="45" customWidth="1"/>
    <col min="5881" max="5881" width="27.7109375" style="45" customWidth="1"/>
    <col min="5882" max="5882" width="65.7109375" style="45" customWidth="1"/>
    <col min="5883" max="5883" width="21.85546875" style="45" bestFit="1" customWidth="1"/>
    <col min="5884" max="5884" width="30.140625" style="45" customWidth="1"/>
    <col min="5885" max="5885" width="62" style="45" customWidth="1"/>
    <col min="5886" max="5886" width="44" style="45" customWidth="1"/>
    <col min="5887" max="5887" width="43.140625" style="45" customWidth="1"/>
    <col min="5888" max="5888" width="45" style="45" customWidth="1"/>
    <col min="5889" max="5889" width="35.5703125" style="45" customWidth="1"/>
    <col min="5890" max="5890" width="37.140625" style="45" customWidth="1"/>
    <col min="5891" max="5891" width="76.7109375" style="45" customWidth="1"/>
    <col min="5892" max="5892" width="37.7109375" style="45" customWidth="1"/>
    <col min="5893" max="5893" width="37.85546875" style="45" customWidth="1"/>
    <col min="5894" max="5894" width="39.85546875" style="45" customWidth="1"/>
    <col min="5895" max="5895" width="53.140625" style="45" customWidth="1"/>
    <col min="5896" max="5896" width="35.28515625" style="45" customWidth="1"/>
    <col min="5897" max="5897" width="31" style="45" customWidth="1"/>
    <col min="5898" max="5898" width="29.140625" style="45" customWidth="1"/>
    <col min="5899" max="5899" width="30.140625" style="45" customWidth="1"/>
    <col min="5900" max="5900" width="49.140625" style="45" customWidth="1"/>
    <col min="5901" max="5901" width="31.85546875" style="45" customWidth="1"/>
    <col min="5902" max="5902" width="39.140625" style="45" customWidth="1"/>
    <col min="5903" max="5903" width="53" style="45" bestFit="1" customWidth="1"/>
    <col min="5904" max="5904" width="33.42578125" style="45" bestFit="1" customWidth="1"/>
    <col min="5905" max="5905" width="28.140625" style="45" customWidth="1"/>
    <col min="5906" max="5910" width="6.7109375" style="45" customWidth="1"/>
    <col min="5911" max="5911" width="1.7109375" style="45" customWidth="1"/>
    <col min="5912" max="6135" width="9.140625" style="45"/>
    <col min="6136" max="6136" width="16" style="45" customWidth="1"/>
    <col min="6137" max="6137" width="27.7109375" style="45" customWidth="1"/>
    <col min="6138" max="6138" width="65.7109375" style="45" customWidth="1"/>
    <col min="6139" max="6139" width="21.85546875" style="45" bestFit="1" customWidth="1"/>
    <col min="6140" max="6140" width="30.140625" style="45" customWidth="1"/>
    <col min="6141" max="6141" width="62" style="45" customWidth="1"/>
    <col min="6142" max="6142" width="44" style="45" customWidth="1"/>
    <col min="6143" max="6143" width="43.140625" style="45" customWidth="1"/>
    <col min="6144" max="6144" width="45" style="45" customWidth="1"/>
    <col min="6145" max="6145" width="35.5703125" style="45" customWidth="1"/>
    <col min="6146" max="6146" width="37.140625" style="45" customWidth="1"/>
    <col min="6147" max="6147" width="76.7109375" style="45" customWidth="1"/>
    <col min="6148" max="6148" width="37.7109375" style="45" customWidth="1"/>
    <col min="6149" max="6149" width="37.85546875" style="45" customWidth="1"/>
    <col min="6150" max="6150" width="39.85546875" style="45" customWidth="1"/>
    <col min="6151" max="6151" width="53.140625" style="45" customWidth="1"/>
    <col min="6152" max="6152" width="35.28515625" style="45" customWidth="1"/>
    <col min="6153" max="6153" width="31" style="45" customWidth="1"/>
    <col min="6154" max="6154" width="29.140625" style="45" customWidth="1"/>
    <col min="6155" max="6155" width="30.140625" style="45" customWidth="1"/>
    <col min="6156" max="6156" width="49.140625" style="45" customWidth="1"/>
    <col min="6157" max="6157" width="31.85546875" style="45" customWidth="1"/>
    <col min="6158" max="6158" width="39.140625" style="45" customWidth="1"/>
    <col min="6159" max="6159" width="53" style="45" bestFit="1" customWidth="1"/>
    <col min="6160" max="6160" width="33.42578125" style="45" bestFit="1" customWidth="1"/>
    <col min="6161" max="6161" width="28.140625" style="45" customWidth="1"/>
    <col min="6162" max="6166" width="6.7109375" style="45" customWidth="1"/>
    <col min="6167" max="6167" width="1.7109375" style="45" customWidth="1"/>
    <col min="6168" max="6391" width="9.140625" style="45"/>
    <col min="6392" max="6392" width="16" style="45" customWidth="1"/>
    <col min="6393" max="6393" width="27.7109375" style="45" customWidth="1"/>
    <col min="6394" max="6394" width="65.7109375" style="45" customWidth="1"/>
    <col min="6395" max="6395" width="21.85546875" style="45" bestFit="1" customWidth="1"/>
    <col min="6396" max="6396" width="30.140625" style="45" customWidth="1"/>
    <col min="6397" max="6397" width="62" style="45" customWidth="1"/>
    <col min="6398" max="6398" width="44" style="45" customWidth="1"/>
    <col min="6399" max="6399" width="43.140625" style="45" customWidth="1"/>
    <col min="6400" max="6400" width="45" style="45" customWidth="1"/>
    <col min="6401" max="6401" width="35.5703125" style="45" customWidth="1"/>
    <col min="6402" max="6402" width="37.140625" style="45" customWidth="1"/>
    <col min="6403" max="6403" width="76.7109375" style="45" customWidth="1"/>
    <col min="6404" max="6404" width="37.7109375" style="45" customWidth="1"/>
    <col min="6405" max="6405" width="37.85546875" style="45" customWidth="1"/>
    <col min="6406" max="6406" width="39.85546875" style="45" customWidth="1"/>
    <col min="6407" max="6407" width="53.140625" style="45" customWidth="1"/>
    <col min="6408" max="6408" width="35.28515625" style="45" customWidth="1"/>
    <col min="6409" max="6409" width="31" style="45" customWidth="1"/>
    <col min="6410" max="6410" width="29.140625" style="45" customWidth="1"/>
    <col min="6411" max="6411" width="30.140625" style="45" customWidth="1"/>
    <col min="6412" max="6412" width="49.140625" style="45" customWidth="1"/>
    <col min="6413" max="6413" width="31.85546875" style="45" customWidth="1"/>
    <col min="6414" max="6414" width="39.140625" style="45" customWidth="1"/>
    <col min="6415" max="6415" width="53" style="45" bestFit="1" customWidth="1"/>
    <col min="6416" max="6416" width="33.42578125" style="45" bestFit="1" customWidth="1"/>
    <col min="6417" max="6417" width="28.140625" style="45" customWidth="1"/>
    <col min="6418" max="6422" width="6.7109375" style="45" customWidth="1"/>
    <col min="6423" max="6423" width="1.7109375" style="45" customWidth="1"/>
    <col min="6424" max="6647" width="9.140625" style="45"/>
    <col min="6648" max="6648" width="16" style="45" customWidth="1"/>
    <col min="6649" max="6649" width="27.7109375" style="45" customWidth="1"/>
    <col min="6650" max="6650" width="65.7109375" style="45" customWidth="1"/>
    <col min="6651" max="6651" width="21.85546875" style="45" bestFit="1" customWidth="1"/>
    <col min="6652" max="6652" width="30.140625" style="45" customWidth="1"/>
    <col min="6653" max="6653" width="62" style="45" customWidth="1"/>
    <col min="6654" max="6654" width="44" style="45" customWidth="1"/>
    <col min="6655" max="6655" width="43.140625" style="45" customWidth="1"/>
    <col min="6656" max="6656" width="45" style="45" customWidth="1"/>
    <col min="6657" max="6657" width="35.5703125" style="45" customWidth="1"/>
    <col min="6658" max="6658" width="37.140625" style="45" customWidth="1"/>
    <col min="6659" max="6659" width="76.7109375" style="45" customWidth="1"/>
    <col min="6660" max="6660" width="37.7109375" style="45" customWidth="1"/>
    <col min="6661" max="6661" width="37.85546875" style="45" customWidth="1"/>
    <col min="6662" max="6662" width="39.85546875" style="45" customWidth="1"/>
    <col min="6663" max="6663" width="53.140625" style="45" customWidth="1"/>
    <col min="6664" max="6664" width="35.28515625" style="45" customWidth="1"/>
    <col min="6665" max="6665" width="31" style="45" customWidth="1"/>
    <col min="6666" max="6666" width="29.140625" style="45" customWidth="1"/>
    <col min="6667" max="6667" width="30.140625" style="45" customWidth="1"/>
    <col min="6668" max="6668" width="49.140625" style="45" customWidth="1"/>
    <col min="6669" max="6669" width="31.85546875" style="45" customWidth="1"/>
    <col min="6670" max="6670" width="39.140625" style="45" customWidth="1"/>
    <col min="6671" max="6671" width="53" style="45" bestFit="1" customWidth="1"/>
    <col min="6672" max="6672" width="33.42578125" style="45" bestFit="1" customWidth="1"/>
    <col min="6673" max="6673" width="28.140625" style="45" customWidth="1"/>
    <col min="6674" max="6678" width="6.7109375" style="45" customWidth="1"/>
    <col min="6679" max="6679" width="1.7109375" style="45" customWidth="1"/>
    <col min="6680" max="6903" width="9.140625" style="45"/>
    <col min="6904" max="6904" width="16" style="45" customWidth="1"/>
    <col min="6905" max="6905" width="27.7109375" style="45" customWidth="1"/>
    <col min="6906" max="6906" width="65.7109375" style="45" customWidth="1"/>
    <col min="6907" max="6907" width="21.85546875" style="45" bestFit="1" customWidth="1"/>
    <col min="6908" max="6908" width="30.140625" style="45" customWidth="1"/>
    <col min="6909" max="6909" width="62" style="45" customWidth="1"/>
    <col min="6910" max="6910" width="44" style="45" customWidth="1"/>
    <col min="6911" max="6911" width="43.140625" style="45" customWidth="1"/>
    <col min="6912" max="6912" width="45" style="45" customWidth="1"/>
    <col min="6913" max="6913" width="35.5703125" style="45" customWidth="1"/>
    <col min="6914" max="6914" width="37.140625" style="45" customWidth="1"/>
    <col min="6915" max="6915" width="76.7109375" style="45" customWidth="1"/>
    <col min="6916" max="6916" width="37.7109375" style="45" customWidth="1"/>
    <col min="6917" max="6917" width="37.85546875" style="45" customWidth="1"/>
    <col min="6918" max="6918" width="39.85546875" style="45" customWidth="1"/>
    <col min="6919" max="6919" width="53.140625" style="45" customWidth="1"/>
    <col min="6920" max="6920" width="35.28515625" style="45" customWidth="1"/>
    <col min="6921" max="6921" width="31" style="45" customWidth="1"/>
    <col min="6922" max="6922" width="29.140625" style="45" customWidth="1"/>
    <col min="6923" max="6923" width="30.140625" style="45" customWidth="1"/>
    <col min="6924" max="6924" width="49.140625" style="45" customWidth="1"/>
    <col min="6925" max="6925" width="31.85546875" style="45" customWidth="1"/>
    <col min="6926" max="6926" width="39.140625" style="45" customWidth="1"/>
    <col min="6927" max="6927" width="53" style="45" bestFit="1" customWidth="1"/>
    <col min="6928" max="6928" width="33.42578125" style="45" bestFit="1" customWidth="1"/>
    <col min="6929" max="6929" width="28.140625" style="45" customWidth="1"/>
    <col min="6930" max="6934" width="6.7109375" style="45" customWidth="1"/>
    <col min="6935" max="6935" width="1.7109375" style="45" customWidth="1"/>
    <col min="6936" max="7159" width="9.140625" style="45"/>
    <col min="7160" max="7160" width="16" style="45" customWidth="1"/>
    <col min="7161" max="7161" width="27.7109375" style="45" customWidth="1"/>
    <col min="7162" max="7162" width="65.7109375" style="45" customWidth="1"/>
    <col min="7163" max="7163" width="21.85546875" style="45" bestFit="1" customWidth="1"/>
    <col min="7164" max="7164" width="30.140625" style="45" customWidth="1"/>
    <col min="7165" max="7165" width="62" style="45" customWidth="1"/>
    <col min="7166" max="7166" width="44" style="45" customWidth="1"/>
    <col min="7167" max="7167" width="43.140625" style="45" customWidth="1"/>
    <col min="7168" max="7168" width="45" style="45" customWidth="1"/>
    <col min="7169" max="7169" width="35.5703125" style="45" customWidth="1"/>
    <col min="7170" max="7170" width="37.140625" style="45" customWidth="1"/>
    <col min="7171" max="7171" width="76.7109375" style="45" customWidth="1"/>
    <col min="7172" max="7172" width="37.7109375" style="45" customWidth="1"/>
    <col min="7173" max="7173" width="37.85546875" style="45" customWidth="1"/>
    <col min="7174" max="7174" width="39.85546875" style="45" customWidth="1"/>
    <col min="7175" max="7175" width="53.140625" style="45" customWidth="1"/>
    <col min="7176" max="7176" width="35.28515625" style="45" customWidth="1"/>
    <col min="7177" max="7177" width="31" style="45" customWidth="1"/>
    <col min="7178" max="7178" width="29.140625" style="45" customWidth="1"/>
    <col min="7179" max="7179" width="30.140625" style="45" customWidth="1"/>
    <col min="7180" max="7180" width="49.140625" style="45" customWidth="1"/>
    <col min="7181" max="7181" width="31.85546875" style="45" customWidth="1"/>
    <col min="7182" max="7182" width="39.140625" style="45" customWidth="1"/>
    <col min="7183" max="7183" width="53" style="45" bestFit="1" customWidth="1"/>
    <col min="7184" max="7184" width="33.42578125" style="45" bestFit="1" customWidth="1"/>
    <col min="7185" max="7185" width="28.140625" style="45" customWidth="1"/>
    <col min="7186" max="7190" width="6.7109375" style="45" customWidth="1"/>
    <col min="7191" max="7191" width="1.7109375" style="45" customWidth="1"/>
    <col min="7192" max="7415" width="9.140625" style="45"/>
    <col min="7416" max="7416" width="16" style="45" customWidth="1"/>
    <col min="7417" max="7417" width="27.7109375" style="45" customWidth="1"/>
    <col min="7418" max="7418" width="65.7109375" style="45" customWidth="1"/>
    <col min="7419" max="7419" width="21.85546875" style="45" bestFit="1" customWidth="1"/>
    <col min="7420" max="7420" width="30.140625" style="45" customWidth="1"/>
    <col min="7421" max="7421" width="62" style="45" customWidth="1"/>
    <col min="7422" max="7422" width="44" style="45" customWidth="1"/>
    <col min="7423" max="7423" width="43.140625" style="45" customWidth="1"/>
    <col min="7424" max="7424" width="45" style="45" customWidth="1"/>
    <col min="7425" max="7425" width="35.5703125" style="45" customWidth="1"/>
    <col min="7426" max="7426" width="37.140625" style="45" customWidth="1"/>
    <col min="7427" max="7427" width="76.7109375" style="45" customWidth="1"/>
    <col min="7428" max="7428" width="37.7109375" style="45" customWidth="1"/>
    <col min="7429" max="7429" width="37.85546875" style="45" customWidth="1"/>
    <col min="7430" max="7430" width="39.85546875" style="45" customWidth="1"/>
    <col min="7431" max="7431" width="53.140625" style="45" customWidth="1"/>
    <col min="7432" max="7432" width="35.28515625" style="45" customWidth="1"/>
    <col min="7433" max="7433" width="31" style="45" customWidth="1"/>
    <col min="7434" max="7434" width="29.140625" style="45" customWidth="1"/>
    <col min="7435" max="7435" width="30.140625" style="45" customWidth="1"/>
    <col min="7436" max="7436" width="49.140625" style="45" customWidth="1"/>
    <col min="7437" max="7437" width="31.85546875" style="45" customWidth="1"/>
    <col min="7438" max="7438" width="39.140625" style="45" customWidth="1"/>
    <col min="7439" max="7439" width="53" style="45" bestFit="1" customWidth="1"/>
    <col min="7440" max="7440" width="33.42578125" style="45" bestFit="1" customWidth="1"/>
    <col min="7441" max="7441" width="28.140625" style="45" customWidth="1"/>
    <col min="7442" max="7446" width="6.7109375" style="45" customWidth="1"/>
    <col min="7447" max="7447" width="1.7109375" style="45" customWidth="1"/>
    <col min="7448" max="7671" width="9.140625" style="45"/>
    <col min="7672" max="7672" width="16" style="45" customWidth="1"/>
    <col min="7673" max="7673" width="27.7109375" style="45" customWidth="1"/>
    <col min="7674" max="7674" width="65.7109375" style="45" customWidth="1"/>
    <col min="7675" max="7675" width="21.85546875" style="45" bestFit="1" customWidth="1"/>
    <col min="7676" max="7676" width="30.140625" style="45" customWidth="1"/>
    <col min="7677" max="7677" width="62" style="45" customWidth="1"/>
    <col min="7678" max="7678" width="44" style="45" customWidth="1"/>
    <col min="7679" max="7679" width="43.140625" style="45" customWidth="1"/>
    <col min="7680" max="7680" width="45" style="45" customWidth="1"/>
    <col min="7681" max="7681" width="35.5703125" style="45" customWidth="1"/>
    <col min="7682" max="7682" width="37.140625" style="45" customWidth="1"/>
    <col min="7683" max="7683" width="76.7109375" style="45" customWidth="1"/>
    <col min="7684" max="7684" width="37.7109375" style="45" customWidth="1"/>
    <col min="7685" max="7685" width="37.85546875" style="45" customWidth="1"/>
    <col min="7686" max="7686" width="39.85546875" style="45" customWidth="1"/>
    <col min="7687" max="7687" width="53.140625" style="45" customWidth="1"/>
    <col min="7688" max="7688" width="35.28515625" style="45" customWidth="1"/>
    <col min="7689" max="7689" width="31" style="45" customWidth="1"/>
    <col min="7690" max="7690" width="29.140625" style="45" customWidth="1"/>
    <col min="7691" max="7691" width="30.140625" style="45" customWidth="1"/>
    <col min="7692" max="7692" width="49.140625" style="45" customWidth="1"/>
    <col min="7693" max="7693" width="31.85546875" style="45" customWidth="1"/>
    <col min="7694" max="7694" width="39.140625" style="45" customWidth="1"/>
    <col min="7695" max="7695" width="53" style="45" bestFit="1" customWidth="1"/>
    <col min="7696" max="7696" width="33.42578125" style="45" bestFit="1" customWidth="1"/>
    <col min="7697" max="7697" width="28.140625" style="45" customWidth="1"/>
    <col min="7698" max="7702" width="6.7109375" style="45" customWidth="1"/>
    <col min="7703" max="7703" width="1.7109375" style="45" customWidth="1"/>
    <col min="7704" max="7927" width="9.140625" style="45"/>
    <col min="7928" max="7928" width="16" style="45" customWidth="1"/>
    <col min="7929" max="7929" width="27.7109375" style="45" customWidth="1"/>
    <col min="7930" max="7930" width="65.7109375" style="45" customWidth="1"/>
    <col min="7931" max="7931" width="21.85546875" style="45" bestFit="1" customWidth="1"/>
    <col min="7932" max="7932" width="30.140625" style="45" customWidth="1"/>
    <col min="7933" max="7933" width="62" style="45" customWidth="1"/>
    <col min="7934" max="7934" width="44" style="45" customWidth="1"/>
    <col min="7935" max="7935" width="43.140625" style="45" customWidth="1"/>
    <col min="7936" max="7936" width="45" style="45" customWidth="1"/>
    <col min="7937" max="7937" width="35.5703125" style="45" customWidth="1"/>
    <col min="7938" max="7938" width="37.140625" style="45" customWidth="1"/>
    <col min="7939" max="7939" width="76.7109375" style="45" customWidth="1"/>
    <col min="7940" max="7940" width="37.7109375" style="45" customWidth="1"/>
    <col min="7941" max="7941" width="37.85546875" style="45" customWidth="1"/>
    <col min="7942" max="7942" width="39.85546875" style="45" customWidth="1"/>
    <col min="7943" max="7943" width="53.140625" style="45" customWidth="1"/>
    <col min="7944" max="7944" width="35.28515625" style="45" customWidth="1"/>
    <col min="7945" max="7945" width="31" style="45" customWidth="1"/>
    <col min="7946" max="7946" width="29.140625" style="45" customWidth="1"/>
    <col min="7947" max="7947" width="30.140625" style="45" customWidth="1"/>
    <col min="7948" max="7948" width="49.140625" style="45" customWidth="1"/>
    <col min="7949" max="7949" width="31.85546875" style="45" customWidth="1"/>
    <col min="7950" max="7950" width="39.140625" style="45" customWidth="1"/>
    <col min="7951" max="7951" width="53" style="45" bestFit="1" customWidth="1"/>
    <col min="7952" max="7952" width="33.42578125" style="45" bestFit="1" customWidth="1"/>
    <col min="7953" max="7953" width="28.140625" style="45" customWidth="1"/>
    <col min="7954" max="7958" width="6.7109375" style="45" customWidth="1"/>
    <col min="7959" max="7959" width="1.7109375" style="45" customWidth="1"/>
    <col min="7960" max="8183" width="9.140625" style="45"/>
    <col min="8184" max="8184" width="16" style="45" customWidth="1"/>
    <col min="8185" max="8185" width="27.7109375" style="45" customWidth="1"/>
    <col min="8186" max="8186" width="65.7109375" style="45" customWidth="1"/>
    <col min="8187" max="8187" width="21.85546875" style="45" bestFit="1" customWidth="1"/>
    <col min="8188" max="8188" width="30.140625" style="45" customWidth="1"/>
    <col min="8189" max="8189" width="62" style="45" customWidth="1"/>
    <col min="8190" max="8190" width="44" style="45" customWidth="1"/>
    <col min="8191" max="8191" width="43.140625" style="45" customWidth="1"/>
    <col min="8192" max="8192" width="45" style="45" customWidth="1"/>
    <col min="8193" max="8193" width="35.5703125" style="45" customWidth="1"/>
    <col min="8194" max="8194" width="37.140625" style="45" customWidth="1"/>
    <col min="8195" max="8195" width="76.7109375" style="45" customWidth="1"/>
    <col min="8196" max="8196" width="37.7109375" style="45" customWidth="1"/>
    <col min="8197" max="8197" width="37.85546875" style="45" customWidth="1"/>
    <col min="8198" max="8198" width="39.85546875" style="45" customWidth="1"/>
    <col min="8199" max="8199" width="53.140625" style="45" customWidth="1"/>
    <col min="8200" max="8200" width="35.28515625" style="45" customWidth="1"/>
    <col min="8201" max="8201" width="31" style="45" customWidth="1"/>
    <col min="8202" max="8202" width="29.140625" style="45" customWidth="1"/>
    <col min="8203" max="8203" width="30.140625" style="45" customWidth="1"/>
    <col min="8204" max="8204" width="49.140625" style="45" customWidth="1"/>
    <col min="8205" max="8205" width="31.85546875" style="45" customWidth="1"/>
    <col min="8206" max="8206" width="39.140625" style="45" customWidth="1"/>
    <col min="8207" max="8207" width="53" style="45" bestFit="1" customWidth="1"/>
    <col min="8208" max="8208" width="33.42578125" style="45" bestFit="1" customWidth="1"/>
    <col min="8209" max="8209" width="28.140625" style="45" customWidth="1"/>
    <col min="8210" max="8214" width="6.7109375" style="45" customWidth="1"/>
    <col min="8215" max="8215" width="1.7109375" style="45" customWidth="1"/>
    <col min="8216" max="8439" width="9.140625" style="45"/>
    <col min="8440" max="8440" width="16" style="45" customWidth="1"/>
    <col min="8441" max="8441" width="27.7109375" style="45" customWidth="1"/>
    <col min="8442" max="8442" width="65.7109375" style="45" customWidth="1"/>
    <col min="8443" max="8443" width="21.85546875" style="45" bestFit="1" customWidth="1"/>
    <col min="8444" max="8444" width="30.140625" style="45" customWidth="1"/>
    <col min="8445" max="8445" width="62" style="45" customWidth="1"/>
    <col min="8446" max="8446" width="44" style="45" customWidth="1"/>
    <col min="8447" max="8447" width="43.140625" style="45" customWidth="1"/>
    <col min="8448" max="8448" width="45" style="45" customWidth="1"/>
    <col min="8449" max="8449" width="35.5703125" style="45" customWidth="1"/>
    <col min="8450" max="8450" width="37.140625" style="45" customWidth="1"/>
    <col min="8451" max="8451" width="76.7109375" style="45" customWidth="1"/>
    <col min="8452" max="8452" width="37.7109375" style="45" customWidth="1"/>
    <col min="8453" max="8453" width="37.85546875" style="45" customWidth="1"/>
    <col min="8454" max="8454" width="39.85546875" style="45" customWidth="1"/>
    <col min="8455" max="8455" width="53.140625" style="45" customWidth="1"/>
    <col min="8456" max="8456" width="35.28515625" style="45" customWidth="1"/>
    <col min="8457" max="8457" width="31" style="45" customWidth="1"/>
    <col min="8458" max="8458" width="29.140625" style="45" customWidth="1"/>
    <col min="8459" max="8459" width="30.140625" style="45" customWidth="1"/>
    <col min="8460" max="8460" width="49.140625" style="45" customWidth="1"/>
    <col min="8461" max="8461" width="31.85546875" style="45" customWidth="1"/>
    <col min="8462" max="8462" width="39.140625" style="45" customWidth="1"/>
    <col min="8463" max="8463" width="53" style="45" bestFit="1" customWidth="1"/>
    <col min="8464" max="8464" width="33.42578125" style="45" bestFit="1" customWidth="1"/>
    <col min="8465" max="8465" width="28.140625" style="45" customWidth="1"/>
    <col min="8466" max="8470" width="6.7109375" style="45" customWidth="1"/>
    <col min="8471" max="8471" width="1.7109375" style="45" customWidth="1"/>
    <col min="8472" max="8695" width="9.140625" style="45"/>
    <col min="8696" max="8696" width="16" style="45" customWidth="1"/>
    <col min="8697" max="8697" width="27.7109375" style="45" customWidth="1"/>
    <col min="8698" max="8698" width="65.7109375" style="45" customWidth="1"/>
    <col min="8699" max="8699" width="21.85546875" style="45" bestFit="1" customWidth="1"/>
    <col min="8700" max="8700" width="30.140625" style="45" customWidth="1"/>
    <col min="8701" max="8701" width="62" style="45" customWidth="1"/>
    <col min="8702" max="8702" width="44" style="45" customWidth="1"/>
    <col min="8703" max="8703" width="43.140625" style="45" customWidth="1"/>
    <col min="8704" max="8704" width="45" style="45" customWidth="1"/>
    <col min="8705" max="8705" width="35.5703125" style="45" customWidth="1"/>
    <col min="8706" max="8706" width="37.140625" style="45" customWidth="1"/>
    <col min="8707" max="8707" width="76.7109375" style="45" customWidth="1"/>
    <col min="8708" max="8708" width="37.7109375" style="45" customWidth="1"/>
    <col min="8709" max="8709" width="37.85546875" style="45" customWidth="1"/>
    <col min="8710" max="8710" width="39.85546875" style="45" customWidth="1"/>
    <col min="8711" max="8711" width="53.140625" style="45" customWidth="1"/>
    <col min="8712" max="8712" width="35.28515625" style="45" customWidth="1"/>
    <col min="8713" max="8713" width="31" style="45" customWidth="1"/>
    <col min="8714" max="8714" width="29.140625" style="45" customWidth="1"/>
    <col min="8715" max="8715" width="30.140625" style="45" customWidth="1"/>
    <col min="8716" max="8716" width="49.140625" style="45" customWidth="1"/>
    <col min="8717" max="8717" width="31.85546875" style="45" customWidth="1"/>
    <col min="8718" max="8718" width="39.140625" style="45" customWidth="1"/>
    <col min="8719" max="8719" width="53" style="45" bestFit="1" customWidth="1"/>
    <col min="8720" max="8720" width="33.42578125" style="45" bestFit="1" customWidth="1"/>
    <col min="8721" max="8721" width="28.140625" style="45" customWidth="1"/>
    <col min="8722" max="8726" width="6.7109375" style="45" customWidth="1"/>
    <col min="8727" max="8727" width="1.7109375" style="45" customWidth="1"/>
    <col min="8728" max="8951" width="9.140625" style="45"/>
    <col min="8952" max="8952" width="16" style="45" customWidth="1"/>
    <col min="8953" max="8953" width="27.7109375" style="45" customWidth="1"/>
    <col min="8954" max="8954" width="65.7109375" style="45" customWidth="1"/>
    <col min="8955" max="8955" width="21.85546875" style="45" bestFit="1" customWidth="1"/>
    <col min="8956" max="8956" width="30.140625" style="45" customWidth="1"/>
    <col min="8957" max="8957" width="62" style="45" customWidth="1"/>
    <col min="8958" max="8958" width="44" style="45" customWidth="1"/>
    <col min="8959" max="8959" width="43.140625" style="45" customWidth="1"/>
    <col min="8960" max="8960" width="45" style="45" customWidth="1"/>
    <col min="8961" max="8961" width="35.5703125" style="45" customWidth="1"/>
    <col min="8962" max="8962" width="37.140625" style="45" customWidth="1"/>
    <col min="8963" max="8963" width="76.7109375" style="45" customWidth="1"/>
    <col min="8964" max="8964" width="37.7109375" style="45" customWidth="1"/>
    <col min="8965" max="8965" width="37.85546875" style="45" customWidth="1"/>
    <col min="8966" max="8966" width="39.85546875" style="45" customWidth="1"/>
    <col min="8967" max="8967" width="53.140625" style="45" customWidth="1"/>
    <col min="8968" max="8968" width="35.28515625" style="45" customWidth="1"/>
    <col min="8969" max="8969" width="31" style="45" customWidth="1"/>
    <col min="8970" max="8970" width="29.140625" style="45" customWidth="1"/>
    <col min="8971" max="8971" width="30.140625" style="45" customWidth="1"/>
    <col min="8972" max="8972" width="49.140625" style="45" customWidth="1"/>
    <col min="8973" max="8973" width="31.85546875" style="45" customWidth="1"/>
    <col min="8974" max="8974" width="39.140625" style="45" customWidth="1"/>
    <col min="8975" max="8975" width="53" style="45" bestFit="1" customWidth="1"/>
    <col min="8976" max="8976" width="33.42578125" style="45" bestFit="1" customWidth="1"/>
    <col min="8977" max="8977" width="28.140625" style="45" customWidth="1"/>
    <col min="8978" max="8982" width="6.7109375" style="45" customWidth="1"/>
    <col min="8983" max="8983" width="1.7109375" style="45" customWidth="1"/>
    <col min="8984" max="9207" width="9.140625" style="45"/>
    <col min="9208" max="9208" width="16" style="45" customWidth="1"/>
    <col min="9209" max="9209" width="27.7109375" style="45" customWidth="1"/>
    <col min="9210" max="9210" width="65.7109375" style="45" customWidth="1"/>
    <col min="9211" max="9211" width="21.85546875" style="45" bestFit="1" customWidth="1"/>
    <col min="9212" max="9212" width="30.140625" style="45" customWidth="1"/>
    <col min="9213" max="9213" width="62" style="45" customWidth="1"/>
    <col min="9214" max="9214" width="44" style="45" customWidth="1"/>
    <col min="9215" max="9215" width="43.140625" style="45" customWidth="1"/>
    <col min="9216" max="9216" width="45" style="45" customWidth="1"/>
    <col min="9217" max="9217" width="35.5703125" style="45" customWidth="1"/>
    <col min="9218" max="9218" width="37.140625" style="45" customWidth="1"/>
    <col min="9219" max="9219" width="76.7109375" style="45" customWidth="1"/>
    <col min="9220" max="9220" width="37.7109375" style="45" customWidth="1"/>
    <col min="9221" max="9221" width="37.85546875" style="45" customWidth="1"/>
    <col min="9222" max="9222" width="39.85546875" style="45" customWidth="1"/>
    <col min="9223" max="9223" width="53.140625" style="45" customWidth="1"/>
    <col min="9224" max="9224" width="35.28515625" style="45" customWidth="1"/>
    <col min="9225" max="9225" width="31" style="45" customWidth="1"/>
    <col min="9226" max="9226" width="29.140625" style="45" customWidth="1"/>
    <col min="9227" max="9227" width="30.140625" style="45" customWidth="1"/>
    <col min="9228" max="9228" width="49.140625" style="45" customWidth="1"/>
    <col min="9229" max="9229" width="31.85546875" style="45" customWidth="1"/>
    <col min="9230" max="9230" width="39.140625" style="45" customWidth="1"/>
    <col min="9231" max="9231" width="53" style="45" bestFit="1" customWidth="1"/>
    <col min="9232" max="9232" width="33.42578125" style="45" bestFit="1" customWidth="1"/>
    <col min="9233" max="9233" width="28.140625" style="45" customWidth="1"/>
    <col min="9234" max="9238" width="6.7109375" style="45" customWidth="1"/>
    <col min="9239" max="9239" width="1.7109375" style="45" customWidth="1"/>
    <col min="9240" max="9463" width="9.140625" style="45"/>
    <col min="9464" max="9464" width="16" style="45" customWidth="1"/>
    <col min="9465" max="9465" width="27.7109375" style="45" customWidth="1"/>
    <col min="9466" max="9466" width="65.7109375" style="45" customWidth="1"/>
    <col min="9467" max="9467" width="21.85546875" style="45" bestFit="1" customWidth="1"/>
    <col min="9468" max="9468" width="30.140625" style="45" customWidth="1"/>
    <col min="9469" max="9469" width="62" style="45" customWidth="1"/>
    <col min="9470" max="9470" width="44" style="45" customWidth="1"/>
    <col min="9471" max="9471" width="43.140625" style="45" customWidth="1"/>
    <col min="9472" max="9472" width="45" style="45" customWidth="1"/>
    <col min="9473" max="9473" width="35.5703125" style="45" customWidth="1"/>
    <col min="9474" max="9474" width="37.140625" style="45" customWidth="1"/>
    <col min="9475" max="9475" width="76.7109375" style="45" customWidth="1"/>
    <col min="9476" max="9476" width="37.7109375" style="45" customWidth="1"/>
    <col min="9477" max="9477" width="37.85546875" style="45" customWidth="1"/>
    <col min="9478" max="9478" width="39.85546875" style="45" customWidth="1"/>
    <col min="9479" max="9479" width="53.140625" style="45" customWidth="1"/>
    <col min="9480" max="9480" width="35.28515625" style="45" customWidth="1"/>
    <col min="9481" max="9481" width="31" style="45" customWidth="1"/>
    <col min="9482" max="9482" width="29.140625" style="45" customWidth="1"/>
    <col min="9483" max="9483" width="30.140625" style="45" customWidth="1"/>
    <col min="9484" max="9484" width="49.140625" style="45" customWidth="1"/>
    <col min="9485" max="9485" width="31.85546875" style="45" customWidth="1"/>
    <col min="9486" max="9486" width="39.140625" style="45" customWidth="1"/>
    <col min="9487" max="9487" width="53" style="45" bestFit="1" customWidth="1"/>
    <col min="9488" max="9488" width="33.42578125" style="45" bestFit="1" customWidth="1"/>
    <col min="9489" max="9489" width="28.140625" style="45" customWidth="1"/>
    <col min="9490" max="9494" width="6.7109375" style="45" customWidth="1"/>
    <col min="9495" max="9495" width="1.7109375" style="45" customWidth="1"/>
    <col min="9496" max="9719" width="9.140625" style="45"/>
    <col min="9720" max="9720" width="16" style="45" customWidth="1"/>
    <col min="9721" max="9721" width="27.7109375" style="45" customWidth="1"/>
    <col min="9722" max="9722" width="65.7109375" style="45" customWidth="1"/>
    <col min="9723" max="9723" width="21.85546875" style="45" bestFit="1" customWidth="1"/>
    <col min="9724" max="9724" width="30.140625" style="45" customWidth="1"/>
    <col min="9725" max="9725" width="62" style="45" customWidth="1"/>
    <col min="9726" max="9726" width="44" style="45" customWidth="1"/>
    <col min="9727" max="9727" width="43.140625" style="45" customWidth="1"/>
    <col min="9728" max="9728" width="45" style="45" customWidth="1"/>
    <col min="9729" max="9729" width="35.5703125" style="45" customWidth="1"/>
    <col min="9730" max="9730" width="37.140625" style="45" customWidth="1"/>
    <col min="9731" max="9731" width="76.7109375" style="45" customWidth="1"/>
    <col min="9732" max="9732" width="37.7109375" style="45" customWidth="1"/>
    <col min="9733" max="9733" width="37.85546875" style="45" customWidth="1"/>
    <col min="9734" max="9734" width="39.85546875" style="45" customWidth="1"/>
    <col min="9735" max="9735" width="53.140625" style="45" customWidth="1"/>
    <col min="9736" max="9736" width="35.28515625" style="45" customWidth="1"/>
    <col min="9737" max="9737" width="31" style="45" customWidth="1"/>
    <col min="9738" max="9738" width="29.140625" style="45" customWidth="1"/>
    <col min="9739" max="9739" width="30.140625" style="45" customWidth="1"/>
    <col min="9740" max="9740" width="49.140625" style="45" customWidth="1"/>
    <col min="9741" max="9741" width="31.85546875" style="45" customWidth="1"/>
    <col min="9742" max="9742" width="39.140625" style="45" customWidth="1"/>
    <col min="9743" max="9743" width="53" style="45" bestFit="1" customWidth="1"/>
    <col min="9744" max="9744" width="33.42578125" style="45" bestFit="1" customWidth="1"/>
    <col min="9745" max="9745" width="28.140625" style="45" customWidth="1"/>
    <col min="9746" max="9750" width="6.7109375" style="45" customWidth="1"/>
    <col min="9751" max="9751" width="1.7109375" style="45" customWidth="1"/>
    <col min="9752" max="9975" width="9.140625" style="45"/>
    <col min="9976" max="9976" width="16" style="45" customWidth="1"/>
    <col min="9977" max="9977" width="27.7109375" style="45" customWidth="1"/>
    <col min="9978" max="9978" width="65.7109375" style="45" customWidth="1"/>
    <col min="9979" max="9979" width="21.85546875" style="45" bestFit="1" customWidth="1"/>
    <col min="9980" max="9980" width="30.140625" style="45" customWidth="1"/>
    <col min="9981" max="9981" width="62" style="45" customWidth="1"/>
    <col min="9982" max="9982" width="44" style="45" customWidth="1"/>
    <col min="9983" max="9983" width="43.140625" style="45" customWidth="1"/>
    <col min="9984" max="9984" width="45" style="45" customWidth="1"/>
    <col min="9985" max="9985" width="35.5703125" style="45" customWidth="1"/>
    <col min="9986" max="9986" width="37.140625" style="45" customWidth="1"/>
    <col min="9987" max="9987" width="76.7109375" style="45" customWidth="1"/>
    <col min="9988" max="9988" width="37.7109375" style="45" customWidth="1"/>
    <col min="9989" max="9989" width="37.85546875" style="45" customWidth="1"/>
    <col min="9990" max="9990" width="39.85546875" style="45" customWidth="1"/>
    <col min="9991" max="9991" width="53.140625" style="45" customWidth="1"/>
    <col min="9992" max="9992" width="35.28515625" style="45" customWidth="1"/>
    <col min="9993" max="9993" width="31" style="45" customWidth="1"/>
    <col min="9994" max="9994" width="29.140625" style="45" customWidth="1"/>
    <col min="9995" max="9995" width="30.140625" style="45" customWidth="1"/>
    <col min="9996" max="9996" width="49.140625" style="45" customWidth="1"/>
    <col min="9997" max="9997" width="31.85546875" style="45" customWidth="1"/>
    <col min="9998" max="9998" width="39.140625" style="45" customWidth="1"/>
    <col min="9999" max="9999" width="53" style="45" bestFit="1" customWidth="1"/>
    <col min="10000" max="10000" width="33.42578125" style="45" bestFit="1" customWidth="1"/>
    <col min="10001" max="10001" width="28.140625" style="45" customWidth="1"/>
    <col min="10002" max="10006" width="6.7109375" style="45" customWidth="1"/>
    <col min="10007" max="10007" width="1.7109375" style="45" customWidth="1"/>
    <col min="10008" max="10231" width="9.140625" style="45"/>
    <col min="10232" max="10232" width="16" style="45" customWidth="1"/>
    <col min="10233" max="10233" width="27.7109375" style="45" customWidth="1"/>
    <col min="10234" max="10234" width="65.7109375" style="45" customWidth="1"/>
    <col min="10235" max="10235" width="21.85546875" style="45" bestFit="1" customWidth="1"/>
    <col min="10236" max="10236" width="30.140625" style="45" customWidth="1"/>
    <col min="10237" max="10237" width="62" style="45" customWidth="1"/>
    <col min="10238" max="10238" width="44" style="45" customWidth="1"/>
    <col min="10239" max="10239" width="43.140625" style="45" customWidth="1"/>
    <col min="10240" max="10240" width="45" style="45" customWidth="1"/>
    <col min="10241" max="10241" width="35.5703125" style="45" customWidth="1"/>
    <col min="10242" max="10242" width="37.140625" style="45" customWidth="1"/>
    <col min="10243" max="10243" width="76.7109375" style="45" customWidth="1"/>
    <col min="10244" max="10244" width="37.7109375" style="45" customWidth="1"/>
    <col min="10245" max="10245" width="37.85546875" style="45" customWidth="1"/>
    <col min="10246" max="10246" width="39.85546875" style="45" customWidth="1"/>
    <col min="10247" max="10247" width="53.140625" style="45" customWidth="1"/>
    <col min="10248" max="10248" width="35.28515625" style="45" customWidth="1"/>
    <col min="10249" max="10249" width="31" style="45" customWidth="1"/>
    <col min="10250" max="10250" width="29.140625" style="45" customWidth="1"/>
    <col min="10251" max="10251" width="30.140625" style="45" customWidth="1"/>
    <col min="10252" max="10252" width="49.140625" style="45" customWidth="1"/>
    <col min="10253" max="10253" width="31.85546875" style="45" customWidth="1"/>
    <col min="10254" max="10254" width="39.140625" style="45" customWidth="1"/>
    <col min="10255" max="10255" width="53" style="45" bestFit="1" customWidth="1"/>
    <col min="10256" max="10256" width="33.42578125" style="45" bestFit="1" customWidth="1"/>
    <col min="10257" max="10257" width="28.140625" style="45" customWidth="1"/>
    <col min="10258" max="10262" width="6.7109375" style="45" customWidth="1"/>
    <col min="10263" max="10263" width="1.7109375" style="45" customWidth="1"/>
    <col min="10264" max="10487" width="9.140625" style="45"/>
    <col min="10488" max="10488" width="16" style="45" customWidth="1"/>
    <col min="10489" max="10489" width="27.7109375" style="45" customWidth="1"/>
    <col min="10490" max="10490" width="65.7109375" style="45" customWidth="1"/>
    <col min="10491" max="10491" width="21.85546875" style="45" bestFit="1" customWidth="1"/>
    <col min="10492" max="10492" width="30.140625" style="45" customWidth="1"/>
    <col min="10493" max="10493" width="62" style="45" customWidth="1"/>
    <col min="10494" max="10494" width="44" style="45" customWidth="1"/>
    <col min="10495" max="10495" width="43.140625" style="45" customWidth="1"/>
    <col min="10496" max="10496" width="45" style="45" customWidth="1"/>
    <col min="10497" max="10497" width="35.5703125" style="45" customWidth="1"/>
    <col min="10498" max="10498" width="37.140625" style="45" customWidth="1"/>
    <col min="10499" max="10499" width="76.7109375" style="45" customWidth="1"/>
    <col min="10500" max="10500" width="37.7109375" style="45" customWidth="1"/>
    <col min="10501" max="10501" width="37.85546875" style="45" customWidth="1"/>
    <col min="10502" max="10502" width="39.85546875" style="45" customWidth="1"/>
    <col min="10503" max="10503" width="53.140625" style="45" customWidth="1"/>
    <col min="10504" max="10504" width="35.28515625" style="45" customWidth="1"/>
    <col min="10505" max="10505" width="31" style="45" customWidth="1"/>
    <col min="10506" max="10506" width="29.140625" style="45" customWidth="1"/>
    <col min="10507" max="10507" width="30.140625" style="45" customWidth="1"/>
    <col min="10508" max="10508" width="49.140625" style="45" customWidth="1"/>
    <col min="10509" max="10509" width="31.85546875" style="45" customWidth="1"/>
    <col min="10510" max="10510" width="39.140625" style="45" customWidth="1"/>
    <col min="10511" max="10511" width="53" style="45" bestFit="1" customWidth="1"/>
    <col min="10512" max="10512" width="33.42578125" style="45" bestFit="1" customWidth="1"/>
    <col min="10513" max="10513" width="28.140625" style="45" customWidth="1"/>
    <col min="10514" max="10518" width="6.7109375" style="45" customWidth="1"/>
    <col min="10519" max="10519" width="1.7109375" style="45" customWidth="1"/>
    <col min="10520" max="10743" width="9.140625" style="45"/>
    <col min="10744" max="10744" width="16" style="45" customWidth="1"/>
    <col min="10745" max="10745" width="27.7109375" style="45" customWidth="1"/>
    <col min="10746" max="10746" width="65.7109375" style="45" customWidth="1"/>
    <col min="10747" max="10747" width="21.85546875" style="45" bestFit="1" customWidth="1"/>
    <col min="10748" max="10748" width="30.140625" style="45" customWidth="1"/>
    <col min="10749" max="10749" width="62" style="45" customWidth="1"/>
    <col min="10750" max="10750" width="44" style="45" customWidth="1"/>
    <col min="10751" max="10751" width="43.140625" style="45" customWidth="1"/>
    <col min="10752" max="10752" width="45" style="45" customWidth="1"/>
    <col min="10753" max="10753" width="35.5703125" style="45" customWidth="1"/>
    <col min="10754" max="10754" width="37.140625" style="45" customWidth="1"/>
    <col min="10755" max="10755" width="76.7109375" style="45" customWidth="1"/>
    <col min="10756" max="10756" width="37.7109375" style="45" customWidth="1"/>
    <col min="10757" max="10757" width="37.85546875" style="45" customWidth="1"/>
    <col min="10758" max="10758" width="39.85546875" style="45" customWidth="1"/>
    <col min="10759" max="10759" width="53.140625" style="45" customWidth="1"/>
    <col min="10760" max="10760" width="35.28515625" style="45" customWidth="1"/>
    <col min="10761" max="10761" width="31" style="45" customWidth="1"/>
    <col min="10762" max="10762" width="29.140625" style="45" customWidth="1"/>
    <col min="10763" max="10763" width="30.140625" style="45" customWidth="1"/>
    <col min="10764" max="10764" width="49.140625" style="45" customWidth="1"/>
    <col min="10765" max="10765" width="31.85546875" style="45" customWidth="1"/>
    <col min="10766" max="10766" width="39.140625" style="45" customWidth="1"/>
    <col min="10767" max="10767" width="53" style="45" bestFit="1" customWidth="1"/>
    <col min="10768" max="10768" width="33.42578125" style="45" bestFit="1" customWidth="1"/>
    <col min="10769" max="10769" width="28.140625" style="45" customWidth="1"/>
    <col min="10770" max="10774" width="6.7109375" style="45" customWidth="1"/>
    <col min="10775" max="10775" width="1.7109375" style="45" customWidth="1"/>
    <col min="10776" max="10999" width="9.140625" style="45"/>
    <col min="11000" max="11000" width="16" style="45" customWidth="1"/>
    <col min="11001" max="11001" width="27.7109375" style="45" customWidth="1"/>
    <col min="11002" max="11002" width="65.7109375" style="45" customWidth="1"/>
    <col min="11003" max="11003" width="21.85546875" style="45" bestFit="1" customWidth="1"/>
    <col min="11004" max="11004" width="30.140625" style="45" customWidth="1"/>
    <col min="11005" max="11005" width="62" style="45" customWidth="1"/>
    <col min="11006" max="11006" width="44" style="45" customWidth="1"/>
    <col min="11007" max="11007" width="43.140625" style="45" customWidth="1"/>
    <col min="11008" max="11008" width="45" style="45" customWidth="1"/>
    <col min="11009" max="11009" width="35.5703125" style="45" customWidth="1"/>
    <col min="11010" max="11010" width="37.140625" style="45" customWidth="1"/>
    <col min="11011" max="11011" width="76.7109375" style="45" customWidth="1"/>
    <col min="11012" max="11012" width="37.7109375" style="45" customWidth="1"/>
    <col min="11013" max="11013" width="37.85546875" style="45" customWidth="1"/>
    <col min="11014" max="11014" width="39.85546875" style="45" customWidth="1"/>
    <col min="11015" max="11015" width="53.140625" style="45" customWidth="1"/>
    <col min="11016" max="11016" width="35.28515625" style="45" customWidth="1"/>
    <col min="11017" max="11017" width="31" style="45" customWidth="1"/>
    <col min="11018" max="11018" width="29.140625" style="45" customWidth="1"/>
    <col min="11019" max="11019" width="30.140625" style="45" customWidth="1"/>
    <col min="11020" max="11020" width="49.140625" style="45" customWidth="1"/>
    <col min="11021" max="11021" width="31.85546875" style="45" customWidth="1"/>
    <col min="11022" max="11022" width="39.140625" style="45" customWidth="1"/>
    <col min="11023" max="11023" width="53" style="45" bestFit="1" customWidth="1"/>
    <col min="11024" max="11024" width="33.42578125" style="45" bestFit="1" customWidth="1"/>
    <col min="11025" max="11025" width="28.140625" style="45" customWidth="1"/>
    <col min="11026" max="11030" width="6.7109375" style="45" customWidth="1"/>
    <col min="11031" max="11031" width="1.7109375" style="45" customWidth="1"/>
    <col min="11032" max="11255" width="9.140625" style="45"/>
    <col min="11256" max="11256" width="16" style="45" customWidth="1"/>
    <col min="11257" max="11257" width="27.7109375" style="45" customWidth="1"/>
    <col min="11258" max="11258" width="65.7109375" style="45" customWidth="1"/>
    <col min="11259" max="11259" width="21.85546875" style="45" bestFit="1" customWidth="1"/>
    <col min="11260" max="11260" width="30.140625" style="45" customWidth="1"/>
    <col min="11261" max="11261" width="62" style="45" customWidth="1"/>
    <col min="11262" max="11262" width="44" style="45" customWidth="1"/>
    <col min="11263" max="11263" width="43.140625" style="45" customWidth="1"/>
    <col min="11264" max="11264" width="45" style="45" customWidth="1"/>
    <col min="11265" max="11265" width="35.5703125" style="45" customWidth="1"/>
    <col min="11266" max="11266" width="37.140625" style="45" customWidth="1"/>
    <col min="11267" max="11267" width="76.7109375" style="45" customWidth="1"/>
    <col min="11268" max="11268" width="37.7109375" style="45" customWidth="1"/>
    <col min="11269" max="11269" width="37.85546875" style="45" customWidth="1"/>
    <col min="11270" max="11270" width="39.85546875" style="45" customWidth="1"/>
    <col min="11271" max="11271" width="53.140625" style="45" customWidth="1"/>
    <col min="11272" max="11272" width="35.28515625" style="45" customWidth="1"/>
    <col min="11273" max="11273" width="31" style="45" customWidth="1"/>
    <col min="11274" max="11274" width="29.140625" style="45" customWidth="1"/>
    <col min="11275" max="11275" width="30.140625" style="45" customWidth="1"/>
    <col min="11276" max="11276" width="49.140625" style="45" customWidth="1"/>
    <col min="11277" max="11277" width="31.85546875" style="45" customWidth="1"/>
    <col min="11278" max="11278" width="39.140625" style="45" customWidth="1"/>
    <col min="11279" max="11279" width="53" style="45" bestFit="1" customWidth="1"/>
    <col min="11280" max="11280" width="33.42578125" style="45" bestFit="1" customWidth="1"/>
    <col min="11281" max="11281" width="28.140625" style="45" customWidth="1"/>
    <col min="11282" max="11286" width="6.7109375" style="45" customWidth="1"/>
    <col min="11287" max="11287" width="1.7109375" style="45" customWidth="1"/>
    <col min="11288" max="11511" width="9.140625" style="45"/>
    <col min="11512" max="11512" width="16" style="45" customWidth="1"/>
    <col min="11513" max="11513" width="27.7109375" style="45" customWidth="1"/>
    <col min="11514" max="11514" width="65.7109375" style="45" customWidth="1"/>
    <col min="11515" max="11515" width="21.85546875" style="45" bestFit="1" customWidth="1"/>
    <col min="11516" max="11516" width="30.140625" style="45" customWidth="1"/>
    <col min="11517" max="11517" width="62" style="45" customWidth="1"/>
    <col min="11518" max="11518" width="44" style="45" customWidth="1"/>
    <col min="11519" max="11519" width="43.140625" style="45" customWidth="1"/>
    <col min="11520" max="11520" width="45" style="45" customWidth="1"/>
    <col min="11521" max="11521" width="35.5703125" style="45" customWidth="1"/>
    <col min="11522" max="11522" width="37.140625" style="45" customWidth="1"/>
    <col min="11523" max="11523" width="76.7109375" style="45" customWidth="1"/>
    <col min="11524" max="11524" width="37.7109375" style="45" customWidth="1"/>
    <col min="11525" max="11525" width="37.85546875" style="45" customWidth="1"/>
    <col min="11526" max="11526" width="39.85546875" style="45" customWidth="1"/>
    <col min="11527" max="11527" width="53.140625" style="45" customWidth="1"/>
    <col min="11528" max="11528" width="35.28515625" style="45" customWidth="1"/>
    <col min="11529" max="11529" width="31" style="45" customWidth="1"/>
    <col min="11530" max="11530" width="29.140625" style="45" customWidth="1"/>
    <col min="11531" max="11531" width="30.140625" style="45" customWidth="1"/>
    <col min="11532" max="11532" width="49.140625" style="45" customWidth="1"/>
    <col min="11533" max="11533" width="31.85546875" style="45" customWidth="1"/>
    <col min="11534" max="11534" width="39.140625" style="45" customWidth="1"/>
    <col min="11535" max="11535" width="53" style="45" bestFit="1" customWidth="1"/>
    <col min="11536" max="11536" width="33.42578125" style="45" bestFit="1" customWidth="1"/>
    <col min="11537" max="11537" width="28.140625" style="45" customWidth="1"/>
    <col min="11538" max="11542" width="6.7109375" style="45" customWidth="1"/>
    <col min="11543" max="11543" width="1.7109375" style="45" customWidth="1"/>
    <col min="11544" max="11767" width="9.140625" style="45"/>
    <col min="11768" max="11768" width="16" style="45" customWidth="1"/>
    <col min="11769" max="11769" width="27.7109375" style="45" customWidth="1"/>
    <col min="11770" max="11770" width="65.7109375" style="45" customWidth="1"/>
    <col min="11771" max="11771" width="21.85546875" style="45" bestFit="1" customWidth="1"/>
    <col min="11772" max="11772" width="30.140625" style="45" customWidth="1"/>
    <col min="11773" max="11773" width="62" style="45" customWidth="1"/>
    <col min="11774" max="11774" width="44" style="45" customWidth="1"/>
    <col min="11775" max="11775" width="43.140625" style="45" customWidth="1"/>
    <col min="11776" max="11776" width="45" style="45" customWidth="1"/>
    <col min="11777" max="11777" width="35.5703125" style="45" customWidth="1"/>
    <col min="11778" max="11778" width="37.140625" style="45" customWidth="1"/>
    <col min="11779" max="11779" width="76.7109375" style="45" customWidth="1"/>
    <col min="11780" max="11780" width="37.7109375" style="45" customWidth="1"/>
    <col min="11781" max="11781" width="37.85546875" style="45" customWidth="1"/>
    <col min="11782" max="11782" width="39.85546875" style="45" customWidth="1"/>
    <col min="11783" max="11783" width="53.140625" style="45" customWidth="1"/>
    <col min="11784" max="11784" width="35.28515625" style="45" customWidth="1"/>
    <col min="11785" max="11785" width="31" style="45" customWidth="1"/>
    <col min="11786" max="11786" width="29.140625" style="45" customWidth="1"/>
    <col min="11787" max="11787" width="30.140625" style="45" customWidth="1"/>
    <col min="11788" max="11788" width="49.140625" style="45" customWidth="1"/>
    <col min="11789" max="11789" width="31.85546875" style="45" customWidth="1"/>
    <col min="11790" max="11790" width="39.140625" style="45" customWidth="1"/>
    <col min="11791" max="11791" width="53" style="45" bestFit="1" customWidth="1"/>
    <col min="11792" max="11792" width="33.42578125" style="45" bestFit="1" customWidth="1"/>
    <col min="11793" max="11793" width="28.140625" style="45" customWidth="1"/>
    <col min="11794" max="11798" width="6.7109375" style="45" customWidth="1"/>
    <col min="11799" max="11799" width="1.7109375" style="45" customWidth="1"/>
    <col min="11800" max="12023" width="9.140625" style="45"/>
    <col min="12024" max="12024" width="16" style="45" customWidth="1"/>
    <col min="12025" max="12025" width="27.7109375" style="45" customWidth="1"/>
    <col min="12026" max="12026" width="65.7109375" style="45" customWidth="1"/>
    <col min="12027" max="12027" width="21.85546875" style="45" bestFit="1" customWidth="1"/>
    <col min="12028" max="12028" width="30.140625" style="45" customWidth="1"/>
    <col min="12029" max="12029" width="62" style="45" customWidth="1"/>
    <col min="12030" max="12030" width="44" style="45" customWidth="1"/>
    <col min="12031" max="12031" width="43.140625" style="45" customWidth="1"/>
    <col min="12032" max="12032" width="45" style="45" customWidth="1"/>
    <col min="12033" max="12033" width="35.5703125" style="45" customWidth="1"/>
    <col min="12034" max="12034" width="37.140625" style="45" customWidth="1"/>
    <col min="12035" max="12035" width="76.7109375" style="45" customWidth="1"/>
    <col min="12036" max="12036" width="37.7109375" style="45" customWidth="1"/>
    <col min="12037" max="12037" width="37.85546875" style="45" customWidth="1"/>
    <col min="12038" max="12038" width="39.85546875" style="45" customWidth="1"/>
    <col min="12039" max="12039" width="53.140625" style="45" customWidth="1"/>
    <col min="12040" max="12040" width="35.28515625" style="45" customWidth="1"/>
    <col min="12041" max="12041" width="31" style="45" customWidth="1"/>
    <col min="12042" max="12042" width="29.140625" style="45" customWidth="1"/>
    <col min="12043" max="12043" width="30.140625" style="45" customWidth="1"/>
    <col min="12044" max="12044" width="49.140625" style="45" customWidth="1"/>
    <col min="12045" max="12045" width="31.85546875" style="45" customWidth="1"/>
    <col min="12046" max="12046" width="39.140625" style="45" customWidth="1"/>
    <col min="12047" max="12047" width="53" style="45" bestFit="1" customWidth="1"/>
    <col min="12048" max="12048" width="33.42578125" style="45" bestFit="1" customWidth="1"/>
    <col min="12049" max="12049" width="28.140625" style="45" customWidth="1"/>
    <col min="12050" max="12054" width="6.7109375" style="45" customWidth="1"/>
    <col min="12055" max="12055" width="1.7109375" style="45" customWidth="1"/>
    <col min="12056" max="12279" width="9.140625" style="45"/>
    <col min="12280" max="12280" width="16" style="45" customWidth="1"/>
    <col min="12281" max="12281" width="27.7109375" style="45" customWidth="1"/>
    <col min="12282" max="12282" width="65.7109375" style="45" customWidth="1"/>
    <col min="12283" max="12283" width="21.85546875" style="45" bestFit="1" customWidth="1"/>
    <col min="12284" max="12284" width="30.140625" style="45" customWidth="1"/>
    <col min="12285" max="12285" width="62" style="45" customWidth="1"/>
    <col min="12286" max="12286" width="44" style="45" customWidth="1"/>
    <col min="12287" max="12287" width="43.140625" style="45" customWidth="1"/>
    <col min="12288" max="12288" width="45" style="45" customWidth="1"/>
    <col min="12289" max="12289" width="35.5703125" style="45" customWidth="1"/>
    <col min="12290" max="12290" width="37.140625" style="45" customWidth="1"/>
    <col min="12291" max="12291" width="76.7109375" style="45" customWidth="1"/>
    <col min="12292" max="12292" width="37.7109375" style="45" customWidth="1"/>
    <col min="12293" max="12293" width="37.85546875" style="45" customWidth="1"/>
    <col min="12294" max="12294" width="39.85546875" style="45" customWidth="1"/>
    <col min="12295" max="12295" width="53.140625" style="45" customWidth="1"/>
    <col min="12296" max="12296" width="35.28515625" style="45" customWidth="1"/>
    <col min="12297" max="12297" width="31" style="45" customWidth="1"/>
    <col min="12298" max="12298" width="29.140625" style="45" customWidth="1"/>
    <col min="12299" max="12299" width="30.140625" style="45" customWidth="1"/>
    <col min="12300" max="12300" width="49.140625" style="45" customWidth="1"/>
    <col min="12301" max="12301" width="31.85546875" style="45" customWidth="1"/>
    <col min="12302" max="12302" width="39.140625" style="45" customWidth="1"/>
    <col min="12303" max="12303" width="53" style="45" bestFit="1" customWidth="1"/>
    <col min="12304" max="12304" width="33.42578125" style="45" bestFit="1" customWidth="1"/>
    <col min="12305" max="12305" width="28.140625" style="45" customWidth="1"/>
    <col min="12306" max="12310" width="6.7109375" style="45" customWidth="1"/>
    <col min="12311" max="12311" width="1.7109375" style="45" customWidth="1"/>
    <col min="12312" max="12535" width="9.140625" style="45"/>
    <col min="12536" max="12536" width="16" style="45" customWidth="1"/>
    <col min="12537" max="12537" width="27.7109375" style="45" customWidth="1"/>
    <col min="12538" max="12538" width="65.7109375" style="45" customWidth="1"/>
    <col min="12539" max="12539" width="21.85546875" style="45" bestFit="1" customWidth="1"/>
    <col min="12540" max="12540" width="30.140625" style="45" customWidth="1"/>
    <col min="12541" max="12541" width="62" style="45" customWidth="1"/>
    <col min="12542" max="12542" width="44" style="45" customWidth="1"/>
    <col min="12543" max="12543" width="43.140625" style="45" customWidth="1"/>
    <col min="12544" max="12544" width="45" style="45" customWidth="1"/>
    <col min="12545" max="12545" width="35.5703125" style="45" customWidth="1"/>
    <col min="12546" max="12546" width="37.140625" style="45" customWidth="1"/>
    <col min="12547" max="12547" width="76.7109375" style="45" customWidth="1"/>
    <col min="12548" max="12548" width="37.7109375" style="45" customWidth="1"/>
    <col min="12549" max="12549" width="37.85546875" style="45" customWidth="1"/>
    <col min="12550" max="12550" width="39.85546875" style="45" customWidth="1"/>
    <col min="12551" max="12551" width="53.140625" style="45" customWidth="1"/>
    <col min="12552" max="12552" width="35.28515625" style="45" customWidth="1"/>
    <col min="12553" max="12553" width="31" style="45" customWidth="1"/>
    <col min="12554" max="12554" width="29.140625" style="45" customWidth="1"/>
    <col min="12555" max="12555" width="30.140625" style="45" customWidth="1"/>
    <col min="12556" max="12556" width="49.140625" style="45" customWidth="1"/>
    <col min="12557" max="12557" width="31.85546875" style="45" customWidth="1"/>
    <col min="12558" max="12558" width="39.140625" style="45" customWidth="1"/>
    <col min="12559" max="12559" width="53" style="45" bestFit="1" customWidth="1"/>
    <col min="12560" max="12560" width="33.42578125" style="45" bestFit="1" customWidth="1"/>
    <col min="12561" max="12561" width="28.140625" style="45" customWidth="1"/>
    <col min="12562" max="12566" width="6.7109375" style="45" customWidth="1"/>
    <col min="12567" max="12567" width="1.7109375" style="45" customWidth="1"/>
    <col min="12568" max="12791" width="9.140625" style="45"/>
    <col min="12792" max="12792" width="16" style="45" customWidth="1"/>
    <col min="12793" max="12793" width="27.7109375" style="45" customWidth="1"/>
    <col min="12794" max="12794" width="65.7109375" style="45" customWidth="1"/>
    <col min="12795" max="12795" width="21.85546875" style="45" bestFit="1" customWidth="1"/>
    <col min="12796" max="12796" width="30.140625" style="45" customWidth="1"/>
    <col min="12797" max="12797" width="62" style="45" customWidth="1"/>
    <col min="12798" max="12798" width="44" style="45" customWidth="1"/>
    <col min="12799" max="12799" width="43.140625" style="45" customWidth="1"/>
    <col min="12800" max="12800" width="45" style="45" customWidth="1"/>
    <col min="12801" max="12801" width="35.5703125" style="45" customWidth="1"/>
    <col min="12802" max="12802" width="37.140625" style="45" customWidth="1"/>
    <col min="12803" max="12803" width="76.7109375" style="45" customWidth="1"/>
    <col min="12804" max="12804" width="37.7109375" style="45" customWidth="1"/>
    <col min="12805" max="12805" width="37.85546875" style="45" customWidth="1"/>
    <col min="12806" max="12806" width="39.85546875" style="45" customWidth="1"/>
    <col min="12807" max="12807" width="53.140625" style="45" customWidth="1"/>
    <col min="12808" max="12808" width="35.28515625" style="45" customWidth="1"/>
    <col min="12809" max="12809" width="31" style="45" customWidth="1"/>
    <col min="12810" max="12810" width="29.140625" style="45" customWidth="1"/>
    <col min="12811" max="12811" width="30.140625" style="45" customWidth="1"/>
    <col min="12812" max="12812" width="49.140625" style="45" customWidth="1"/>
    <col min="12813" max="12813" width="31.85546875" style="45" customWidth="1"/>
    <col min="12814" max="12814" width="39.140625" style="45" customWidth="1"/>
    <col min="12815" max="12815" width="53" style="45" bestFit="1" customWidth="1"/>
    <col min="12816" max="12816" width="33.42578125" style="45" bestFit="1" customWidth="1"/>
    <col min="12817" max="12817" width="28.140625" style="45" customWidth="1"/>
    <col min="12818" max="12822" width="6.7109375" style="45" customWidth="1"/>
    <col min="12823" max="12823" width="1.7109375" style="45" customWidth="1"/>
    <col min="12824" max="13047" width="9.140625" style="45"/>
    <col min="13048" max="13048" width="16" style="45" customWidth="1"/>
    <col min="13049" max="13049" width="27.7109375" style="45" customWidth="1"/>
    <col min="13050" max="13050" width="65.7109375" style="45" customWidth="1"/>
    <col min="13051" max="13051" width="21.85546875" style="45" bestFit="1" customWidth="1"/>
    <col min="13052" max="13052" width="30.140625" style="45" customWidth="1"/>
    <col min="13053" max="13053" width="62" style="45" customWidth="1"/>
    <col min="13054" max="13054" width="44" style="45" customWidth="1"/>
    <col min="13055" max="13055" width="43.140625" style="45" customWidth="1"/>
    <col min="13056" max="13056" width="45" style="45" customWidth="1"/>
    <col min="13057" max="13057" width="35.5703125" style="45" customWidth="1"/>
    <col min="13058" max="13058" width="37.140625" style="45" customWidth="1"/>
    <col min="13059" max="13059" width="76.7109375" style="45" customWidth="1"/>
    <col min="13060" max="13060" width="37.7109375" style="45" customWidth="1"/>
    <col min="13061" max="13061" width="37.85546875" style="45" customWidth="1"/>
    <col min="13062" max="13062" width="39.85546875" style="45" customWidth="1"/>
    <col min="13063" max="13063" width="53.140625" style="45" customWidth="1"/>
    <col min="13064" max="13064" width="35.28515625" style="45" customWidth="1"/>
    <col min="13065" max="13065" width="31" style="45" customWidth="1"/>
    <col min="13066" max="13066" width="29.140625" style="45" customWidth="1"/>
    <col min="13067" max="13067" width="30.140625" style="45" customWidth="1"/>
    <col min="13068" max="13068" width="49.140625" style="45" customWidth="1"/>
    <col min="13069" max="13069" width="31.85546875" style="45" customWidth="1"/>
    <col min="13070" max="13070" width="39.140625" style="45" customWidth="1"/>
    <col min="13071" max="13071" width="53" style="45" bestFit="1" customWidth="1"/>
    <col min="13072" max="13072" width="33.42578125" style="45" bestFit="1" customWidth="1"/>
    <col min="13073" max="13073" width="28.140625" style="45" customWidth="1"/>
    <col min="13074" max="13078" width="6.7109375" style="45" customWidth="1"/>
    <col min="13079" max="13079" width="1.7109375" style="45" customWidth="1"/>
    <col min="13080" max="13303" width="9.140625" style="45"/>
    <col min="13304" max="13304" width="16" style="45" customWidth="1"/>
    <col min="13305" max="13305" width="27.7109375" style="45" customWidth="1"/>
    <col min="13306" max="13306" width="65.7109375" style="45" customWidth="1"/>
    <col min="13307" max="13307" width="21.85546875" style="45" bestFit="1" customWidth="1"/>
    <col min="13308" max="13308" width="30.140625" style="45" customWidth="1"/>
    <col min="13309" max="13309" width="62" style="45" customWidth="1"/>
    <col min="13310" max="13310" width="44" style="45" customWidth="1"/>
    <col min="13311" max="13311" width="43.140625" style="45" customWidth="1"/>
    <col min="13312" max="13312" width="45" style="45" customWidth="1"/>
    <col min="13313" max="13313" width="35.5703125" style="45" customWidth="1"/>
    <col min="13314" max="13314" width="37.140625" style="45" customWidth="1"/>
    <col min="13315" max="13315" width="76.7109375" style="45" customWidth="1"/>
    <col min="13316" max="13316" width="37.7109375" style="45" customWidth="1"/>
    <col min="13317" max="13317" width="37.85546875" style="45" customWidth="1"/>
    <col min="13318" max="13318" width="39.85546875" style="45" customWidth="1"/>
    <col min="13319" max="13319" width="53.140625" style="45" customWidth="1"/>
    <col min="13320" max="13320" width="35.28515625" style="45" customWidth="1"/>
    <col min="13321" max="13321" width="31" style="45" customWidth="1"/>
    <col min="13322" max="13322" width="29.140625" style="45" customWidth="1"/>
    <col min="13323" max="13323" width="30.140625" style="45" customWidth="1"/>
    <col min="13324" max="13324" width="49.140625" style="45" customWidth="1"/>
    <col min="13325" max="13325" width="31.85546875" style="45" customWidth="1"/>
    <col min="13326" max="13326" width="39.140625" style="45" customWidth="1"/>
    <col min="13327" max="13327" width="53" style="45" bestFit="1" customWidth="1"/>
    <col min="13328" max="13328" width="33.42578125" style="45" bestFit="1" customWidth="1"/>
    <col min="13329" max="13329" width="28.140625" style="45" customWidth="1"/>
    <col min="13330" max="13334" width="6.7109375" style="45" customWidth="1"/>
    <col min="13335" max="13335" width="1.7109375" style="45" customWidth="1"/>
    <col min="13336" max="13559" width="9.140625" style="45"/>
    <col min="13560" max="13560" width="16" style="45" customWidth="1"/>
    <col min="13561" max="13561" width="27.7109375" style="45" customWidth="1"/>
    <col min="13562" max="13562" width="65.7109375" style="45" customWidth="1"/>
    <col min="13563" max="13563" width="21.85546875" style="45" bestFit="1" customWidth="1"/>
    <col min="13564" max="13564" width="30.140625" style="45" customWidth="1"/>
    <col min="13565" max="13565" width="62" style="45" customWidth="1"/>
    <col min="13566" max="13566" width="44" style="45" customWidth="1"/>
    <col min="13567" max="13567" width="43.140625" style="45" customWidth="1"/>
    <col min="13568" max="13568" width="45" style="45" customWidth="1"/>
    <col min="13569" max="13569" width="35.5703125" style="45" customWidth="1"/>
    <col min="13570" max="13570" width="37.140625" style="45" customWidth="1"/>
    <col min="13571" max="13571" width="76.7109375" style="45" customWidth="1"/>
    <col min="13572" max="13572" width="37.7109375" style="45" customWidth="1"/>
    <col min="13573" max="13573" width="37.85546875" style="45" customWidth="1"/>
    <col min="13574" max="13574" width="39.85546875" style="45" customWidth="1"/>
    <col min="13575" max="13575" width="53.140625" style="45" customWidth="1"/>
    <col min="13576" max="13576" width="35.28515625" style="45" customWidth="1"/>
    <col min="13577" max="13577" width="31" style="45" customWidth="1"/>
    <col min="13578" max="13578" width="29.140625" style="45" customWidth="1"/>
    <col min="13579" max="13579" width="30.140625" style="45" customWidth="1"/>
    <col min="13580" max="13580" width="49.140625" style="45" customWidth="1"/>
    <col min="13581" max="13581" width="31.85546875" style="45" customWidth="1"/>
    <col min="13582" max="13582" width="39.140625" style="45" customWidth="1"/>
    <col min="13583" max="13583" width="53" style="45" bestFit="1" customWidth="1"/>
    <col min="13584" max="13584" width="33.42578125" style="45" bestFit="1" customWidth="1"/>
    <col min="13585" max="13585" width="28.140625" style="45" customWidth="1"/>
    <col min="13586" max="13590" width="6.7109375" style="45" customWidth="1"/>
    <col min="13591" max="13591" width="1.7109375" style="45" customWidth="1"/>
    <col min="13592" max="13815" width="9.140625" style="45"/>
    <col min="13816" max="13816" width="16" style="45" customWidth="1"/>
    <col min="13817" max="13817" width="27.7109375" style="45" customWidth="1"/>
    <col min="13818" max="13818" width="65.7109375" style="45" customWidth="1"/>
    <col min="13819" max="13819" width="21.85546875" style="45" bestFit="1" customWidth="1"/>
    <col min="13820" max="13820" width="30.140625" style="45" customWidth="1"/>
    <col min="13821" max="13821" width="62" style="45" customWidth="1"/>
    <col min="13822" max="13822" width="44" style="45" customWidth="1"/>
    <col min="13823" max="13823" width="43.140625" style="45" customWidth="1"/>
    <col min="13824" max="13824" width="45" style="45" customWidth="1"/>
    <col min="13825" max="13825" width="35.5703125" style="45" customWidth="1"/>
    <col min="13826" max="13826" width="37.140625" style="45" customWidth="1"/>
    <col min="13827" max="13827" width="76.7109375" style="45" customWidth="1"/>
    <col min="13828" max="13828" width="37.7109375" style="45" customWidth="1"/>
    <col min="13829" max="13829" width="37.85546875" style="45" customWidth="1"/>
    <col min="13830" max="13830" width="39.85546875" style="45" customWidth="1"/>
    <col min="13831" max="13831" width="53.140625" style="45" customWidth="1"/>
    <col min="13832" max="13832" width="35.28515625" style="45" customWidth="1"/>
    <col min="13833" max="13833" width="31" style="45" customWidth="1"/>
    <col min="13834" max="13834" width="29.140625" style="45" customWidth="1"/>
    <col min="13835" max="13835" width="30.140625" style="45" customWidth="1"/>
    <col min="13836" max="13836" width="49.140625" style="45" customWidth="1"/>
    <col min="13837" max="13837" width="31.85546875" style="45" customWidth="1"/>
    <col min="13838" max="13838" width="39.140625" style="45" customWidth="1"/>
    <col min="13839" max="13839" width="53" style="45" bestFit="1" customWidth="1"/>
    <col min="13840" max="13840" width="33.42578125" style="45" bestFit="1" customWidth="1"/>
    <col min="13841" max="13841" width="28.140625" style="45" customWidth="1"/>
    <col min="13842" max="13846" width="6.7109375" style="45" customWidth="1"/>
    <col min="13847" max="13847" width="1.7109375" style="45" customWidth="1"/>
    <col min="13848" max="14071" width="9.140625" style="45"/>
    <col min="14072" max="14072" width="16" style="45" customWidth="1"/>
    <col min="14073" max="14073" width="27.7109375" style="45" customWidth="1"/>
    <col min="14074" max="14074" width="65.7109375" style="45" customWidth="1"/>
    <col min="14075" max="14075" width="21.85546875" style="45" bestFit="1" customWidth="1"/>
    <col min="14076" max="14076" width="30.140625" style="45" customWidth="1"/>
    <col min="14077" max="14077" width="62" style="45" customWidth="1"/>
    <col min="14078" max="14078" width="44" style="45" customWidth="1"/>
    <col min="14079" max="14079" width="43.140625" style="45" customWidth="1"/>
    <col min="14080" max="14080" width="45" style="45" customWidth="1"/>
    <col min="14081" max="14081" width="35.5703125" style="45" customWidth="1"/>
    <col min="14082" max="14082" width="37.140625" style="45" customWidth="1"/>
    <col min="14083" max="14083" width="76.7109375" style="45" customWidth="1"/>
    <col min="14084" max="14084" width="37.7109375" style="45" customWidth="1"/>
    <col min="14085" max="14085" width="37.85546875" style="45" customWidth="1"/>
    <col min="14086" max="14086" width="39.85546875" style="45" customWidth="1"/>
    <col min="14087" max="14087" width="53.140625" style="45" customWidth="1"/>
    <col min="14088" max="14088" width="35.28515625" style="45" customWidth="1"/>
    <col min="14089" max="14089" width="31" style="45" customWidth="1"/>
    <col min="14090" max="14090" width="29.140625" style="45" customWidth="1"/>
    <col min="14091" max="14091" width="30.140625" style="45" customWidth="1"/>
    <col min="14092" max="14092" width="49.140625" style="45" customWidth="1"/>
    <col min="14093" max="14093" width="31.85546875" style="45" customWidth="1"/>
    <col min="14094" max="14094" width="39.140625" style="45" customWidth="1"/>
    <col min="14095" max="14095" width="53" style="45" bestFit="1" customWidth="1"/>
    <col min="14096" max="14096" width="33.42578125" style="45" bestFit="1" customWidth="1"/>
    <col min="14097" max="14097" width="28.140625" style="45" customWidth="1"/>
    <col min="14098" max="14102" width="6.7109375" style="45" customWidth="1"/>
    <col min="14103" max="14103" width="1.7109375" style="45" customWidth="1"/>
    <col min="14104" max="14327" width="9.140625" style="45"/>
    <col min="14328" max="14328" width="16" style="45" customWidth="1"/>
    <col min="14329" max="14329" width="27.7109375" style="45" customWidth="1"/>
    <col min="14330" max="14330" width="65.7109375" style="45" customWidth="1"/>
    <col min="14331" max="14331" width="21.85546875" style="45" bestFit="1" customWidth="1"/>
    <col min="14332" max="14332" width="30.140625" style="45" customWidth="1"/>
    <col min="14333" max="14333" width="62" style="45" customWidth="1"/>
    <col min="14334" max="14334" width="44" style="45" customWidth="1"/>
    <col min="14335" max="14335" width="43.140625" style="45" customWidth="1"/>
    <col min="14336" max="14336" width="45" style="45" customWidth="1"/>
    <col min="14337" max="14337" width="35.5703125" style="45" customWidth="1"/>
    <col min="14338" max="14338" width="37.140625" style="45" customWidth="1"/>
    <col min="14339" max="14339" width="76.7109375" style="45" customWidth="1"/>
    <col min="14340" max="14340" width="37.7109375" style="45" customWidth="1"/>
    <col min="14341" max="14341" width="37.85546875" style="45" customWidth="1"/>
    <col min="14342" max="14342" width="39.85546875" style="45" customWidth="1"/>
    <col min="14343" max="14343" width="53.140625" style="45" customWidth="1"/>
    <col min="14344" max="14344" width="35.28515625" style="45" customWidth="1"/>
    <col min="14345" max="14345" width="31" style="45" customWidth="1"/>
    <col min="14346" max="14346" width="29.140625" style="45" customWidth="1"/>
    <col min="14347" max="14347" width="30.140625" style="45" customWidth="1"/>
    <col min="14348" max="14348" width="49.140625" style="45" customWidth="1"/>
    <col min="14349" max="14349" width="31.85546875" style="45" customWidth="1"/>
    <col min="14350" max="14350" width="39.140625" style="45" customWidth="1"/>
    <col min="14351" max="14351" width="53" style="45" bestFit="1" customWidth="1"/>
    <col min="14352" max="14352" width="33.42578125" style="45" bestFit="1" customWidth="1"/>
    <col min="14353" max="14353" width="28.140625" style="45" customWidth="1"/>
    <col min="14354" max="14358" width="6.7109375" style="45" customWidth="1"/>
    <col min="14359" max="14359" width="1.7109375" style="45" customWidth="1"/>
    <col min="14360" max="14583" width="9.140625" style="45"/>
    <col min="14584" max="14584" width="16" style="45" customWidth="1"/>
    <col min="14585" max="14585" width="27.7109375" style="45" customWidth="1"/>
    <col min="14586" max="14586" width="65.7109375" style="45" customWidth="1"/>
    <col min="14587" max="14587" width="21.85546875" style="45" bestFit="1" customWidth="1"/>
    <col min="14588" max="14588" width="30.140625" style="45" customWidth="1"/>
    <col min="14589" max="14589" width="62" style="45" customWidth="1"/>
    <col min="14590" max="14590" width="44" style="45" customWidth="1"/>
    <col min="14591" max="14591" width="43.140625" style="45" customWidth="1"/>
    <col min="14592" max="14592" width="45" style="45" customWidth="1"/>
    <col min="14593" max="14593" width="35.5703125" style="45" customWidth="1"/>
    <col min="14594" max="14594" width="37.140625" style="45" customWidth="1"/>
    <col min="14595" max="14595" width="76.7109375" style="45" customWidth="1"/>
    <col min="14596" max="14596" width="37.7109375" style="45" customWidth="1"/>
    <col min="14597" max="14597" width="37.85546875" style="45" customWidth="1"/>
    <col min="14598" max="14598" width="39.85546875" style="45" customWidth="1"/>
    <col min="14599" max="14599" width="53.140625" style="45" customWidth="1"/>
    <col min="14600" max="14600" width="35.28515625" style="45" customWidth="1"/>
    <col min="14601" max="14601" width="31" style="45" customWidth="1"/>
    <col min="14602" max="14602" width="29.140625" style="45" customWidth="1"/>
    <col min="14603" max="14603" width="30.140625" style="45" customWidth="1"/>
    <col min="14604" max="14604" width="49.140625" style="45" customWidth="1"/>
    <col min="14605" max="14605" width="31.85546875" style="45" customWidth="1"/>
    <col min="14606" max="14606" width="39.140625" style="45" customWidth="1"/>
    <col min="14607" max="14607" width="53" style="45" bestFit="1" customWidth="1"/>
    <col min="14608" max="14608" width="33.42578125" style="45" bestFit="1" customWidth="1"/>
    <col min="14609" max="14609" width="28.140625" style="45" customWidth="1"/>
    <col min="14610" max="14614" width="6.7109375" style="45" customWidth="1"/>
    <col min="14615" max="14615" width="1.7109375" style="45" customWidth="1"/>
    <col min="14616" max="14839" width="9.140625" style="45"/>
    <col min="14840" max="14840" width="16" style="45" customWidth="1"/>
    <col min="14841" max="14841" width="27.7109375" style="45" customWidth="1"/>
    <col min="14842" max="14842" width="65.7109375" style="45" customWidth="1"/>
    <col min="14843" max="14843" width="21.85546875" style="45" bestFit="1" customWidth="1"/>
    <col min="14844" max="14844" width="30.140625" style="45" customWidth="1"/>
    <col min="14845" max="14845" width="62" style="45" customWidth="1"/>
    <col min="14846" max="14846" width="44" style="45" customWidth="1"/>
    <col min="14847" max="14847" width="43.140625" style="45" customWidth="1"/>
    <col min="14848" max="14848" width="45" style="45" customWidth="1"/>
    <col min="14849" max="14849" width="35.5703125" style="45" customWidth="1"/>
    <col min="14850" max="14850" width="37.140625" style="45" customWidth="1"/>
    <col min="14851" max="14851" width="76.7109375" style="45" customWidth="1"/>
    <col min="14852" max="14852" width="37.7109375" style="45" customWidth="1"/>
    <col min="14853" max="14853" width="37.85546875" style="45" customWidth="1"/>
    <col min="14854" max="14854" width="39.85546875" style="45" customWidth="1"/>
    <col min="14855" max="14855" width="53.140625" style="45" customWidth="1"/>
    <col min="14856" max="14856" width="35.28515625" style="45" customWidth="1"/>
    <col min="14857" max="14857" width="31" style="45" customWidth="1"/>
    <col min="14858" max="14858" width="29.140625" style="45" customWidth="1"/>
    <col min="14859" max="14859" width="30.140625" style="45" customWidth="1"/>
    <col min="14860" max="14860" width="49.140625" style="45" customWidth="1"/>
    <col min="14861" max="14861" width="31.85546875" style="45" customWidth="1"/>
    <col min="14862" max="14862" width="39.140625" style="45" customWidth="1"/>
    <col min="14863" max="14863" width="53" style="45" bestFit="1" customWidth="1"/>
    <col min="14864" max="14864" width="33.42578125" style="45" bestFit="1" customWidth="1"/>
    <col min="14865" max="14865" width="28.140625" style="45" customWidth="1"/>
    <col min="14866" max="14870" width="6.7109375" style="45" customWidth="1"/>
    <col min="14871" max="14871" width="1.7109375" style="45" customWidth="1"/>
    <col min="14872" max="15095" width="9.140625" style="45"/>
    <col min="15096" max="15096" width="16" style="45" customWidth="1"/>
    <col min="15097" max="15097" width="27.7109375" style="45" customWidth="1"/>
    <col min="15098" max="15098" width="65.7109375" style="45" customWidth="1"/>
    <col min="15099" max="15099" width="21.85546875" style="45" bestFit="1" customWidth="1"/>
    <col min="15100" max="15100" width="30.140625" style="45" customWidth="1"/>
    <col min="15101" max="15101" width="62" style="45" customWidth="1"/>
    <col min="15102" max="15102" width="44" style="45" customWidth="1"/>
    <col min="15103" max="15103" width="43.140625" style="45" customWidth="1"/>
    <col min="15104" max="15104" width="45" style="45" customWidth="1"/>
    <col min="15105" max="15105" width="35.5703125" style="45" customWidth="1"/>
    <col min="15106" max="15106" width="37.140625" style="45" customWidth="1"/>
    <col min="15107" max="15107" width="76.7109375" style="45" customWidth="1"/>
    <col min="15108" max="15108" width="37.7109375" style="45" customWidth="1"/>
    <col min="15109" max="15109" width="37.85546875" style="45" customWidth="1"/>
    <col min="15110" max="15110" width="39.85546875" style="45" customWidth="1"/>
    <col min="15111" max="15111" width="53.140625" style="45" customWidth="1"/>
    <col min="15112" max="15112" width="35.28515625" style="45" customWidth="1"/>
    <col min="15113" max="15113" width="31" style="45" customWidth="1"/>
    <col min="15114" max="15114" width="29.140625" style="45" customWidth="1"/>
    <col min="15115" max="15115" width="30.140625" style="45" customWidth="1"/>
    <col min="15116" max="15116" width="49.140625" style="45" customWidth="1"/>
    <col min="15117" max="15117" width="31.85546875" style="45" customWidth="1"/>
    <col min="15118" max="15118" width="39.140625" style="45" customWidth="1"/>
    <col min="15119" max="15119" width="53" style="45" bestFit="1" customWidth="1"/>
    <col min="15120" max="15120" width="33.42578125" style="45" bestFit="1" customWidth="1"/>
    <col min="15121" max="15121" width="28.140625" style="45" customWidth="1"/>
    <col min="15122" max="15126" width="6.7109375" style="45" customWidth="1"/>
    <col min="15127" max="15127" width="1.7109375" style="45" customWidth="1"/>
    <col min="15128" max="15351" width="9.140625" style="45"/>
    <col min="15352" max="15352" width="16" style="45" customWidth="1"/>
    <col min="15353" max="15353" width="27.7109375" style="45" customWidth="1"/>
    <col min="15354" max="15354" width="65.7109375" style="45" customWidth="1"/>
    <col min="15355" max="15355" width="21.85546875" style="45" bestFit="1" customWidth="1"/>
    <col min="15356" max="15356" width="30.140625" style="45" customWidth="1"/>
    <col min="15357" max="15357" width="62" style="45" customWidth="1"/>
    <col min="15358" max="15358" width="44" style="45" customWidth="1"/>
    <col min="15359" max="15359" width="43.140625" style="45" customWidth="1"/>
    <col min="15360" max="15360" width="45" style="45" customWidth="1"/>
    <col min="15361" max="15361" width="35.5703125" style="45" customWidth="1"/>
    <col min="15362" max="15362" width="37.140625" style="45" customWidth="1"/>
    <col min="15363" max="15363" width="76.7109375" style="45" customWidth="1"/>
    <col min="15364" max="15364" width="37.7109375" style="45" customWidth="1"/>
    <col min="15365" max="15365" width="37.85546875" style="45" customWidth="1"/>
    <col min="15366" max="15366" width="39.85546875" style="45" customWidth="1"/>
    <col min="15367" max="15367" width="53.140625" style="45" customWidth="1"/>
    <col min="15368" max="15368" width="35.28515625" style="45" customWidth="1"/>
    <col min="15369" max="15369" width="31" style="45" customWidth="1"/>
    <col min="15370" max="15370" width="29.140625" style="45" customWidth="1"/>
    <col min="15371" max="15371" width="30.140625" style="45" customWidth="1"/>
    <col min="15372" max="15372" width="49.140625" style="45" customWidth="1"/>
    <col min="15373" max="15373" width="31.85546875" style="45" customWidth="1"/>
    <col min="15374" max="15374" width="39.140625" style="45" customWidth="1"/>
    <col min="15375" max="15375" width="53" style="45" bestFit="1" customWidth="1"/>
    <col min="15376" max="15376" width="33.42578125" style="45" bestFit="1" customWidth="1"/>
    <col min="15377" max="15377" width="28.140625" style="45" customWidth="1"/>
    <col min="15378" max="15382" width="6.7109375" style="45" customWidth="1"/>
    <col min="15383" max="15383" width="1.7109375" style="45" customWidth="1"/>
    <col min="15384" max="15607" width="9.140625" style="45"/>
    <col min="15608" max="15608" width="16" style="45" customWidth="1"/>
    <col min="15609" max="15609" width="27.7109375" style="45" customWidth="1"/>
    <col min="15610" max="15610" width="65.7109375" style="45" customWidth="1"/>
    <col min="15611" max="15611" width="21.85546875" style="45" bestFit="1" customWidth="1"/>
    <col min="15612" max="15612" width="30.140625" style="45" customWidth="1"/>
    <col min="15613" max="15613" width="62" style="45" customWidth="1"/>
    <col min="15614" max="15614" width="44" style="45" customWidth="1"/>
    <col min="15615" max="15615" width="43.140625" style="45" customWidth="1"/>
    <col min="15616" max="15616" width="45" style="45" customWidth="1"/>
    <col min="15617" max="15617" width="35.5703125" style="45" customWidth="1"/>
    <col min="15618" max="15618" width="37.140625" style="45" customWidth="1"/>
    <col min="15619" max="15619" width="76.7109375" style="45" customWidth="1"/>
    <col min="15620" max="15620" width="37.7109375" style="45" customWidth="1"/>
    <col min="15621" max="15621" width="37.85546875" style="45" customWidth="1"/>
    <col min="15622" max="15622" width="39.85546875" style="45" customWidth="1"/>
    <col min="15623" max="15623" width="53.140625" style="45" customWidth="1"/>
    <col min="15624" max="15624" width="35.28515625" style="45" customWidth="1"/>
    <col min="15625" max="15625" width="31" style="45" customWidth="1"/>
    <col min="15626" max="15626" width="29.140625" style="45" customWidth="1"/>
    <col min="15627" max="15627" width="30.140625" style="45" customWidth="1"/>
    <col min="15628" max="15628" width="49.140625" style="45" customWidth="1"/>
    <col min="15629" max="15629" width="31.85546875" style="45" customWidth="1"/>
    <col min="15630" max="15630" width="39.140625" style="45" customWidth="1"/>
    <col min="15631" max="15631" width="53" style="45" bestFit="1" customWidth="1"/>
    <col min="15632" max="15632" width="33.42578125" style="45" bestFit="1" customWidth="1"/>
    <col min="15633" max="15633" width="28.140625" style="45" customWidth="1"/>
    <col min="15634" max="15638" width="6.7109375" style="45" customWidth="1"/>
    <col min="15639" max="15639" width="1.7109375" style="45" customWidth="1"/>
    <col min="15640" max="15863" width="9.140625" style="45"/>
    <col min="15864" max="15864" width="16" style="45" customWidth="1"/>
    <col min="15865" max="15865" width="27.7109375" style="45" customWidth="1"/>
    <col min="15866" max="15866" width="65.7109375" style="45" customWidth="1"/>
    <col min="15867" max="15867" width="21.85546875" style="45" bestFit="1" customWidth="1"/>
    <col min="15868" max="15868" width="30.140625" style="45" customWidth="1"/>
    <col min="15869" max="15869" width="62" style="45" customWidth="1"/>
    <col min="15870" max="15870" width="44" style="45" customWidth="1"/>
    <col min="15871" max="15871" width="43.140625" style="45" customWidth="1"/>
    <col min="15872" max="15872" width="45" style="45" customWidth="1"/>
    <col min="15873" max="15873" width="35.5703125" style="45" customWidth="1"/>
    <col min="15874" max="15874" width="37.140625" style="45" customWidth="1"/>
    <col min="15875" max="15875" width="76.7109375" style="45" customWidth="1"/>
    <col min="15876" max="15876" width="37.7109375" style="45" customWidth="1"/>
    <col min="15877" max="15877" width="37.85546875" style="45" customWidth="1"/>
    <col min="15878" max="15878" width="39.85546875" style="45" customWidth="1"/>
    <col min="15879" max="15879" width="53.140625" style="45" customWidth="1"/>
    <col min="15880" max="15880" width="35.28515625" style="45" customWidth="1"/>
    <col min="15881" max="15881" width="31" style="45" customWidth="1"/>
    <col min="15882" max="15882" width="29.140625" style="45" customWidth="1"/>
    <col min="15883" max="15883" width="30.140625" style="45" customWidth="1"/>
    <col min="15884" max="15884" width="49.140625" style="45" customWidth="1"/>
    <col min="15885" max="15885" width="31.85546875" style="45" customWidth="1"/>
    <col min="15886" max="15886" width="39.140625" style="45" customWidth="1"/>
    <col min="15887" max="15887" width="53" style="45" bestFit="1" customWidth="1"/>
    <col min="15888" max="15888" width="33.42578125" style="45" bestFit="1" customWidth="1"/>
    <col min="15889" max="15889" width="28.140625" style="45" customWidth="1"/>
    <col min="15890" max="15894" width="6.7109375" style="45" customWidth="1"/>
    <col min="15895" max="15895" width="1.7109375" style="45" customWidth="1"/>
    <col min="15896" max="16119" width="9.140625" style="45"/>
    <col min="16120" max="16120" width="16" style="45" customWidth="1"/>
    <col min="16121" max="16121" width="27.7109375" style="45" customWidth="1"/>
    <col min="16122" max="16122" width="65.7109375" style="45" customWidth="1"/>
    <col min="16123" max="16123" width="21.85546875" style="45" bestFit="1" customWidth="1"/>
    <col min="16124" max="16124" width="30.140625" style="45" customWidth="1"/>
    <col min="16125" max="16125" width="62" style="45" customWidth="1"/>
    <col min="16126" max="16126" width="44" style="45" customWidth="1"/>
    <col min="16127" max="16127" width="43.140625" style="45" customWidth="1"/>
    <col min="16128" max="16128" width="45" style="45" customWidth="1"/>
    <col min="16129" max="16129" width="35.5703125" style="45" customWidth="1"/>
    <col min="16130" max="16130" width="37.140625" style="45" customWidth="1"/>
    <col min="16131" max="16131" width="76.7109375" style="45" customWidth="1"/>
    <col min="16132" max="16132" width="37.7109375" style="45" customWidth="1"/>
    <col min="16133" max="16133" width="37.85546875" style="45" customWidth="1"/>
    <col min="16134" max="16134" width="39.85546875" style="45" customWidth="1"/>
    <col min="16135" max="16135" width="53.140625" style="45" customWidth="1"/>
    <col min="16136" max="16136" width="35.28515625" style="45" customWidth="1"/>
    <col min="16137" max="16137" width="31" style="45" customWidth="1"/>
    <col min="16138" max="16138" width="29.140625" style="45" customWidth="1"/>
    <col min="16139" max="16139" width="30.140625" style="45" customWidth="1"/>
    <col min="16140" max="16140" width="49.140625" style="45" customWidth="1"/>
    <col min="16141" max="16141" width="31.85546875" style="45" customWidth="1"/>
    <col min="16142" max="16142" width="39.140625" style="45" customWidth="1"/>
    <col min="16143" max="16143" width="53" style="45" bestFit="1" customWidth="1"/>
    <col min="16144" max="16144" width="33.42578125" style="45" bestFit="1" customWidth="1"/>
    <col min="16145" max="16145" width="28.140625" style="45" customWidth="1"/>
    <col min="16146" max="16150" width="6.7109375" style="45" customWidth="1"/>
    <col min="16151" max="16151" width="1.7109375" style="45" customWidth="1"/>
    <col min="16152" max="16384" width="9.140625" style="45"/>
  </cols>
  <sheetData>
    <row r="1" spans="1:23" ht="30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60.75" customHeight="1" x14ac:dyDescent="0.25">
      <c r="A2" s="1"/>
      <c r="B2" s="352"/>
      <c r="C2" s="353"/>
      <c r="D2" s="353"/>
      <c r="E2" s="354"/>
      <c r="F2" s="358" t="s">
        <v>125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  <c r="S2" s="359"/>
      <c r="T2" s="359"/>
      <c r="U2" s="360"/>
      <c r="V2" s="364">
        <f>'11kV (Main)'!V2</f>
        <v>0</v>
      </c>
      <c r="W2" s="365"/>
    </row>
    <row r="3" spans="1:23" ht="65.25" customHeight="1" x14ac:dyDescent="0.25">
      <c r="A3" s="1"/>
      <c r="B3" s="355"/>
      <c r="C3" s="356"/>
      <c r="D3" s="356"/>
      <c r="E3" s="357"/>
      <c r="F3" s="361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3"/>
      <c r="V3" s="267" t="s">
        <v>0</v>
      </c>
      <c r="W3" s="146"/>
    </row>
    <row r="4" spans="1:23" ht="60.75" customHeight="1" x14ac:dyDescent="0.25">
      <c r="A4" s="1"/>
      <c r="B4" s="2"/>
      <c r="C4" s="1"/>
      <c r="D4" s="1"/>
      <c r="E4" s="1"/>
      <c r="F4" s="1"/>
      <c r="G4" s="3"/>
      <c r="H4" s="4"/>
      <c r="I4" s="3"/>
      <c r="J4" s="1"/>
      <c r="K4" s="3"/>
      <c r="L4" s="3"/>
      <c r="M4" s="1"/>
      <c r="N4" s="1"/>
      <c r="O4" s="1"/>
      <c r="P4" s="1"/>
      <c r="Q4" s="1"/>
      <c r="R4" s="3"/>
      <c r="S4" s="3"/>
      <c r="T4" s="1"/>
      <c r="U4" s="1"/>
      <c r="V4" s="268" t="s">
        <v>130</v>
      </c>
      <c r="W4" s="146"/>
    </row>
    <row r="5" spans="1:23" ht="60" customHeight="1" x14ac:dyDescent="0.25">
      <c r="A5" s="1"/>
      <c r="B5" s="5" t="s">
        <v>1</v>
      </c>
      <c r="C5" s="3"/>
      <c r="D5" s="3"/>
      <c r="E5" s="3"/>
      <c r="F5" s="3"/>
      <c r="G5" s="6"/>
      <c r="H5" s="7"/>
      <c r="I5" s="3"/>
      <c r="J5" s="4" t="s">
        <v>7</v>
      </c>
      <c r="K5" s="3"/>
      <c r="L5" s="1"/>
      <c r="M5" s="3"/>
      <c r="N5" s="3"/>
      <c r="O5" s="1"/>
      <c r="P5" s="1"/>
      <c r="Q5" s="1"/>
      <c r="R5" s="4" t="s">
        <v>3</v>
      </c>
      <c r="S5" s="1"/>
      <c r="T5" s="1"/>
      <c r="U5" s="1"/>
      <c r="V5" s="1"/>
      <c r="W5" s="8"/>
    </row>
    <row r="6" spans="1:23" ht="65.099999999999994" customHeight="1" x14ac:dyDescent="0.25">
      <c r="A6" s="1"/>
      <c r="B6" s="9" t="s">
        <v>2</v>
      </c>
      <c r="C6" s="7"/>
      <c r="D6" s="259">
        <f>'11kV (Main)'!D6</f>
        <v>0</v>
      </c>
      <c r="E6" s="6"/>
      <c r="F6" s="1"/>
      <c r="G6" s="51"/>
      <c r="H6" s="7"/>
      <c r="I6" s="1"/>
      <c r="J6" s="7" t="s">
        <v>82</v>
      </c>
      <c r="K6" s="3"/>
      <c r="L6" s="257">
        <f>'11kV (Main)'!L6</f>
        <v>0</v>
      </c>
      <c r="M6" s="256">
        <f>'11kV (Main)'!M6</f>
        <v>0</v>
      </c>
      <c r="N6" s="1"/>
      <c r="O6" s="1"/>
      <c r="P6" s="1"/>
      <c r="Q6" s="1"/>
      <c r="R6" s="3" t="s">
        <v>4</v>
      </c>
      <c r="S6" s="11"/>
      <c r="T6" s="1"/>
      <c r="U6" s="265">
        <f>'33kV (Main)'!U6</f>
        <v>0</v>
      </c>
      <c r="V6" s="1"/>
      <c r="W6" s="52"/>
    </row>
    <row r="7" spans="1:23" ht="65.099999999999994" customHeight="1" x14ac:dyDescent="0.25">
      <c r="A7" s="1"/>
      <c r="B7" s="9" t="s">
        <v>83</v>
      </c>
      <c r="C7" s="7"/>
      <c r="D7" s="259">
        <f>'11kV (Main)'!D7</f>
        <v>0</v>
      </c>
      <c r="E7" s="51"/>
      <c r="F7" s="1"/>
      <c r="G7" s="1"/>
      <c r="H7" s="7"/>
      <c r="I7" s="1"/>
      <c r="J7" s="7" t="s">
        <v>9</v>
      </c>
      <c r="K7" s="1"/>
      <c r="L7" s="258">
        <f>'11kV (Main)'!L7</f>
        <v>0</v>
      </c>
      <c r="M7" s="272"/>
      <c r="N7" s="1"/>
      <c r="O7" s="1"/>
      <c r="P7" s="1"/>
      <c r="Q7" s="1"/>
      <c r="R7" s="3" t="s">
        <v>5</v>
      </c>
      <c r="S7" s="11"/>
      <c r="T7" s="1"/>
      <c r="U7" s="266">
        <f>'33kV (Main)'!U7</f>
        <v>0</v>
      </c>
      <c r="V7" s="1"/>
      <c r="W7" s="52"/>
    </row>
    <row r="8" spans="1:23" ht="65.099999999999994" customHeight="1" x14ac:dyDescent="0.25">
      <c r="A8" s="1"/>
      <c r="B8" s="9" t="s">
        <v>84</v>
      </c>
      <c r="C8" s="7"/>
      <c r="D8" s="303">
        <f>'11kV (Main)'!D8</f>
        <v>0</v>
      </c>
      <c r="E8" s="14"/>
      <c r="F8" s="1"/>
      <c r="G8" s="1"/>
      <c r="H8" s="7"/>
      <c r="I8" s="1"/>
      <c r="J8" s="7" t="s">
        <v>10</v>
      </c>
      <c r="K8" s="1"/>
      <c r="L8" s="271">
        <f>'11kV (Main)'!L8</f>
        <v>0</v>
      </c>
      <c r="M8" s="272"/>
      <c r="N8" s="1"/>
      <c r="O8" s="1"/>
      <c r="P8" s="1"/>
      <c r="Q8" s="1"/>
      <c r="R8" s="3" t="s">
        <v>6</v>
      </c>
      <c r="S8" s="11"/>
      <c r="T8" s="1"/>
      <c r="U8" s="264">
        <f>'33kV (Main)'!U8</f>
        <v>0</v>
      </c>
      <c r="V8" s="1"/>
      <c r="W8" s="52"/>
    </row>
    <row r="9" spans="1:23" ht="65.099999999999994" customHeight="1" x14ac:dyDescent="0.25">
      <c r="A9" s="1"/>
      <c r="B9" s="12" t="s">
        <v>85</v>
      </c>
      <c r="C9" s="1"/>
      <c r="D9" s="262">
        <f>'11kV (Main)'!D9</f>
        <v>0</v>
      </c>
      <c r="E9" s="15"/>
      <c r="F9" s="1"/>
      <c r="G9" s="3"/>
      <c r="H9" s="7"/>
      <c r="I9" s="3"/>
      <c r="J9" s="7" t="s">
        <v>86</v>
      </c>
      <c r="K9" s="1"/>
      <c r="L9" s="271">
        <f>'11kV (Main)'!L9</f>
        <v>0</v>
      </c>
      <c r="M9" s="272"/>
      <c r="N9" s="1"/>
      <c r="O9" s="1"/>
      <c r="P9" s="1"/>
      <c r="Q9" s="1"/>
      <c r="R9" s="3"/>
      <c r="S9" s="3"/>
      <c r="T9" s="1"/>
      <c r="U9" s="1"/>
      <c r="V9" s="1"/>
      <c r="W9" s="8"/>
    </row>
    <row r="10" spans="1:23" ht="65.099999999999994" customHeight="1" x14ac:dyDescent="0.25">
      <c r="A10" s="1"/>
      <c r="B10" s="48"/>
      <c r="C10" s="3"/>
      <c r="D10" s="3"/>
      <c r="E10" s="7"/>
      <c r="F10" s="1"/>
      <c r="G10" s="7"/>
      <c r="H10" s="7"/>
      <c r="I10" s="3"/>
      <c r="J10" s="7" t="s">
        <v>8</v>
      </c>
      <c r="K10" s="3"/>
      <c r="L10" s="260">
        <f>'11kV (Main)'!L10</f>
        <v>0</v>
      </c>
      <c r="M10" s="270"/>
      <c r="N10" s="1"/>
      <c r="O10" s="1"/>
      <c r="P10" s="1"/>
      <c r="Q10" s="1"/>
      <c r="R10" s="3"/>
      <c r="S10" s="1"/>
      <c r="T10" s="1"/>
      <c r="U10" s="1"/>
      <c r="V10" s="1"/>
      <c r="W10" s="8"/>
    </row>
    <row r="11" spans="1:23" ht="65.099999999999994" customHeight="1" x14ac:dyDescent="0.25">
      <c r="A11" s="1"/>
      <c r="B11" s="9"/>
      <c r="C11" s="3"/>
      <c r="D11" s="1"/>
      <c r="E11" s="32"/>
      <c r="F11" s="47"/>
      <c r="G11" s="1"/>
      <c r="H11" s="7"/>
      <c r="I11" s="3"/>
      <c r="J11" s="7" t="s">
        <v>19</v>
      </c>
      <c r="K11" s="3"/>
      <c r="L11" s="259">
        <f>'11kV (Main)'!L11</f>
        <v>0</v>
      </c>
      <c r="M11" s="270"/>
      <c r="N11" s="3"/>
      <c r="O11" s="1"/>
      <c r="P11" s="3"/>
      <c r="Q11" s="1"/>
      <c r="R11" s="1"/>
      <c r="S11" s="7"/>
      <c r="T11" s="7"/>
      <c r="U11" s="7"/>
      <c r="V11" s="1"/>
      <c r="W11" s="8"/>
    </row>
    <row r="12" spans="1:23" ht="12.75" customHeight="1" x14ac:dyDescent="0.25">
      <c r="A12" s="1"/>
      <c r="B12" s="54"/>
      <c r="C12" s="3"/>
      <c r="D12" s="1"/>
      <c r="E12" s="32"/>
      <c r="F12" s="47"/>
      <c r="G12" s="1"/>
      <c r="H12" s="7"/>
      <c r="I12" s="3"/>
      <c r="J12" s="7"/>
      <c r="K12" s="3"/>
      <c r="L12" s="32"/>
      <c r="M12" s="32"/>
      <c r="N12" s="7"/>
      <c r="O12" s="3"/>
      <c r="P12" s="3"/>
      <c r="Q12" s="1"/>
      <c r="R12" s="1"/>
      <c r="S12" s="7"/>
      <c r="T12" s="7"/>
      <c r="U12" s="7"/>
      <c r="V12" s="1"/>
      <c r="W12" s="8"/>
    </row>
    <row r="13" spans="1:23" ht="59.25" customHeight="1" x14ac:dyDescent="0.25">
      <c r="A13" s="1"/>
      <c r="B13" s="366" t="s">
        <v>114</v>
      </c>
      <c r="C13" s="351" t="s">
        <v>115</v>
      </c>
      <c r="D13" s="351" t="s">
        <v>116</v>
      </c>
      <c r="E13" s="351" t="s">
        <v>113</v>
      </c>
      <c r="F13" s="351" t="s">
        <v>87</v>
      </c>
      <c r="G13" s="351" t="s">
        <v>88</v>
      </c>
      <c r="H13" s="351" t="s">
        <v>89</v>
      </c>
      <c r="I13" s="351" t="s">
        <v>117</v>
      </c>
      <c r="J13" s="351" t="s">
        <v>118</v>
      </c>
      <c r="K13" s="351" t="s">
        <v>119</v>
      </c>
      <c r="L13" s="372" t="s">
        <v>31</v>
      </c>
      <c r="M13" s="372"/>
      <c r="N13" s="372"/>
      <c r="O13" s="372"/>
      <c r="P13" s="372"/>
      <c r="Q13" s="372"/>
      <c r="R13" s="373" t="s">
        <v>11</v>
      </c>
      <c r="S13" s="373"/>
      <c r="T13" s="367" t="s">
        <v>12</v>
      </c>
      <c r="U13" s="368"/>
      <c r="V13" s="368"/>
      <c r="W13" s="369"/>
    </row>
    <row r="14" spans="1:23" ht="103.5" customHeight="1" x14ac:dyDescent="0.25">
      <c r="A14" s="1"/>
      <c r="B14" s="366"/>
      <c r="C14" s="351"/>
      <c r="D14" s="351"/>
      <c r="E14" s="351"/>
      <c r="F14" s="351"/>
      <c r="G14" s="351"/>
      <c r="H14" s="351"/>
      <c r="I14" s="351"/>
      <c r="J14" s="351"/>
      <c r="K14" s="351"/>
      <c r="L14" s="123" t="s">
        <v>90</v>
      </c>
      <c r="M14" s="123" t="s">
        <v>91</v>
      </c>
      <c r="N14" s="123" t="s">
        <v>92</v>
      </c>
      <c r="O14" s="123" t="s">
        <v>93</v>
      </c>
      <c r="P14" s="123" t="s">
        <v>94</v>
      </c>
      <c r="Q14" s="128" t="s">
        <v>95</v>
      </c>
      <c r="R14" s="123" t="s">
        <v>14</v>
      </c>
      <c r="S14" s="123" t="s">
        <v>15</v>
      </c>
      <c r="T14" s="123" t="s">
        <v>16</v>
      </c>
      <c r="U14" s="123" t="s">
        <v>96</v>
      </c>
      <c r="V14" s="370" t="s">
        <v>95</v>
      </c>
      <c r="W14" s="371"/>
    </row>
    <row r="15" spans="1:23" ht="69.95" customHeight="1" x14ac:dyDescent="0.25">
      <c r="A15" s="1"/>
      <c r="B15" s="332">
        <v>25</v>
      </c>
      <c r="C15" s="332"/>
      <c r="D15" s="339"/>
      <c r="E15" s="332"/>
      <c r="F15" s="348"/>
      <c r="G15" s="348"/>
      <c r="H15" s="348"/>
      <c r="I15" s="348"/>
      <c r="J15" s="132" t="s">
        <v>97</v>
      </c>
      <c r="K15" s="131" t="s">
        <v>98</v>
      </c>
      <c r="L15" s="145"/>
      <c r="M15" s="145"/>
      <c r="N15" s="145" t="str">
        <f>IF(M15="","",M15-L15)</f>
        <v/>
      </c>
      <c r="O15" s="145" t="str">
        <f t="shared" ref="O15:O62" si="0">IF(M15="","",((L15+M15)/2))</f>
        <v/>
      </c>
      <c r="P15" s="16"/>
      <c r="Q15" s="130"/>
      <c r="R15" s="124"/>
      <c r="S15" s="123" t="str">
        <f>IF(R15&lt;&gt;"", 0, "")</f>
        <v/>
      </c>
      <c r="T15" s="124"/>
      <c r="U15" s="123"/>
      <c r="V15" s="291"/>
      <c r="W15" s="292"/>
    </row>
    <row r="16" spans="1:23" ht="69.95" customHeight="1" x14ac:dyDescent="0.25">
      <c r="A16" s="1"/>
      <c r="B16" s="333"/>
      <c r="C16" s="333"/>
      <c r="D16" s="342"/>
      <c r="E16" s="333"/>
      <c r="F16" s="349"/>
      <c r="G16" s="349"/>
      <c r="H16" s="349"/>
      <c r="I16" s="349"/>
      <c r="J16" s="124"/>
      <c r="K16" s="131" t="s">
        <v>99</v>
      </c>
      <c r="L16" s="145"/>
      <c r="M16" s="304"/>
      <c r="N16" s="145" t="str">
        <f t="shared" ref="N16:N62" si="1">IF(M16="","",M16-L16)</f>
        <v/>
      </c>
      <c r="O16" s="145" t="str">
        <f t="shared" si="0"/>
        <v/>
      </c>
      <c r="P16" s="16"/>
      <c r="Q16" s="148"/>
      <c r="R16" s="124"/>
      <c r="S16" s="123" t="str">
        <f>IF(R16&lt;&gt;"", 0, "")</f>
        <v/>
      </c>
      <c r="T16" s="124"/>
      <c r="U16" s="123"/>
      <c r="V16" s="293"/>
      <c r="W16" s="62"/>
    </row>
    <row r="17" spans="1:23" ht="69.95" customHeight="1" x14ac:dyDescent="0.25">
      <c r="A17" s="1"/>
      <c r="B17" s="333"/>
      <c r="C17" s="333"/>
      <c r="D17" s="342"/>
      <c r="E17" s="333"/>
      <c r="F17" s="349"/>
      <c r="G17" s="349"/>
      <c r="H17" s="349"/>
      <c r="I17" s="349"/>
      <c r="J17" s="132" t="s">
        <v>100</v>
      </c>
      <c r="K17" s="131" t="s">
        <v>101</v>
      </c>
      <c r="L17" s="145"/>
      <c r="M17" s="304"/>
      <c r="N17" s="145" t="str">
        <f t="shared" si="1"/>
        <v/>
      </c>
      <c r="O17" s="145" t="str">
        <f t="shared" si="0"/>
        <v/>
      </c>
      <c r="P17" s="16"/>
      <c r="Q17" s="148"/>
      <c r="R17" s="31"/>
      <c r="S17" s="129"/>
      <c r="T17" s="124"/>
      <c r="U17" s="123"/>
      <c r="V17" s="293"/>
      <c r="W17" s="62"/>
    </row>
    <row r="18" spans="1:23" ht="69.95" customHeight="1" x14ac:dyDescent="0.25">
      <c r="A18" s="1"/>
      <c r="B18" s="333"/>
      <c r="C18" s="333"/>
      <c r="D18" s="342"/>
      <c r="E18" s="333"/>
      <c r="F18" s="349"/>
      <c r="G18" s="349"/>
      <c r="H18" s="349"/>
      <c r="I18" s="349"/>
      <c r="J18" s="124" t="str">
        <f>IF(J16="","","0.0")</f>
        <v/>
      </c>
      <c r="K18" s="131" t="s">
        <v>102</v>
      </c>
      <c r="L18" s="145"/>
      <c r="M18" s="304"/>
      <c r="N18" s="145" t="str">
        <f t="shared" si="1"/>
        <v/>
      </c>
      <c r="O18" s="145" t="str">
        <f t="shared" si="0"/>
        <v/>
      </c>
      <c r="P18" s="16"/>
      <c r="Q18" s="148"/>
      <c r="R18" s="124"/>
      <c r="S18" s="123" t="str">
        <f>IF(R18&lt;&gt;"", 0, "")</f>
        <v/>
      </c>
      <c r="T18" s="124"/>
      <c r="U18" s="123"/>
      <c r="V18" s="293"/>
      <c r="W18" s="62"/>
    </row>
    <row r="19" spans="1:23" ht="69.95" customHeight="1" x14ac:dyDescent="0.25">
      <c r="A19" s="1"/>
      <c r="B19" s="333"/>
      <c r="C19" s="333"/>
      <c r="D19" s="342"/>
      <c r="E19" s="333"/>
      <c r="F19" s="349"/>
      <c r="G19" s="349"/>
      <c r="H19" s="349"/>
      <c r="I19" s="349"/>
      <c r="J19" s="43"/>
      <c r="K19" s="131" t="s">
        <v>111</v>
      </c>
      <c r="L19" s="145"/>
      <c r="M19" s="304"/>
      <c r="N19" s="145" t="str">
        <f t="shared" si="1"/>
        <v/>
      </c>
      <c r="O19" s="145" t="str">
        <f t="shared" si="0"/>
        <v/>
      </c>
      <c r="P19" s="16"/>
      <c r="Q19" s="148"/>
      <c r="R19" s="31"/>
      <c r="S19" s="129"/>
      <c r="T19" s="124"/>
      <c r="U19" s="123"/>
      <c r="V19" s="293"/>
      <c r="W19" s="62"/>
    </row>
    <row r="20" spans="1:23" ht="69.95" customHeight="1" x14ac:dyDescent="0.25">
      <c r="A20" s="1"/>
      <c r="B20" s="334"/>
      <c r="C20" s="334"/>
      <c r="D20" s="345"/>
      <c r="E20" s="334"/>
      <c r="F20" s="350"/>
      <c r="G20" s="350"/>
      <c r="H20" s="350"/>
      <c r="I20" s="350"/>
      <c r="J20" s="43"/>
      <c r="K20" s="131" t="s">
        <v>112</v>
      </c>
      <c r="L20" s="145"/>
      <c r="M20" s="145"/>
      <c r="N20" s="145" t="str">
        <f t="shared" si="1"/>
        <v/>
      </c>
      <c r="O20" s="145" t="str">
        <f t="shared" si="0"/>
        <v/>
      </c>
      <c r="P20" s="16"/>
      <c r="Q20" s="149"/>
      <c r="R20" s="31"/>
      <c r="S20" s="129"/>
      <c r="T20" s="124"/>
      <c r="U20" s="123"/>
      <c r="V20" s="294"/>
      <c r="W20" s="295"/>
    </row>
    <row r="21" spans="1:23" ht="69.95" customHeight="1" x14ac:dyDescent="0.25">
      <c r="A21" s="1"/>
      <c r="B21" s="332">
        <v>26</v>
      </c>
      <c r="C21" s="332"/>
      <c r="D21" s="339"/>
      <c r="E21" s="332"/>
      <c r="F21" s="348"/>
      <c r="G21" s="348"/>
      <c r="H21" s="348"/>
      <c r="I21" s="348"/>
      <c r="J21" s="132" t="s">
        <v>97</v>
      </c>
      <c r="K21" s="131" t="s">
        <v>98</v>
      </c>
      <c r="L21" s="145"/>
      <c r="M21" s="145"/>
      <c r="N21" s="145" t="str">
        <f t="shared" si="1"/>
        <v/>
      </c>
      <c r="O21" s="145" t="str">
        <f t="shared" si="0"/>
        <v/>
      </c>
      <c r="P21" s="16"/>
      <c r="Q21" s="153"/>
      <c r="R21" s="124"/>
      <c r="S21" s="123" t="str">
        <f t="shared" ref="S21:S22" si="2">IF(R21&lt;&gt;"", 0, "")</f>
        <v/>
      </c>
      <c r="T21" s="124"/>
      <c r="U21" s="123"/>
      <c r="V21" s="291"/>
      <c r="W21" s="292"/>
    </row>
    <row r="22" spans="1:23" ht="69.95" customHeight="1" x14ac:dyDescent="0.25">
      <c r="A22" s="1"/>
      <c r="B22" s="333"/>
      <c r="C22" s="333"/>
      <c r="D22" s="342"/>
      <c r="E22" s="333"/>
      <c r="F22" s="349"/>
      <c r="G22" s="349"/>
      <c r="H22" s="349"/>
      <c r="I22" s="349"/>
      <c r="J22" s="124"/>
      <c r="K22" s="131" t="s">
        <v>99</v>
      </c>
      <c r="L22" s="145"/>
      <c r="M22" s="304"/>
      <c r="N22" s="145" t="str">
        <f t="shared" si="1"/>
        <v/>
      </c>
      <c r="O22" s="145" t="str">
        <f t="shared" si="0"/>
        <v/>
      </c>
      <c r="P22" s="16"/>
      <c r="Q22" s="154"/>
      <c r="R22" s="124"/>
      <c r="S22" s="123" t="str">
        <f t="shared" si="2"/>
        <v/>
      </c>
      <c r="T22" s="124"/>
      <c r="U22" s="123"/>
      <c r="V22" s="293"/>
      <c r="W22" s="62"/>
    </row>
    <row r="23" spans="1:23" ht="69.95" customHeight="1" x14ac:dyDescent="0.25">
      <c r="A23" s="1"/>
      <c r="B23" s="333"/>
      <c r="C23" s="333"/>
      <c r="D23" s="342"/>
      <c r="E23" s="333"/>
      <c r="F23" s="349"/>
      <c r="G23" s="349"/>
      <c r="H23" s="349"/>
      <c r="I23" s="349"/>
      <c r="J23" s="132" t="s">
        <v>100</v>
      </c>
      <c r="K23" s="131" t="s">
        <v>101</v>
      </c>
      <c r="L23" s="145"/>
      <c r="M23" s="304"/>
      <c r="N23" s="145" t="str">
        <f t="shared" si="1"/>
        <v/>
      </c>
      <c r="O23" s="145" t="str">
        <f t="shared" si="0"/>
        <v/>
      </c>
      <c r="P23" s="16"/>
      <c r="Q23" s="154"/>
      <c r="R23" s="31"/>
      <c r="S23" s="129"/>
      <c r="T23" s="124"/>
      <c r="U23" s="123"/>
      <c r="V23" s="293"/>
      <c r="W23" s="62"/>
    </row>
    <row r="24" spans="1:23" ht="69.95" customHeight="1" x14ac:dyDescent="0.25">
      <c r="A24" s="1"/>
      <c r="B24" s="333"/>
      <c r="C24" s="333"/>
      <c r="D24" s="342"/>
      <c r="E24" s="333"/>
      <c r="F24" s="349"/>
      <c r="G24" s="349"/>
      <c r="H24" s="349"/>
      <c r="I24" s="349"/>
      <c r="J24" s="124" t="str">
        <f>IF(J22="","","0.0")</f>
        <v/>
      </c>
      <c r="K24" s="131" t="s">
        <v>102</v>
      </c>
      <c r="L24" s="145"/>
      <c r="M24" s="304"/>
      <c r="N24" s="145" t="str">
        <f t="shared" si="1"/>
        <v/>
      </c>
      <c r="O24" s="145" t="str">
        <f t="shared" si="0"/>
        <v/>
      </c>
      <c r="P24" s="16"/>
      <c r="Q24" s="154"/>
      <c r="R24" s="124"/>
      <c r="S24" s="123" t="str">
        <f>IF(R24&lt;&gt;"", 0, "")</f>
        <v/>
      </c>
      <c r="T24" s="124"/>
      <c r="U24" s="123"/>
      <c r="V24" s="293"/>
      <c r="W24" s="62"/>
    </row>
    <row r="25" spans="1:23" ht="69.95" customHeight="1" x14ac:dyDescent="0.25">
      <c r="A25" s="1"/>
      <c r="B25" s="333"/>
      <c r="C25" s="333"/>
      <c r="D25" s="342"/>
      <c r="E25" s="333"/>
      <c r="F25" s="349"/>
      <c r="G25" s="349"/>
      <c r="H25" s="349"/>
      <c r="I25" s="349"/>
      <c r="J25" s="43"/>
      <c r="K25" s="131" t="s">
        <v>111</v>
      </c>
      <c r="L25" s="145"/>
      <c r="M25" s="304"/>
      <c r="N25" s="145" t="str">
        <f t="shared" si="1"/>
        <v/>
      </c>
      <c r="O25" s="145" t="str">
        <f t="shared" si="0"/>
        <v/>
      </c>
      <c r="P25" s="16"/>
      <c r="Q25" s="154"/>
      <c r="R25" s="31"/>
      <c r="S25" s="129"/>
      <c r="T25" s="124"/>
      <c r="U25" s="123"/>
      <c r="V25" s="293"/>
      <c r="W25" s="62"/>
    </row>
    <row r="26" spans="1:23" ht="69.95" customHeight="1" x14ac:dyDescent="0.25">
      <c r="A26" s="1"/>
      <c r="B26" s="334"/>
      <c r="C26" s="334"/>
      <c r="D26" s="345"/>
      <c r="E26" s="334"/>
      <c r="F26" s="350"/>
      <c r="G26" s="350"/>
      <c r="H26" s="350"/>
      <c r="I26" s="350"/>
      <c r="J26" s="43"/>
      <c r="K26" s="131" t="s">
        <v>112</v>
      </c>
      <c r="L26" s="145"/>
      <c r="M26" s="145"/>
      <c r="N26" s="145" t="str">
        <f t="shared" si="1"/>
        <v/>
      </c>
      <c r="O26" s="145" t="str">
        <f t="shared" si="0"/>
        <v/>
      </c>
      <c r="P26" s="16"/>
      <c r="Q26" s="155"/>
      <c r="R26" s="31"/>
      <c r="S26" s="129"/>
      <c r="T26" s="124"/>
      <c r="U26" s="123"/>
      <c r="V26" s="294"/>
      <c r="W26" s="295"/>
    </row>
    <row r="27" spans="1:23" ht="69.95" customHeight="1" x14ac:dyDescent="0.25">
      <c r="A27" s="1"/>
      <c r="B27" s="332">
        <v>27</v>
      </c>
      <c r="C27" s="332"/>
      <c r="D27" s="339"/>
      <c r="E27" s="332"/>
      <c r="F27" s="348"/>
      <c r="G27" s="348"/>
      <c r="H27" s="348"/>
      <c r="I27" s="348"/>
      <c r="J27" s="132" t="s">
        <v>97</v>
      </c>
      <c r="K27" s="131" t="s">
        <v>98</v>
      </c>
      <c r="L27" s="145"/>
      <c r="M27" s="145"/>
      <c r="N27" s="145" t="str">
        <f t="shared" si="1"/>
        <v/>
      </c>
      <c r="O27" s="145" t="str">
        <f t="shared" si="0"/>
        <v/>
      </c>
      <c r="P27" s="16"/>
      <c r="Q27" s="153"/>
      <c r="R27" s="124"/>
      <c r="S27" s="123" t="str">
        <f t="shared" ref="S27:S28" si="3">IF(R27&lt;&gt;"", 0, "")</f>
        <v/>
      </c>
      <c r="T27" s="124"/>
      <c r="U27" s="123"/>
      <c r="V27" s="291"/>
      <c r="W27" s="292"/>
    </row>
    <row r="28" spans="1:23" ht="69.95" customHeight="1" x14ac:dyDescent="0.25">
      <c r="A28" s="1"/>
      <c r="B28" s="333"/>
      <c r="C28" s="333"/>
      <c r="D28" s="342"/>
      <c r="E28" s="333"/>
      <c r="F28" s="349"/>
      <c r="G28" s="349"/>
      <c r="H28" s="349"/>
      <c r="I28" s="349"/>
      <c r="J28" s="124"/>
      <c r="K28" s="131" t="s">
        <v>99</v>
      </c>
      <c r="L28" s="145"/>
      <c r="M28" s="304"/>
      <c r="N28" s="145" t="str">
        <f t="shared" si="1"/>
        <v/>
      </c>
      <c r="O28" s="145" t="str">
        <f t="shared" si="0"/>
        <v/>
      </c>
      <c r="P28" s="16"/>
      <c r="Q28" s="154"/>
      <c r="R28" s="124"/>
      <c r="S28" s="123" t="str">
        <f t="shared" si="3"/>
        <v/>
      </c>
      <c r="T28" s="124"/>
      <c r="U28" s="123"/>
      <c r="V28" s="293"/>
      <c r="W28" s="62"/>
    </row>
    <row r="29" spans="1:23" ht="69.95" customHeight="1" x14ac:dyDescent="0.25">
      <c r="A29" s="1"/>
      <c r="B29" s="333"/>
      <c r="C29" s="333"/>
      <c r="D29" s="342"/>
      <c r="E29" s="333"/>
      <c r="F29" s="349"/>
      <c r="G29" s="349"/>
      <c r="H29" s="349"/>
      <c r="I29" s="349"/>
      <c r="J29" s="132" t="s">
        <v>100</v>
      </c>
      <c r="K29" s="131" t="s">
        <v>101</v>
      </c>
      <c r="L29" s="145"/>
      <c r="M29" s="304"/>
      <c r="N29" s="145" t="str">
        <f t="shared" si="1"/>
        <v/>
      </c>
      <c r="O29" s="145" t="str">
        <f t="shared" si="0"/>
        <v/>
      </c>
      <c r="P29" s="16"/>
      <c r="Q29" s="154"/>
      <c r="R29" s="31"/>
      <c r="S29" s="129"/>
      <c r="T29" s="124"/>
      <c r="U29" s="123"/>
      <c r="V29" s="293"/>
      <c r="W29" s="62"/>
    </row>
    <row r="30" spans="1:23" ht="69.95" customHeight="1" x14ac:dyDescent="0.25">
      <c r="A30" s="1"/>
      <c r="B30" s="333"/>
      <c r="C30" s="333"/>
      <c r="D30" s="342"/>
      <c r="E30" s="333"/>
      <c r="F30" s="349"/>
      <c r="G30" s="349"/>
      <c r="H30" s="349"/>
      <c r="I30" s="349"/>
      <c r="J30" s="124" t="str">
        <f>IF(J28="","","0.0")</f>
        <v/>
      </c>
      <c r="K30" s="131" t="s">
        <v>102</v>
      </c>
      <c r="L30" s="145"/>
      <c r="M30" s="304"/>
      <c r="N30" s="145" t="str">
        <f t="shared" si="1"/>
        <v/>
      </c>
      <c r="O30" s="145" t="str">
        <f t="shared" si="0"/>
        <v/>
      </c>
      <c r="P30" s="16"/>
      <c r="Q30" s="154"/>
      <c r="R30" s="124"/>
      <c r="S30" s="123" t="str">
        <f>IF(R30&lt;&gt;"", 0, "")</f>
        <v/>
      </c>
      <c r="T30" s="124"/>
      <c r="U30" s="123"/>
      <c r="V30" s="293"/>
      <c r="W30" s="62"/>
    </row>
    <row r="31" spans="1:23" ht="69.95" customHeight="1" x14ac:dyDescent="0.25">
      <c r="A31" s="1"/>
      <c r="B31" s="333"/>
      <c r="C31" s="333"/>
      <c r="D31" s="342"/>
      <c r="E31" s="333"/>
      <c r="F31" s="349"/>
      <c r="G31" s="349"/>
      <c r="H31" s="349"/>
      <c r="I31" s="349"/>
      <c r="J31" s="43"/>
      <c r="K31" s="131" t="s">
        <v>111</v>
      </c>
      <c r="L31" s="145"/>
      <c r="M31" s="304"/>
      <c r="N31" s="145" t="str">
        <f t="shared" si="1"/>
        <v/>
      </c>
      <c r="O31" s="145" t="str">
        <f t="shared" si="0"/>
        <v/>
      </c>
      <c r="P31" s="16"/>
      <c r="Q31" s="154"/>
      <c r="R31" s="31"/>
      <c r="S31" s="129"/>
      <c r="T31" s="124"/>
      <c r="U31" s="123"/>
      <c r="V31" s="293"/>
      <c r="W31" s="62"/>
    </row>
    <row r="32" spans="1:23" ht="69.95" customHeight="1" x14ac:dyDescent="0.25">
      <c r="A32" s="1"/>
      <c r="B32" s="334"/>
      <c r="C32" s="334"/>
      <c r="D32" s="345"/>
      <c r="E32" s="334"/>
      <c r="F32" s="350"/>
      <c r="G32" s="350"/>
      <c r="H32" s="350"/>
      <c r="I32" s="350"/>
      <c r="J32" s="43"/>
      <c r="K32" s="131" t="s">
        <v>112</v>
      </c>
      <c r="L32" s="145"/>
      <c r="M32" s="145"/>
      <c r="N32" s="145" t="str">
        <f t="shared" si="1"/>
        <v/>
      </c>
      <c r="O32" s="145" t="str">
        <f t="shared" si="0"/>
        <v/>
      </c>
      <c r="P32" s="16"/>
      <c r="Q32" s="155"/>
      <c r="R32" s="31"/>
      <c r="S32" s="129"/>
      <c r="T32" s="124"/>
      <c r="U32" s="123"/>
      <c r="V32" s="294"/>
      <c r="W32" s="295"/>
    </row>
    <row r="33" spans="1:23" ht="69.95" customHeight="1" x14ac:dyDescent="0.25">
      <c r="A33" s="1"/>
      <c r="B33" s="332">
        <v>28</v>
      </c>
      <c r="C33" s="332"/>
      <c r="D33" s="339"/>
      <c r="E33" s="332"/>
      <c r="F33" s="348"/>
      <c r="G33" s="348"/>
      <c r="H33" s="348"/>
      <c r="I33" s="348"/>
      <c r="J33" s="132" t="s">
        <v>97</v>
      </c>
      <c r="K33" s="131" t="s">
        <v>98</v>
      </c>
      <c r="L33" s="145"/>
      <c r="M33" s="145"/>
      <c r="N33" s="145" t="str">
        <f t="shared" si="1"/>
        <v/>
      </c>
      <c r="O33" s="145" t="str">
        <f t="shared" si="0"/>
        <v/>
      </c>
      <c r="P33" s="16"/>
      <c r="Q33" s="153"/>
      <c r="R33" s="124"/>
      <c r="S33" s="123" t="str">
        <f t="shared" ref="S33:S34" si="4">IF(R33&lt;&gt;"", 0, "")</f>
        <v/>
      </c>
      <c r="T33" s="124"/>
      <c r="U33" s="123"/>
      <c r="V33" s="291"/>
      <c r="W33" s="292"/>
    </row>
    <row r="34" spans="1:23" ht="69.95" customHeight="1" x14ac:dyDescent="0.25">
      <c r="A34" s="1"/>
      <c r="B34" s="333"/>
      <c r="C34" s="333"/>
      <c r="D34" s="342"/>
      <c r="E34" s="333"/>
      <c r="F34" s="349"/>
      <c r="G34" s="349"/>
      <c r="H34" s="349"/>
      <c r="I34" s="349"/>
      <c r="J34" s="124"/>
      <c r="K34" s="131" t="s">
        <v>99</v>
      </c>
      <c r="L34" s="145"/>
      <c r="M34" s="304"/>
      <c r="N34" s="145" t="str">
        <f t="shared" si="1"/>
        <v/>
      </c>
      <c r="O34" s="145" t="str">
        <f t="shared" si="0"/>
        <v/>
      </c>
      <c r="P34" s="16"/>
      <c r="Q34" s="154"/>
      <c r="R34" s="124"/>
      <c r="S34" s="123" t="str">
        <f t="shared" si="4"/>
        <v/>
      </c>
      <c r="T34" s="124"/>
      <c r="U34" s="123"/>
      <c r="V34" s="293"/>
      <c r="W34" s="62"/>
    </row>
    <row r="35" spans="1:23" ht="69.95" customHeight="1" x14ac:dyDescent="0.25">
      <c r="A35" s="1"/>
      <c r="B35" s="333"/>
      <c r="C35" s="333"/>
      <c r="D35" s="342"/>
      <c r="E35" s="333"/>
      <c r="F35" s="349"/>
      <c r="G35" s="349"/>
      <c r="H35" s="349"/>
      <c r="I35" s="349"/>
      <c r="J35" s="132" t="s">
        <v>100</v>
      </c>
      <c r="K35" s="131" t="s">
        <v>101</v>
      </c>
      <c r="L35" s="145"/>
      <c r="M35" s="304"/>
      <c r="N35" s="145" t="str">
        <f t="shared" si="1"/>
        <v/>
      </c>
      <c r="O35" s="145" t="str">
        <f t="shared" si="0"/>
        <v/>
      </c>
      <c r="P35" s="16"/>
      <c r="Q35" s="154"/>
      <c r="R35" s="31"/>
      <c r="S35" s="129"/>
      <c r="T35" s="124"/>
      <c r="U35" s="123"/>
      <c r="V35" s="293"/>
      <c r="W35" s="62"/>
    </row>
    <row r="36" spans="1:23" ht="69.95" customHeight="1" x14ac:dyDescent="0.25">
      <c r="A36" s="1"/>
      <c r="B36" s="333"/>
      <c r="C36" s="333"/>
      <c r="D36" s="342"/>
      <c r="E36" s="333"/>
      <c r="F36" s="349"/>
      <c r="G36" s="349"/>
      <c r="H36" s="349"/>
      <c r="I36" s="349"/>
      <c r="J36" s="124" t="str">
        <f>IF(J34="","","0.0")</f>
        <v/>
      </c>
      <c r="K36" s="131" t="s">
        <v>102</v>
      </c>
      <c r="L36" s="145"/>
      <c r="M36" s="304"/>
      <c r="N36" s="145" t="str">
        <f t="shared" si="1"/>
        <v/>
      </c>
      <c r="O36" s="145" t="str">
        <f t="shared" si="0"/>
        <v/>
      </c>
      <c r="P36" s="16"/>
      <c r="Q36" s="154"/>
      <c r="R36" s="124"/>
      <c r="S36" s="123" t="str">
        <f>IF(R36&lt;&gt;"", 0, "")</f>
        <v/>
      </c>
      <c r="T36" s="124"/>
      <c r="U36" s="123"/>
      <c r="V36" s="293"/>
      <c r="W36" s="62"/>
    </row>
    <row r="37" spans="1:23" ht="69.95" customHeight="1" x14ac:dyDescent="0.25">
      <c r="A37" s="1"/>
      <c r="B37" s="333"/>
      <c r="C37" s="333"/>
      <c r="D37" s="342"/>
      <c r="E37" s="333"/>
      <c r="F37" s="349"/>
      <c r="G37" s="349"/>
      <c r="H37" s="349"/>
      <c r="I37" s="349"/>
      <c r="J37" s="43"/>
      <c r="K37" s="131" t="s">
        <v>111</v>
      </c>
      <c r="L37" s="145"/>
      <c r="M37" s="304"/>
      <c r="N37" s="145" t="str">
        <f t="shared" si="1"/>
        <v/>
      </c>
      <c r="O37" s="145" t="str">
        <f t="shared" si="0"/>
        <v/>
      </c>
      <c r="P37" s="16"/>
      <c r="Q37" s="154"/>
      <c r="R37" s="31"/>
      <c r="S37" s="129"/>
      <c r="T37" s="124"/>
      <c r="U37" s="123"/>
      <c r="V37" s="293"/>
      <c r="W37" s="62"/>
    </row>
    <row r="38" spans="1:23" ht="69.95" customHeight="1" x14ac:dyDescent="0.25">
      <c r="A38" s="1"/>
      <c r="B38" s="334"/>
      <c r="C38" s="334"/>
      <c r="D38" s="345"/>
      <c r="E38" s="334"/>
      <c r="F38" s="350"/>
      <c r="G38" s="350"/>
      <c r="H38" s="350"/>
      <c r="I38" s="350"/>
      <c r="J38" s="43"/>
      <c r="K38" s="131" t="s">
        <v>112</v>
      </c>
      <c r="L38" s="145"/>
      <c r="M38" s="145"/>
      <c r="N38" s="145" t="str">
        <f t="shared" si="1"/>
        <v/>
      </c>
      <c r="O38" s="145" t="str">
        <f t="shared" si="0"/>
        <v/>
      </c>
      <c r="P38" s="16"/>
      <c r="Q38" s="155"/>
      <c r="R38" s="31"/>
      <c r="S38" s="129"/>
      <c r="T38" s="124"/>
      <c r="U38" s="123"/>
      <c r="V38" s="294"/>
      <c r="W38" s="295"/>
    </row>
    <row r="39" spans="1:23" ht="69.95" customHeight="1" x14ac:dyDescent="0.25">
      <c r="A39" s="1"/>
      <c r="B39" s="332">
        <v>29</v>
      </c>
      <c r="C39" s="332"/>
      <c r="D39" s="339"/>
      <c r="E39" s="332"/>
      <c r="F39" s="348"/>
      <c r="G39" s="348"/>
      <c r="H39" s="348"/>
      <c r="I39" s="348"/>
      <c r="J39" s="132" t="s">
        <v>97</v>
      </c>
      <c r="K39" s="131" t="s">
        <v>98</v>
      </c>
      <c r="L39" s="145"/>
      <c r="M39" s="145"/>
      <c r="N39" s="145" t="str">
        <f t="shared" si="1"/>
        <v/>
      </c>
      <c r="O39" s="145" t="str">
        <f t="shared" si="0"/>
        <v/>
      </c>
      <c r="P39" s="16"/>
      <c r="Q39" s="153"/>
      <c r="R39" s="124"/>
      <c r="S39" s="123" t="str">
        <f t="shared" ref="S39:S40" si="5">IF(R39&lt;&gt;"", 0, "")</f>
        <v/>
      </c>
      <c r="T39" s="124"/>
      <c r="U39" s="123"/>
      <c r="V39" s="291"/>
      <c r="W39" s="292"/>
    </row>
    <row r="40" spans="1:23" ht="69.95" customHeight="1" x14ac:dyDescent="0.25">
      <c r="A40" s="1"/>
      <c r="B40" s="333"/>
      <c r="C40" s="333"/>
      <c r="D40" s="342"/>
      <c r="E40" s="333"/>
      <c r="F40" s="349"/>
      <c r="G40" s="349"/>
      <c r="H40" s="349"/>
      <c r="I40" s="349"/>
      <c r="J40" s="124"/>
      <c r="K40" s="131" t="s">
        <v>99</v>
      </c>
      <c r="L40" s="145"/>
      <c r="M40" s="304"/>
      <c r="N40" s="145" t="str">
        <f t="shared" si="1"/>
        <v/>
      </c>
      <c r="O40" s="145" t="str">
        <f t="shared" si="0"/>
        <v/>
      </c>
      <c r="P40" s="16"/>
      <c r="Q40" s="154"/>
      <c r="R40" s="124"/>
      <c r="S40" s="123" t="str">
        <f t="shared" si="5"/>
        <v/>
      </c>
      <c r="T40" s="124"/>
      <c r="U40" s="123"/>
      <c r="V40" s="293"/>
      <c r="W40" s="62"/>
    </row>
    <row r="41" spans="1:23" ht="69.95" customHeight="1" x14ac:dyDescent="0.25">
      <c r="A41" s="1"/>
      <c r="B41" s="333"/>
      <c r="C41" s="333"/>
      <c r="D41" s="342"/>
      <c r="E41" s="333"/>
      <c r="F41" s="349"/>
      <c r="G41" s="349"/>
      <c r="H41" s="349"/>
      <c r="I41" s="349"/>
      <c r="J41" s="132" t="s">
        <v>100</v>
      </c>
      <c r="K41" s="131" t="s">
        <v>101</v>
      </c>
      <c r="L41" s="145"/>
      <c r="M41" s="304"/>
      <c r="N41" s="145" t="str">
        <f t="shared" si="1"/>
        <v/>
      </c>
      <c r="O41" s="145" t="str">
        <f t="shared" si="0"/>
        <v/>
      </c>
      <c r="P41" s="16"/>
      <c r="Q41" s="154"/>
      <c r="R41" s="31"/>
      <c r="S41" s="129"/>
      <c r="T41" s="124"/>
      <c r="U41" s="123"/>
      <c r="V41" s="293"/>
      <c r="W41" s="62"/>
    </row>
    <row r="42" spans="1:23" ht="69.95" customHeight="1" x14ac:dyDescent="0.25">
      <c r="A42" s="1"/>
      <c r="B42" s="333"/>
      <c r="C42" s="333"/>
      <c r="D42" s="342"/>
      <c r="E42" s="333"/>
      <c r="F42" s="349"/>
      <c r="G42" s="349"/>
      <c r="H42" s="349"/>
      <c r="I42" s="349"/>
      <c r="J42" s="124" t="str">
        <f>IF(J40="","","0.0")</f>
        <v/>
      </c>
      <c r="K42" s="131" t="s">
        <v>102</v>
      </c>
      <c r="L42" s="145"/>
      <c r="M42" s="304"/>
      <c r="N42" s="145" t="str">
        <f t="shared" si="1"/>
        <v/>
      </c>
      <c r="O42" s="145" t="str">
        <f t="shared" si="0"/>
        <v/>
      </c>
      <c r="P42" s="16"/>
      <c r="Q42" s="154"/>
      <c r="R42" s="124"/>
      <c r="S42" s="123" t="str">
        <f>IF(R42&lt;&gt;"", 0, "")</f>
        <v/>
      </c>
      <c r="T42" s="124"/>
      <c r="U42" s="123"/>
      <c r="V42" s="293"/>
      <c r="W42" s="62"/>
    </row>
    <row r="43" spans="1:23" ht="69.95" customHeight="1" x14ac:dyDescent="0.25">
      <c r="A43" s="1"/>
      <c r="B43" s="333"/>
      <c r="C43" s="333"/>
      <c r="D43" s="342"/>
      <c r="E43" s="333"/>
      <c r="F43" s="349"/>
      <c r="G43" s="349"/>
      <c r="H43" s="349"/>
      <c r="I43" s="349"/>
      <c r="J43" s="43"/>
      <c r="K43" s="131" t="s">
        <v>111</v>
      </c>
      <c r="L43" s="145"/>
      <c r="M43" s="304"/>
      <c r="N43" s="145" t="str">
        <f t="shared" si="1"/>
        <v/>
      </c>
      <c r="O43" s="145" t="str">
        <f t="shared" si="0"/>
        <v/>
      </c>
      <c r="P43" s="16"/>
      <c r="Q43" s="154"/>
      <c r="R43" s="31"/>
      <c r="S43" s="129"/>
      <c r="T43" s="124"/>
      <c r="U43" s="123"/>
      <c r="V43" s="293"/>
      <c r="W43" s="62"/>
    </row>
    <row r="44" spans="1:23" ht="69.95" customHeight="1" x14ac:dyDescent="0.25">
      <c r="A44" s="1"/>
      <c r="B44" s="334"/>
      <c r="C44" s="334"/>
      <c r="D44" s="345"/>
      <c r="E44" s="334"/>
      <c r="F44" s="350"/>
      <c r="G44" s="350"/>
      <c r="H44" s="350"/>
      <c r="I44" s="350"/>
      <c r="J44" s="43"/>
      <c r="K44" s="131" t="s">
        <v>112</v>
      </c>
      <c r="L44" s="145"/>
      <c r="M44" s="145"/>
      <c r="N44" s="145" t="str">
        <f t="shared" si="1"/>
        <v/>
      </c>
      <c r="O44" s="145" t="str">
        <f t="shared" si="0"/>
        <v/>
      </c>
      <c r="P44" s="16"/>
      <c r="Q44" s="155"/>
      <c r="R44" s="31"/>
      <c r="S44" s="129"/>
      <c r="T44" s="124"/>
      <c r="U44" s="123"/>
      <c r="V44" s="294"/>
      <c r="W44" s="295"/>
    </row>
    <row r="45" spans="1:23" ht="69.95" customHeight="1" x14ac:dyDescent="0.25">
      <c r="A45" s="1"/>
      <c r="B45" s="332">
        <v>30</v>
      </c>
      <c r="C45" s="332"/>
      <c r="D45" s="339"/>
      <c r="E45" s="332"/>
      <c r="F45" s="348"/>
      <c r="G45" s="348"/>
      <c r="H45" s="348"/>
      <c r="I45" s="348"/>
      <c r="J45" s="132" t="s">
        <v>97</v>
      </c>
      <c r="K45" s="131" t="s">
        <v>98</v>
      </c>
      <c r="L45" s="145"/>
      <c r="M45" s="145"/>
      <c r="N45" s="145" t="str">
        <f t="shared" si="1"/>
        <v/>
      </c>
      <c r="O45" s="145" t="str">
        <f t="shared" si="0"/>
        <v/>
      </c>
      <c r="P45" s="16"/>
      <c r="Q45" s="153"/>
      <c r="R45" s="124"/>
      <c r="S45" s="123" t="str">
        <f t="shared" ref="S45:S46" si="6">IF(R45&lt;&gt;"", 0, "")</f>
        <v/>
      </c>
      <c r="T45" s="124"/>
      <c r="U45" s="123"/>
      <c r="V45" s="291"/>
      <c r="W45" s="292"/>
    </row>
    <row r="46" spans="1:23" ht="69.95" customHeight="1" x14ac:dyDescent="0.25">
      <c r="A46" s="1"/>
      <c r="B46" s="333"/>
      <c r="C46" s="333"/>
      <c r="D46" s="342"/>
      <c r="E46" s="333"/>
      <c r="F46" s="349"/>
      <c r="G46" s="349"/>
      <c r="H46" s="349"/>
      <c r="I46" s="349"/>
      <c r="J46" s="124"/>
      <c r="K46" s="131" t="s">
        <v>99</v>
      </c>
      <c r="L46" s="145"/>
      <c r="M46" s="304"/>
      <c r="N46" s="145" t="str">
        <f t="shared" si="1"/>
        <v/>
      </c>
      <c r="O46" s="145" t="str">
        <f t="shared" si="0"/>
        <v/>
      </c>
      <c r="P46" s="16"/>
      <c r="Q46" s="154"/>
      <c r="R46" s="124"/>
      <c r="S46" s="123" t="str">
        <f t="shared" si="6"/>
        <v/>
      </c>
      <c r="T46" s="124"/>
      <c r="U46" s="123"/>
      <c r="V46" s="293"/>
      <c r="W46" s="62"/>
    </row>
    <row r="47" spans="1:23" ht="69.95" customHeight="1" x14ac:dyDescent="0.25">
      <c r="A47" s="1"/>
      <c r="B47" s="333"/>
      <c r="C47" s="333"/>
      <c r="D47" s="342"/>
      <c r="E47" s="333"/>
      <c r="F47" s="349"/>
      <c r="G47" s="349"/>
      <c r="H47" s="349"/>
      <c r="I47" s="349"/>
      <c r="J47" s="132" t="s">
        <v>100</v>
      </c>
      <c r="K47" s="131" t="s">
        <v>101</v>
      </c>
      <c r="L47" s="145"/>
      <c r="M47" s="304"/>
      <c r="N47" s="145" t="str">
        <f t="shared" si="1"/>
        <v/>
      </c>
      <c r="O47" s="145" t="str">
        <f t="shared" si="0"/>
        <v/>
      </c>
      <c r="P47" s="16"/>
      <c r="Q47" s="154"/>
      <c r="R47" s="31"/>
      <c r="S47" s="129"/>
      <c r="T47" s="124"/>
      <c r="U47" s="123"/>
      <c r="V47" s="293"/>
      <c r="W47" s="62"/>
    </row>
    <row r="48" spans="1:23" ht="69.95" customHeight="1" x14ac:dyDescent="0.25">
      <c r="A48" s="1"/>
      <c r="B48" s="333"/>
      <c r="C48" s="333"/>
      <c r="D48" s="342"/>
      <c r="E48" s="333"/>
      <c r="F48" s="349"/>
      <c r="G48" s="349"/>
      <c r="H48" s="349"/>
      <c r="I48" s="349"/>
      <c r="J48" s="124" t="str">
        <f>IF(J46="","","0.0")</f>
        <v/>
      </c>
      <c r="K48" s="131" t="s">
        <v>102</v>
      </c>
      <c r="L48" s="145"/>
      <c r="M48" s="304"/>
      <c r="N48" s="145" t="str">
        <f t="shared" si="1"/>
        <v/>
      </c>
      <c r="O48" s="145" t="str">
        <f t="shared" si="0"/>
        <v/>
      </c>
      <c r="P48" s="16"/>
      <c r="Q48" s="154"/>
      <c r="R48" s="124"/>
      <c r="S48" s="123" t="str">
        <f>IF(R48&lt;&gt;"", 0, "")</f>
        <v/>
      </c>
      <c r="T48" s="124"/>
      <c r="U48" s="123"/>
      <c r="V48" s="293"/>
      <c r="W48" s="62"/>
    </row>
    <row r="49" spans="1:23" ht="69.95" customHeight="1" x14ac:dyDescent="0.25">
      <c r="A49" s="1"/>
      <c r="B49" s="333"/>
      <c r="C49" s="333"/>
      <c r="D49" s="342"/>
      <c r="E49" s="333"/>
      <c r="F49" s="349"/>
      <c r="G49" s="349"/>
      <c r="H49" s="349"/>
      <c r="I49" s="349"/>
      <c r="J49" s="43"/>
      <c r="K49" s="131" t="s">
        <v>111</v>
      </c>
      <c r="L49" s="145"/>
      <c r="M49" s="304"/>
      <c r="N49" s="145" t="str">
        <f t="shared" si="1"/>
        <v/>
      </c>
      <c r="O49" s="145" t="str">
        <f t="shared" si="0"/>
        <v/>
      </c>
      <c r="P49" s="16"/>
      <c r="Q49" s="154"/>
      <c r="R49" s="31"/>
      <c r="S49" s="129"/>
      <c r="T49" s="124"/>
      <c r="U49" s="123"/>
      <c r="V49" s="293"/>
      <c r="W49" s="62"/>
    </row>
    <row r="50" spans="1:23" ht="69.95" customHeight="1" x14ac:dyDescent="0.25">
      <c r="A50" s="1"/>
      <c r="B50" s="334"/>
      <c r="C50" s="334"/>
      <c r="D50" s="345"/>
      <c r="E50" s="334"/>
      <c r="F50" s="350"/>
      <c r="G50" s="350"/>
      <c r="H50" s="350"/>
      <c r="I50" s="350"/>
      <c r="J50" s="43"/>
      <c r="K50" s="131" t="s">
        <v>112</v>
      </c>
      <c r="L50" s="145"/>
      <c r="M50" s="145"/>
      <c r="N50" s="145" t="str">
        <f t="shared" si="1"/>
        <v/>
      </c>
      <c r="O50" s="145" t="str">
        <f t="shared" si="0"/>
        <v/>
      </c>
      <c r="P50" s="16"/>
      <c r="Q50" s="155"/>
      <c r="R50" s="31"/>
      <c r="S50" s="129"/>
      <c r="T50" s="124"/>
      <c r="U50" s="123"/>
      <c r="V50" s="294"/>
      <c r="W50" s="295"/>
    </row>
    <row r="51" spans="1:23" ht="69.95" customHeight="1" x14ac:dyDescent="0.25">
      <c r="A51" s="1"/>
      <c r="B51" s="332">
        <v>31</v>
      </c>
      <c r="C51" s="332"/>
      <c r="D51" s="339"/>
      <c r="E51" s="332"/>
      <c r="F51" s="348"/>
      <c r="G51" s="348"/>
      <c r="H51" s="348"/>
      <c r="I51" s="348"/>
      <c r="J51" s="132" t="s">
        <v>97</v>
      </c>
      <c r="K51" s="131" t="s">
        <v>98</v>
      </c>
      <c r="L51" s="145"/>
      <c r="M51" s="145"/>
      <c r="N51" s="145" t="str">
        <f t="shared" si="1"/>
        <v/>
      </c>
      <c r="O51" s="145" t="str">
        <f t="shared" si="0"/>
        <v/>
      </c>
      <c r="P51" s="16"/>
      <c r="Q51" s="153"/>
      <c r="R51" s="124"/>
      <c r="S51" s="123" t="str">
        <f t="shared" ref="S51:S52" si="7">IF(R51&lt;&gt;"", 0, "")</f>
        <v/>
      </c>
      <c r="T51" s="124"/>
      <c r="U51" s="123"/>
      <c r="V51" s="291"/>
      <c r="W51" s="292"/>
    </row>
    <row r="52" spans="1:23" ht="69.95" customHeight="1" x14ac:dyDescent="0.25">
      <c r="A52" s="1"/>
      <c r="B52" s="333"/>
      <c r="C52" s="333"/>
      <c r="D52" s="342"/>
      <c r="E52" s="333"/>
      <c r="F52" s="349"/>
      <c r="G52" s="349"/>
      <c r="H52" s="349"/>
      <c r="I52" s="349"/>
      <c r="J52" s="124"/>
      <c r="K52" s="131" t="s">
        <v>99</v>
      </c>
      <c r="L52" s="145"/>
      <c r="M52" s="304"/>
      <c r="N52" s="145" t="str">
        <f t="shared" si="1"/>
        <v/>
      </c>
      <c r="O52" s="145" t="str">
        <f t="shared" si="0"/>
        <v/>
      </c>
      <c r="P52" s="16"/>
      <c r="Q52" s="154"/>
      <c r="R52" s="124"/>
      <c r="S52" s="123" t="str">
        <f t="shared" si="7"/>
        <v/>
      </c>
      <c r="T52" s="124"/>
      <c r="U52" s="123"/>
      <c r="V52" s="293"/>
      <c r="W52" s="62"/>
    </row>
    <row r="53" spans="1:23" ht="69.95" customHeight="1" x14ac:dyDescent="0.25">
      <c r="A53" s="1"/>
      <c r="B53" s="333"/>
      <c r="C53" s="333"/>
      <c r="D53" s="342"/>
      <c r="E53" s="333"/>
      <c r="F53" s="349"/>
      <c r="G53" s="349"/>
      <c r="H53" s="349"/>
      <c r="I53" s="349"/>
      <c r="J53" s="132" t="s">
        <v>100</v>
      </c>
      <c r="K53" s="131" t="s">
        <v>101</v>
      </c>
      <c r="L53" s="145"/>
      <c r="M53" s="304"/>
      <c r="N53" s="145" t="str">
        <f t="shared" si="1"/>
        <v/>
      </c>
      <c r="O53" s="145" t="str">
        <f t="shared" si="0"/>
        <v/>
      </c>
      <c r="P53" s="16"/>
      <c r="Q53" s="154"/>
      <c r="R53" s="31"/>
      <c r="S53" s="129"/>
      <c r="T53" s="124"/>
      <c r="U53" s="123"/>
      <c r="V53" s="293"/>
      <c r="W53" s="62"/>
    </row>
    <row r="54" spans="1:23" ht="69.95" customHeight="1" x14ac:dyDescent="0.25">
      <c r="A54" s="1"/>
      <c r="B54" s="333"/>
      <c r="C54" s="333"/>
      <c r="D54" s="342"/>
      <c r="E54" s="333"/>
      <c r="F54" s="349"/>
      <c r="G54" s="349"/>
      <c r="H54" s="349"/>
      <c r="I54" s="349"/>
      <c r="J54" s="124" t="str">
        <f>IF(J52="","","0.0")</f>
        <v/>
      </c>
      <c r="K54" s="131" t="s">
        <v>102</v>
      </c>
      <c r="L54" s="145"/>
      <c r="M54" s="304"/>
      <c r="N54" s="145" t="str">
        <f t="shared" si="1"/>
        <v/>
      </c>
      <c r="O54" s="145" t="str">
        <f t="shared" si="0"/>
        <v/>
      </c>
      <c r="P54" s="16"/>
      <c r="Q54" s="154"/>
      <c r="R54" s="124"/>
      <c r="S54" s="123" t="str">
        <f>IF(R54&lt;&gt;"", 0, "")</f>
        <v/>
      </c>
      <c r="T54" s="124"/>
      <c r="U54" s="123"/>
      <c r="V54" s="293"/>
      <c r="W54" s="62"/>
    </row>
    <row r="55" spans="1:23" ht="69.95" customHeight="1" x14ac:dyDescent="0.25">
      <c r="A55" s="1"/>
      <c r="B55" s="333"/>
      <c r="C55" s="333"/>
      <c r="D55" s="342"/>
      <c r="E55" s="333"/>
      <c r="F55" s="349"/>
      <c r="G55" s="349"/>
      <c r="H55" s="349"/>
      <c r="I55" s="349"/>
      <c r="J55" s="43"/>
      <c r="K55" s="131" t="s">
        <v>111</v>
      </c>
      <c r="L55" s="145"/>
      <c r="M55" s="304"/>
      <c r="N55" s="145" t="str">
        <f t="shared" si="1"/>
        <v/>
      </c>
      <c r="O55" s="145" t="str">
        <f t="shared" si="0"/>
        <v/>
      </c>
      <c r="P55" s="16"/>
      <c r="Q55" s="154"/>
      <c r="R55" s="31"/>
      <c r="S55" s="129"/>
      <c r="T55" s="124"/>
      <c r="U55" s="123"/>
      <c r="V55" s="293"/>
      <c r="W55" s="62"/>
    </row>
    <row r="56" spans="1:23" ht="69.95" customHeight="1" x14ac:dyDescent="0.25">
      <c r="A56" s="1"/>
      <c r="B56" s="334"/>
      <c r="C56" s="334"/>
      <c r="D56" s="345"/>
      <c r="E56" s="334"/>
      <c r="F56" s="350"/>
      <c r="G56" s="350"/>
      <c r="H56" s="350"/>
      <c r="I56" s="350"/>
      <c r="J56" s="43"/>
      <c r="K56" s="131" t="s">
        <v>112</v>
      </c>
      <c r="L56" s="145"/>
      <c r="M56" s="145"/>
      <c r="N56" s="145" t="str">
        <f t="shared" si="1"/>
        <v/>
      </c>
      <c r="O56" s="145" t="str">
        <f t="shared" si="0"/>
        <v/>
      </c>
      <c r="P56" s="16"/>
      <c r="Q56" s="155"/>
      <c r="R56" s="31"/>
      <c r="S56" s="129"/>
      <c r="T56" s="124"/>
      <c r="U56" s="123"/>
      <c r="V56" s="294"/>
      <c r="W56" s="295"/>
    </row>
    <row r="57" spans="1:23" ht="69.95" customHeight="1" x14ac:dyDescent="0.25">
      <c r="A57" s="1"/>
      <c r="B57" s="332">
        <v>32</v>
      </c>
      <c r="C57" s="332"/>
      <c r="D57" s="339"/>
      <c r="E57" s="332"/>
      <c r="F57" s="348"/>
      <c r="G57" s="348"/>
      <c r="H57" s="348"/>
      <c r="I57" s="348"/>
      <c r="J57" s="132" t="s">
        <v>97</v>
      </c>
      <c r="K57" s="131" t="s">
        <v>98</v>
      </c>
      <c r="L57" s="145"/>
      <c r="M57" s="145"/>
      <c r="N57" s="145" t="str">
        <f t="shared" si="1"/>
        <v/>
      </c>
      <c r="O57" s="145" t="str">
        <f t="shared" si="0"/>
        <v/>
      </c>
      <c r="P57" s="16"/>
      <c r="Q57" s="153"/>
      <c r="R57" s="124"/>
      <c r="S57" s="123" t="str">
        <f t="shared" ref="S57:S58" si="8">IF(R57&lt;&gt;"", 0, "")</f>
        <v/>
      </c>
      <c r="T57" s="124"/>
      <c r="U57" s="123"/>
      <c r="V57" s="291"/>
      <c r="W57" s="292"/>
    </row>
    <row r="58" spans="1:23" ht="69.95" customHeight="1" x14ac:dyDescent="0.25">
      <c r="A58" s="1"/>
      <c r="B58" s="333"/>
      <c r="C58" s="333"/>
      <c r="D58" s="342"/>
      <c r="E58" s="333"/>
      <c r="F58" s="349"/>
      <c r="G58" s="349"/>
      <c r="H58" s="349"/>
      <c r="I58" s="349"/>
      <c r="J58" s="124"/>
      <c r="K58" s="131" t="s">
        <v>99</v>
      </c>
      <c r="L58" s="145"/>
      <c r="M58" s="304"/>
      <c r="N58" s="145" t="str">
        <f t="shared" si="1"/>
        <v/>
      </c>
      <c r="O58" s="145" t="str">
        <f t="shared" si="0"/>
        <v/>
      </c>
      <c r="P58" s="16"/>
      <c r="Q58" s="154"/>
      <c r="R58" s="124"/>
      <c r="S58" s="123" t="str">
        <f t="shared" si="8"/>
        <v/>
      </c>
      <c r="T58" s="124"/>
      <c r="U58" s="123"/>
      <c r="V58" s="293"/>
      <c r="W58" s="62"/>
    </row>
    <row r="59" spans="1:23" ht="69.95" customHeight="1" x14ac:dyDescent="0.25">
      <c r="A59" s="1"/>
      <c r="B59" s="333"/>
      <c r="C59" s="333"/>
      <c r="D59" s="342"/>
      <c r="E59" s="333"/>
      <c r="F59" s="349"/>
      <c r="G59" s="349"/>
      <c r="H59" s="349"/>
      <c r="I59" s="349"/>
      <c r="J59" s="132" t="s">
        <v>100</v>
      </c>
      <c r="K59" s="131" t="s">
        <v>101</v>
      </c>
      <c r="L59" s="145"/>
      <c r="M59" s="304"/>
      <c r="N59" s="145" t="str">
        <f t="shared" si="1"/>
        <v/>
      </c>
      <c r="O59" s="145" t="str">
        <f t="shared" si="0"/>
        <v/>
      </c>
      <c r="P59" s="16"/>
      <c r="Q59" s="154"/>
      <c r="R59" s="31"/>
      <c r="S59" s="129"/>
      <c r="T59" s="124"/>
      <c r="U59" s="123"/>
      <c r="V59" s="293"/>
      <c r="W59" s="62"/>
    </row>
    <row r="60" spans="1:23" ht="69.95" customHeight="1" x14ac:dyDescent="0.25">
      <c r="A60" s="1"/>
      <c r="B60" s="333"/>
      <c r="C60" s="333"/>
      <c r="D60" s="342"/>
      <c r="E60" s="333"/>
      <c r="F60" s="349"/>
      <c r="G60" s="349"/>
      <c r="H60" s="349"/>
      <c r="I60" s="349"/>
      <c r="J60" s="124" t="str">
        <f>IF(J58="","","0.0")</f>
        <v/>
      </c>
      <c r="K60" s="131" t="s">
        <v>102</v>
      </c>
      <c r="L60" s="145"/>
      <c r="M60" s="304"/>
      <c r="N60" s="145" t="str">
        <f t="shared" si="1"/>
        <v/>
      </c>
      <c r="O60" s="145" t="str">
        <f t="shared" si="0"/>
        <v/>
      </c>
      <c r="P60" s="16"/>
      <c r="Q60" s="154"/>
      <c r="R60" s="124"/>
      <c r="S60" s="123" t="str">
        <f>IF(R60&lt;&gt;"", 0, "")</f>
        <v/>
      </c>
      <c r="T60" s="124"/>
      <c r="U60" s="123"/>
      <c r="V60" s="293"/>
      <c r="W60" s="62"/>
    </row>
    <row r="61" spans="1:23" ht="69.95" customHeight="1" x14ac:dyDescent="0.25">
      <c r="A61" s="1"/>
      <c r="B61" s="333"/>
      <c r="C61" s="333"/>
      <c r="D61" s="342"/>
      <c r="E61" s="333"/>
      <c r="F61" s="349"/>
      <c r="G61" s="349"/>
      <c r="H61" s="349"/>
      <c r="I61" s="349"/>
      <c r="J61" s="43"/>
      <c r="K61" s="131" t="s">
        <v>111</v>
      </c>
      <c r="L61" s="145"/>
      <c r="M61" s="304"/>
      <c r="N61" s="145" t="str">
        <f t="shared" si="1"/>
        <v/>
      </c>
      <c r="O61" s="145" t="str">
        <f t="shared" si="0"/>
        <v/>
      </c>
      <c r="P61" s="16"/>
      <c r="Q61" s="154"/>
      <c r="R61" s="31"/>
      <c r="S61" s="129"/>
      <c r="T61" s="124"/>
      <c r="U61" s="123"/>
      <c r="V61" s="293"/>
      <c r="W61" s="62"/>
    </row>
    <row r="62" spans="1:23" ht="69.95" customHeight="1" x14ac:dyDescent="0.25">
      <c r="A62" s="1"/>
      <c r="B62" s="333"/>
      <c r="C62" s="333"/>
      <c r="D62" s="342"/>
      <c r="E62" s="334"/>
      <c r="F62" s="350"/>
      <c r="G62" s="350"/>
      <c r="H62" s="350"/>
      <c r="I62" s="349"/>
      <c r="J62" s="43"/>
      <c r="K62" s="131" t="s">
        <v>112</v>
      </c>
      <c r="L62" s="145"/>
      <c r="M62" s="145"/>
      <c r="N62" s="145" t="str">
        <f t="shared" si="1"/>
        <v/>
      </c>
      <c r="O62" s="145" t="str">
        <f t="shared" si="0"/>
        <v/>
      </c>
      <c r="P62" s="16"/>
      <c r="Q62" s="155"/>
      <c r="R62" s="18"/>
      <c r="S62" s="33"/>
      <c r="T62" s="121"/>
      <c r="U62" s="130"/>
      <c r="V62" s="294"/>
      <c r="W62" s="295"/>
    </row>
    <row r="63" spans="1:23" ht="69.95" customHeight="1" x14ac:dyDescent="0.25">
      <c r="A63" s="1"/>
      <c r="B63" s="384"/>
      <c r="C63" s="382"/>
      <c r="D63" s="382"/>
      <c r="E63" s="382"/>
      <c r="F63" s="382"/>
      <c r="G63" s="382"/>
      <c r="H63" s="382"/>
      <c r="I63" s="382"/>
      <c r="J63" s="382"/>
      <c r="K63" s="135"/>
      <c r="L63" s="136"/>
      <c r="M63" s="135"/>
      <c r="N63" s="135"/>
      <c r="O63" s="135"/>
      <c r="P63" s="137"/>
      <c r="Q63" s="376"/>
      <c r="R63" s="138"/>
      <c r="S63" s="138"/>
      <c r="T63" s="138"/>
      <c r="U63" s="138"/>
      <c r="V63" s="382"/>
      <c r="W63" s="383"/>
    </row>
    <row r="64" spans="1:23" ht="69.95" customHeight="1" x14ac:dyDescent="0.25">
      <c r="A64" s="1"/>
      <c r="B64" s="374"/>
      <c r="C64" s="375"/>
      <c r="D64" s="375"/>
      <c r="E64" s="375"/>
      <c r="F64" s="375"/>
      <c r="G64" s="375"/>
      <c r="H64" s="375"/>
      <c r="I64" s="375"/>
      <c r="J64" s="375"/>
      <c r="K64" s="139"/>
      <c r="L64" s="140"/>
      <c r="M64" s="139"/>
      <c r="N64" s="139"/>
      <c r="O64" s="139"/>
      <c r="P64" s="141"/>
      <c r="Q64" s="377"/>
      <c r="R64" s="142"/>
      <c r="S64" s="142"/>
      <c r="T64" s="142"/>
      <c r="U64" s="142"/>
      <c r="V64" s="375"/>
      <c r="W64" s="378"/>
    </row>
    <row r="65" spans="1:23" ht="69.95" customHeight="1" x14ac:dyDescent="0.25">
      <c r="A65" s="1"/>
      <c r="B65" s="374"/>
      <c r="C65" s="375"/>
      <c r="D65" s="375"/>
      <c r="E65" s="375"/>
      <c r="F65" s="375"/>
      <c r="G65" s="375"/>
      <c r="H65" s="375"/>
      <c r="I65" s="375"/>
      <c r="J65" s="375"/>
      <c r="K65" s="139"/>
      <c r="L65" s="140"/>
      <c r="M65" s="139"/>
      <c r="N65" s="139"/>
      <c r="O65" s="139"/>
      <c r="P65" s="141"/>
      <c r="Q65" s="377"/>
      <c r="R65" s="142"/>
      <c r="S65" s="142"/>
      <c r="T65" s="142"/>
      <c r="U65" s="142"/>
      <c r="V65" s="375"/>
      <c r="W65" s="378"/>
    </row>
    <row r="66" spans="1:23" ht="69.95" customHeight="1" x14ac:dyDescent="0.25">
      <c r="A66" s="1"/>
      <c r="B66" s="374"/>
      <c r="C66" s="375"/>
      <c r="D66" s="375"/>
      <c r="E66" s="375"/>
      <c r="F66" s="375"/>
      <c r="G66" s="375"/>
      <c r="H66" s="375"/>
      <c r="I66" s="375"/>
      <c r="J66" s="375"/>
      <c r="K66" s="139"/>
      <c r="L66" s="140"/>
      <c r="M66" s="139"/>
      <c r="N66" s="139"/>
      <c r="O66" s="139"/>
      <c r="P66" s="141"/>
      <c r="Q66" s="377"/>
      <c r="R66" s="142"/>
      <c r="S66" s="142"/>
      <c r="T66" s="142"/>
      <c r="U66" s="142"/>
      <c r="V66" s="375"/>
      <c r="W66" s="378"/>
    </row>
    <row r="67" spans="1:23" ht="69.95" customHeight="1" x14ac:dyDescent="0.25">
      <c r="A67" s="1"/>
      <c r="B67" s="374"/>
      <c r="C67" s="375"/>
      <c r="D67" s="375"/>
      <c r="E67" s="375"/>
      <c r="F67" s="375"/>
      <c r="G67" s="375"/>
      <c r="H67" s="375"/>
      <c r="I67" s="375"/>
      <c r="J67" s="375"/>
      <c r="K67" s="139"/>
      <c r="L67" s="140"/>
      <c r="M67" s="139"/>
      <c r="N67" s="139"/>
      <c r="O67" s="139"/>
      <c r="P67" s="141"/>
      <c r="Q67" s="377"/>
      <c r="R67" s="142"/>
      <c r="S67" s="142"/>
      <c r="T67" s="142"/>
      <c r="U67" s="142"/>
      <c r="V67" s="375"/>
      <c r="W67" s="378"/>
    </row>
    <row r="68" spans="1:23" ht="69.95" customHeight="1" x14ac:dyDescent="0.25">
      <c r="A68" s="1"/>
      <c r="B68" s="374"/>
      <c r="C68" s="375"/>
      <c r="D68" s="375"/>
      <c r="E68" s="375"/>
      <c r="F68" s="375"/>
      <c r="G68" s="375"/>
      <c r="H68" s="375"/>
      <c r="I68" s="375"/>
      <c r="J68" s="375"/>
      <c r="K68" s="139"/>
      <c r="L68" s="140"/>
      <c r="M68" s="139"/>
      <c r="N68" s="139"/>
      <c r="O68" s="139"/>
      <c r="P68" s="141"/>
      <c r="Q68" s="377"/>
      <c r="R68" s="142"/>
      <c r="S68" s="142"/>
      <c r="T68" s="142"/>
      <c r="U68" s="142"/>
      <c r="V68" s="375"/>
      <c r="W68" s="378"/>
    </row>
    <row r="69" spans="1:23" ht="69.95" customHeight="1" x14ac:dyDescent="0.25">
      <c r="A69" s="1"/>
      <c r="B69" s="374"/>
      <c r="C69" s="375"/>
      <c r="D69" s="375"/>
      <c r="E69" s="375"/>
      <c r="F69" s="375"/>
      <c r="G69" s="375"/>
      <c r="H69" s="375"/>
      <c r="I69" s="375"/>
      <c r="J69" s="375"/>
      <c r="K69" s="139"/>
      <c r="L69" s="140"/>
      <c r="M69" s="139"/>
      <c r="N69" s="139"/>
      <c r="O69" s="139"/>
      <c r="P69" s="141"/>
      <c r="Q69" s="377"/>
      <c r="R69" s="142"/>
      <c r="S69" s="142"/>
      <c r="T69" s="142"/>
      <c r="U69" s="142"/>
      <c r="V69" s="375"/>
      <c r="W69" s="378"/>
    </row>
    <row r="70" spans="1:23" ht="69.95" customHeight="1" x14ac:dyDescent="0.25">
      <c r="A70" s="1"/>
      <c r="B70" s="374"/>
      <c r="C70" s="375"/>
      <c r="D70" s="375"/>
      <c r="E70" s="375"/>
      <c r="F70" s="375"/>
      <c r="G70" s="375"/>
      <c r="H70" s="375"/>
      <c r="I70" s="375"/>
      <c r="J70" s="375"/>
      <c r="K70" s="139"/>
      <c r="L70" s="140"/>
      <c r="M70" s="139"/>
      <c r="N70" s="139"/>
      <c r="O70" s="139"/>
      <c r="P70" s="141"/>
      <c r="Q70" s="377"/>
      <c r="R70" s="142"/>
      <c r="S70" s="142"/>
      <c r="T70" s="142"/>
      <c r="U70" s="142"/>
      <c r="V70" s="375"/>
      <c r="W70" s="378"/>
    </row>
    <row r="71" spans="1:23" ht="69.95" customHeight="1" x14ac:dyDescent="0.25">
      <c r="A71" s="1"/>
      <c r="B71" s="374"/>
      <c r="C71" s="375"/>
      <c r="D71" s="375"/>
      <c r="E71" s="375"/>
      <c r="F71" s="375"/>
      <c r="G71" s="375"/>
      <c r="H71" s="375"/>
      <c r="I71" s="375"/>
      <c r="J71" s="375"/>
      <c r="K71" s="139"/>
      <c r="L71" s="140"/>
      <c r="M71" s="139"/>
      <c r="N71" s="139"/>
      <c r="O71" s="139"/>
      <c r="P71" s="141"/>
      <c r="Q71" s="377"/>
      <c r="R71" s="142"/>
      <c r="S71" s="142"/>
      <c r="T71" s="142"/>
      <c r="U71" s="142"/>
      <c r="V71" s="375"/>
      <c r="W71" s="378"/>
    </row>
    <row r="72" spans="1:23" ht="69.95" customHeight="1" x14ac:dyDescent="0.25">
      <c r="A72" s="1"/>
      <c r="B72" s="374"/>
      <c r="C72" s="375"/>
      <c r="D72" s="375"/>
      <c r="E72" s="375"/>
      <c r="F72" s="375"/>
      <c r="G72" s="375"/>
      <c r="H72" s="375"/>
      <c r="I72" s="375"/>
      <c r="J72" s="375"/>
      <c r="K72" s="139"/>
      <c r="L72" s="140"/>
      <c r="M72" s="139"/>
      <c r="N72" s="139"/>
      <c r="O72" s="139"/>
      <c r="P72" s="141"/>
      <c r="Q72" s="377"/>
      <c r="R72" s="142"/>
      <c r="S72" s="142"/>
      <c r="T72" s="142"/>
      <c r="U72" s="142"/>
      <c r="V72" s="375"/>
      <c r="W72" s="378"/>
    </row>
    <row r="73" spans="1:23" ht="69.95" customHeight="1" x14ac:dyDescent="0.25">
      <c r="A73" s="1"/>
      <c r="B73" s="374"/>
      <c r="C73" s="375"/>
      <c r="D73" s="375"/>
      <c r="E73" s="375"/>
      <c r="F73" s="375"/>
      <c r="G73" s="375"/>
      <c r="H73" s="375"/>
      <c r="I73" s="375"/>
      <c r="J73" s="375"/>
      <c r="K73" s="139"/>
      <c r="L73" s="140"/>
      <c r="M73" s="139"/>
      <c r="N73" s="139"/>
      <c r="O73" s="139"/>
      <c r="P73" s="141"/>
      <c r="Q73" s="377"/>
      <c r="R73" s="142"/>
      <c r="S73" s="142"/>
      <c r="T73" s="142"/>
      <c r="U73" s="142"/>
      <c r="V73" s="375"/>
      <c r="W73" s="378"/>
    </row>
    <row r="74" spans="1:23" ht="69.95" customHeight="1" x14ac:dyDescent="0.25">
      <c r="A74" s="1"/>
      <c r="B74" s="374"/>
      <c r="C74" s="375"/>
      <c r="D74" s="375"/>
      <c r="E74" s="375"/>
      <c r="F74" s="375"/>
      <c r="G74" s="375"/>
      <c r="H74" s="375"/>
      <c r="I74" s="375"/>
      <c r="J74" s="375"/>
      <c r="K74" s="139"/>
      <c r="L74" s="140"/>
      <c r="M74" s="139"/>
      <c r="N74" s="139"/>
      <c r="O74" s="139"/>
      <c r="P74" s="141"/>
      <c r="Q74" s="377"/>
      <c r="R74" s="142"/>
      <c r="S74" s="142"/>
      <c r="T74" s="142"/>
      <c r="U74" s="142"/>
      <c r="V74" s="375"/>
      <c r="W74" s="378"/>
    </row>
    <row r="75" spans="1:23" ht="69.95" customHeight="1" x14ac:dyDescent="0.25">
      <c r="A75" s="1"/>
      <c r="B75" s="143"/>
      <c r="C75" s="139"/>
      <c r="D75" s="139"/>
      <c r="E75" s="139"/>
      <c r="F75" s="139"/>
      <c r="G75" s="139"/>
      <c r="H75" s="139"/>
      <c r="I75" s="139"/>
      <c r="J75" s="139"/>
      <c r="K75" s="139"/>
      <c r="L75" s="140"/>
      <c r="M75" s="139"/>
      <c r="N75" s="139"/>
      <c r="O75" s="139"/>
      <c r="P75" s="141"/>
      <c r="Q75" s="140"/>
      <c r="R75" s="142"/>
      <c r="S75" s="142"/>
      <c r="T75" s="142"/>
      <c r="U75" s="142"/>
      <c r="V75" s="139"/>
      <c r="W75" s="144"/>
    </row>
    <row r="76" spans="1:23" ht="39" customHeight="1" x14ac:dyDescent="0.25">
      <c r="A76" s="1"/>
      <c r="B76" s="336"/>
      <c r="C76" s="337"/>
      <c r="D76" s="337"/>
      <c r="E76" s="337"/>
      <c r="F76" s="337"/>
      <c r="G76" s="337"/>
      <c r="H76" s="337"/>
      <c r="I76" s="337"/>
      <c r="J76" s="337"/>
      <c r="K76" s="337"/>
      <c r="L76" s="337"/>
      <c r="M76" s="337"/>
      <c r="N76" s="337"/>
      <c r="O76" s="337"/>
      <c r="P76" s="337"/>
      <c r="Q76" s="337"/>
      <c r="R76" s="337"/>
      <c r="S76" s="337"/>
      <c r="T76" s="337"/>
      <c r="U76" s="337"/>
      <c r="V76" s="337"/>
      <c r="W76" s="127"/>
    </row>
    <row r="77" spans="1:23" ht="60" customHeight="1" x14ac:dyDescent="0.25">
      <c r="A77" s="1"/>
      <c r="B77" s="21"/>
      <c r="C77" s="323" t="s">
        <v>17</v>
      </c>
      <c r="D77" s="323"/>
      <c r="E77" s="338" t="s">
        <v>194</v>
      </c>
      <c r="F77" s="381"/>
      <c r="G77" s="22"/>
      <c r="H77" s="49"/>
      <c r="I77" s="323" t="s">
        <v>110</v>
      </c>
      <c r="J77" s="323"/>
      <c r="K77" s="323"/>
      <c r="L77" s="331" t="s">
        <v>195</v>
      </c>
      <c r="M77" s="380"/>
      <c r="N77" s="49"/>
      <c r="O77" s="49"/>
      <c r="P77" s="49"/>
      <c r="Q77" s="49"/>
      <c r="R77" s="1"/>
      <c r="S77" s="55"/>
      <c r="T77" s="56"/>
      <c r="U77" s="1"/>
      <c r="V77" s="1"/>
      <c r="W77" s="8"/>
    </row>
    <row r="78" spans="1:23" s="46" customFormat="1" ht="60" customHeight="1" x14ac:dyDescent="0.55000000000000004">
      <c r="A78" s="27"/>
      <c r="B78" s="24"/>
      <c r="C78" s="25"/>
      <c r="D78" s="25"/>
      <c r="E78" s="25"/>
      <c r="F78" s="25"/>
      <c r="G78" s="25"/>
      <c r="H78" s="25"/>
      <c r="I78" s="323"/>
      <c r="J78" s="323"/>
      <c r="K78" s="323"/>
      <c r="L78" s="57"/>
      <c r="M78" s="25"/>
      <c r="N78" s="25"/>
      <c r="O78" s="25"/>
      <c r="P78" s="25"/>
      <c r="Q78" s="26"/>
      <c r="R78" s="58"/>
      <c r="S78" s="27"/>
      <c r="T78" s="27"/>
      <c r="U78" s="30" t="s">
        <v>109</v>
      </c>
      <c r="V78" s="27"/>
      <c r="W78" s="59"/>
    </row>
    <row r="79" spans="1:23" ht="60" customHeight="1" x14ac:dyDescent="0.25">
      <c r="A79" s="1"/>
      <c r="B79" s="21"/>
      <c r="C79" s="323" t="s">
        <v>18</v>
      </c>
      <c r="D79" s="323"/>
      <c r="E79" s="10"/>
      <c r="F79" s="60"/>
      <c r="G79" s="61"/>
      <c r="H79" s="50"/>
      <c r="I79" s="324" t="s">
        <v>18</v>
      </c>
      <c r="J79" s="324"/>
      <c r="K79" s="1"/>
      <c r="L79" s="379"/>
      <c r="M79" s="379"/>
      <c r="N79" s="50"/>
      <c r="O79" s="50"/>
      <c r="P79" s="50"/>
      <c r="Q79" s="50"/>
      <c r="R79" s="1"/>
      <c r="S79" s="1"/>
      <c r="T79" s="1"/>
      <c r="U79" s="1"/>
      <c r="V79" s="3"/>
      <c r="W79" s="62"/>
    </row>
    <row r="80" spans="1:23" s="46" customFormat="1" ht="39" customHeight="1" x14ac:dyDescent="0.55000000000000004">
      <c r="A80" s="27"/>
      <c r="B80" s="28"/>
      <c r="C80" s="25"/>
      <c r="D80" s="25"/>
      <c r="E80" s="25"/>
      <c r="F80" s="25"/>
      <c r="G80" s="25"/>
      <c r="H80" s="25"/>
      <c r="I80" s="25"/>
      <c r="J80" s="29"/>
      <c r="K80" s="25"/>
      <c r="L80" s="26"/>
      <c r="M80" s="26"/>
      <c r="N80" s="26"/>
      <c r="O80" s="26"/>
      <c r="P80" s="26"/>
      <c r="Q80" s="26"/>
      <c r="R80" s="27"/>
      <c r="S80" s="27"/>
      <c r="T80" s="27"/>
      <c r="U80" s="27"/>
      <c r="V80" s="327" t="s">
        <v>122</v>
      </c>
      <c r="W80" s="328"/>
    </row>
    <row r="81" spans="1:23" s="46" customFormat="1" ht="54" customHeight="1" x14ac:dyDescent="0.55000000000000004">
      <c r="A81" s="27"/>
      <c r="B81" s="63"/>
      <c r="C81" s="64"/>
      <c r="D81" s="65"/>
      <c r="E81" s="66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8"/>
      <c r="Q81" s="68"/>
      <c r="R81" s="69"/>
      <c r="S81" s="69"/>
      <c r="T81" s="69"/>
      <c r="U81" s="69"/>
      <c r="V81" s="326"/>
      <c r="W81" s="329"/>
    </row>
  </sheetData>
  <protectedRanges>
    <protectedRange sqref="W15:W16 M16:M19 M22:M25 W26:W28 M28:M31 W32:W34 M34:M37 W38:W40 M40:M43 W44:W46 M46:M49 B63:C73 B76:W76 E63:O75 W20:W22 W50:W52 M52:M55 W56:W58 M58:M61 R62:U62 W62 Q63:W75 B15:D62 R15:U16 R17:W19 R20:U22 Q23:W25 R26:U28 Q29:W31 R32:U34 Q35:W37 R38:U40 Q41:W43 R44:U46 Q47:W49 R50:U52 Q53:W55 R56:U58 Q59:W61 H15:K62" name="p40ae67166de39ef3f3ec01bbdae900a3"/>
    <protectedRange sqref="U6:U8 S6:S8 W6:W8" name="pc594b6ecd9b303ee1785ffe3b4f4380d_1"/>
    <protectedRange sqref="L11 M7 E11:E12 M9 L8:M8 L12:M12 L6:L7" name="p547f5a980904daf0dfa79ab76f7eb7f1_1"/>
    <protectedRange sqref="E6:E8 D6:D9 G5:G6" name="p915cfce853e1a0fa81a642efe2ca8f86_1"/>
    <protectedRange sqref="C81 S77:T77 U78" name="p62f34c08bc43a732167a4cb2a22494e9"/>
    <protectedRange sqref="H77 J81:K81 H79 E79 E81 E77 M79:Q79 J77 L77:Q77" name="pd76f2506e825e80154285506ac3cb46a_1"/>
    <protectedRange sqref="L9" name="p547f5a980904daf0dfa79ab76f7eb7f1_1_1"/>
    <protectedRange sqref="E15:E20" name="p40ae67166de39ef3f3ec01bbdae900a3_1"/>
    <protectedRange sqref="E21:E26" name="p40ae67166de39ef3f3ec01bbdae900a3_2"/>
    <protectedRange sqref="E27:E32" name="p40ae67166de39ef3f3ec01bbdae900a3_3"/>
    <protectedRange sqref="E33:E38" name="p40ae67166de39ef3f3ec01bbdae900a3_4"/>
    <protectedRange sqref="E39:E44" name="p40ae67166de39ef3f3ec01bbdae900a3_5"/>
    <protectedRange sqref="E45:E50" name="p40ae67166de39ef3f3ec01bbdae900a3_6"/>
    <protectedRange sqref="E51:E56" name="p40ae67166de39ef3f3ec01bbdae900a3_7"/>
    <protectedRange sqref="E57:E62" name="p40ae67166de39ef3f3ec01bbdae900a3_8"/>
    <protectedRange sqref="F15:F62" name="p40ae67166de39ef3f3ec01bbdae900a3_9"/>
    <protectedRange sqref="G15:G62" name="p40ae67166de39ef3f3ec01bbdae900a3_10"/>
    <protectedRange sqref="Q17:Q19" name="p40ae67166de39ef3f3ec01bbdae900a3_11"/>
  </protectedRanges>
  <mergeCells count="99">
    <mergeCell ref="T13:W13"/>
    <mergeCell ref="V14:W14"/>
    <mergeCell ref="B2:E3"/>
    <mergeCell ref="F2:U3"/>
    <mergeCell ref="V2:W2"/>
    <mergeCell ref="B13:B14"/>
    <mergeCell ref="C13:C14"/>
    <mergeCell ref="D13:D14"/>
    <mergeCell ref="E13:E14"/>
    <mergeCell ref="F13:F14"/>
    <mergeCell ref="G13:G14"/>
    <mergeCell ref="H13:H14"/>
    <mergeCell ref="I13:I14"/>
    <mergeCell ref="J13:J14"/>
    <mergeCell ref="K13:K14"/>
    <mergeCell ref="L13:Q13"/>
    <mergeCell ref="R13:S13"/>
    <mergeCell ref="H15:H20"/>
    <mergeCell ref="I15:I20"/>
    <mergeCell ref="B21:B26"/>
    <mergeCell ref="C21:C26"/>
    <mergeCell ref="D21:D26"/>
    <mergeCell ref="E21:E26"/>
    <mergeCell ref="F21:F26"/>
    <mergeCell ref="G21:G26"/>
    <mergeCell ref="H21:H26"/>
    <mergeCell ref="I21:I26"/>
    <mergeCell ref="B15:B20"/>
    <mergeCell ref="C15:C20"/>
    <mergeCell ref="D15:D20"/>
    <mergeCell ref="E15:E20"/>
    <mergeCell ref="F15:F20"/>
    <mergeCell ref="G15:G20"/>
    <mergeCell ref="H27:H32"/>
    <mergeCell ref="I27:I32"/>
    <mergeCell ref="B33:B38"/>
    <mergeCell ref="C33:C38"/>
    <mergeCell ref="D33:D38"/>
    <mergeCell ref="E33:E38"/>
    <mergeCell ref="F33:F38"/>
    <mergeCell ref="G33:G38"/>
    <mergeCell ref="H33:H38"/>
    <mergeCell ref="I33:I38"/>
    <mergeCell ref="B27:B32"/>
    <mergeCell ref="C27:C32"/>
    <mergeCell ref="D27:D32"/>
    <mergeCell ref="E27:E32"/>
    <mergeCell ref="F27:F32"/>
    <mergeCell ref="G27:G32"/>
    <mergeCell ref="H39:H44"/>
    <mergeCell ref="I39:I44"/>
    <mergeCell ref="B45:B50"/>
    <mergeCell ref="C45:C50"/>
    <mergeCell ref="D45:D50"/>
    <mergeCell ref="E45:E50"/>
    <mergeCell ref="F45:F50"/>
    <mergeCell ref="G45:G50"/>
    <mergeCell ref="H45:H50"/>
    <mergeCell ref="I45:I50"/>
    <mergeCell ref="B39:B44"/>
    <mergeCell ref="C39:C44"/>
    <mergeCell ref="D39:D44"/>
    <mergeCell ref="E39:E44"/>
    <mergeCell ref="F39:F44"/>
    <mergeCell ref="G39:G44"/>
    <mergeCell ref="H51:H56"/>
    <mergeCell ref="I51:I56"/>
    <mergeCell ref="B57:B62"/>
    <mergeCell ref="C57:C62"/>
    <mergeCell ref="D57:D62"/>
    <mergeCell ref="E57:E62"/>
    <mergeCell ref="F57:F62"/>
    <mergeCell ref="G57:G62"/>
    <mergeCell ref="H57:H62"/>
    <mergeCell ref="I57:I62"/>
    <mergeCell ref="B51:B56"/>
    <mergeCell ref="C51:C56"/>
    <mergeCell ref="D51:D56"/>
    <mergeCell ref="E51:E56"/>
    <mergeCell ref="F51:F56"/>
    <mergeCell ref="G51:G56"/>
    <mergeCell ref="B63:B68"/>
    <mergeCell ref="C63:J68"/>
    <mergeCell ref="Q63:Q68"/>
    <mergeCell ref="V63:W68"/>
    <mergeCell ref="B69:B74"/>
    <mergeCell ref="C69:J74"/>
    <mergeCell ref="Q69:Q74"/>
    <mergeCell ref="V69:W74"/>
    <mergeCell ref="V80:W80"/>
    <mergeCell ref="V81:W81"/>
    <mergeCell ref="B76:V76"/>
    <mergeCell ref="C77:D77"/>
    <mergeCell ref="I77:K78"/>
    <mergeCell ref="L77:M77"/>
    <mergeCell ref="C79:D79"/>
    <mergeCell ref="I79:J79"/>
    <mergeCell ref="L79:M79"/>
    <mergeCell ref="E77:F77"/>
  </mergeCells>
  <conditionalFormatting sqref="W4">
    <cfRule type="cellIs" dxfId="1" priority="1" operator="equal">
      <formula>"DEFECT"</formula>
    </cfRule>
    <cfRule type="cellIs" dxfId="0" priority="2" operator="equal">
      <formula>"MONITOR"</formula>
    </cfRule>
  </conditionalFormatting>
  <dataValidations count="5">
    <dataValidation type="list" allowBlank="1" showInputMessage="1" showErrorMessage="1" sqref="W4" xr:uid="{ECB20004-F2C3-4260-B848-7F7AD04253AA}">
      <formula1>"NORMAL,DEFECT,MONITOR"</formula1>
    </dataValidation>
    <dataValidation type="list" allowBlank="1" showInputMessage="1" sqref="H15:H62" xr:uid="{4D917497-8892-4798-B451-B6C35C4E461D}">
      <formula1>"MAIN,RESERVE,N/A"</formula1>
    </dataValidation>
    <dataValidation type="list" allowBlank="1" showInputMessage="1" sqref="G15:G62" xr:uid="{E552E141-25E9-4AB4-BB5B-49868FA77D28}">
      <formula1>"CLOSE,TRIP,N/A"</formula1>
    </dataValidation>
    <dataValidation type="list" allowBlank="1" showInputMessage="1" sqref="F15:F62" xr:uid="{786700DA-33D5-412E-B709-03BF2F692002}">
      <formula1>"SERVICE,TEST,RACK OUT,N/A"</formula1>
    </dataValidation>
    <dataValidation type="list" allowBlank="1" showInputMessage="1" sqref="E15:E62" xr:uid="{9422934E-E33F-4266-BB92-1D01696A9B81}">
      <formula1>"XLPE,PILC,N/A,NOT ACCESSIBLE"</formula1>
    </dataValidation>
  </dataValidations>
  <pageMargins left="3.937007874015748E-2" right="3.937007874015748E-2" top="0" bottom="0" header="0.31496062992125984" footer="0.31496062992125984"/>
  <pageSetup scale="11" fitToHeight="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16047-54D8-4B0E-B192-51104C6D07FA}">
  <sheetPr>
    <tabColor rgb="FF92D050"/>
    <pageSetUpPr fitToPage="1"/>
  </sheetPr>
  <dimension ref="A1:AK87"/>
  <sheetViews>
    <sheetView view="pageBreakPreview" zoomScale="25" zoomScaleNormal="40" zoomScaleSheetLayoutView="25" workbookViewId="0">
      <selection activeCell="AC3" sqref="AC3"/>
    </sheetView>
  </sheetViews>
  <sheetFormatPr defaultRowHeight="27" x14ac:dyDescent="0.25"/>
  <cols>
    <col min="1" max="1" width="1.140625" style="162" customWidth="1"/>
    <col min="2" max="2" width="15.7109375" style="162" customWidth="1"/>
    <col min="3" max="3" width="39.7109375" style="162" customWidth="1"/>
    <col min="4" max="4" width="18.28515625" style="162" customWidth="1"/>
    <col min="5" max="5" width="12" style="162" customWidth="1"/>
    <col min="6" max="6" width="32.7109375" style="162" customWidth="1"/>
    <col min="7" max="7" width="31.7109375" style="162" customWidth="1"/>
    <col min="8" max="8" width="32.7109375" style="162" customWidth="1"/>
    <col min="9" max="9" width="34.42578125" style="162" customWidth="1"/>
    <col min="10" max="10" width="33.28515625" style="162" customWidth="1"/>
    <col min="11" max="11" width="43.42578125" style="162" customWidth="1"/>
    <col min="12" max="12" width="39.28515625" style="162" customWidth="1"/>
    <col min="13" max="13" width="35.42578125" style="162" customWidth="1"/>
    <col min="14" max="14" width="38.85546875" style="162" customWidth="1"/>
    <col min="15" max="15" width="36.7109375" style="162" customWidth="1"/>
    <col min="16" max="16" width="32.140625" style="162" customWidth="1"/>
    <col min="17" max="17" width="45.42578125" style="162" customWidth="1"/>
    <col min="18" max="18" width="36.7109375" style="162" customWidth="1"/>
    <col min="19" max="19" width="32.140625" style="162" customWidth="1"/>
    <col min="20" max="20" width="42.140625" style="162" customWidth="1"/>
    <col min="21" max="21" width="36.7109375" style="162" customWidth="1"/>
    <col min="22" max="23" width="32.140625" style="162" customWidth="1"/>
    <col min="24" max="24" width="36.7109375" style="162" customWidth="1"/>
    <col min="25" max="25" width="32.140625" style="162" customWidth="1"/>
    <col min="26" max="27" width="36.7109375" style="162" customWidth="1"/>
    <col min="28" max="28" width="32.140625" style="162" customWidth="1"/>
    <col min="29" max="29" width="41.140625" style="162" customWidth="1"/>
    <col min="30" max="30" width="45.7109375" style="162" customWidth="1"/>
    <col min="31" max="31" width="10.42578125" style="163" customWidth="1"/>
    <col min="32" max="32" width="10.28515625" style="162" customWidth="1"/>
    <col min="33" max="33" width="7.28515625" style="162" customWidth="1"/>
    <col min="34" max="34" width="12.85546875" style="162" hidden="1" customWidth="1"/>
    <col min="35" max="35" width="9.140625" style="162" hidden="1" customWidth="1"/>
    <col min="36" max="262" width="9.140625" style="162"/>
    <col min="263" max="263" width="1.7109375" style="162" customWidth="1"/>
    <col min="264" max="264" width="6.140625" style="162" customWidth="1"/>
    <col min="265" max="265" width="27.140625" style="162" customWidth="1"/>
    <col min="266" max="266" width="51.140625" style="162" customWidth="1"/>
    <col min="267" max="267" width="69.28515625" style="162" customWidth="1"/>
    <col min="268" max="268" width="40.7109375" style="162" customWidth="1"/>
    <col min="269" max="269" width="8.7109375" style="162" customWidth="1"/>
    <col min="270" max="270" width="32.140625" style="162" customWidth="1"/>
    <col min="271" max="271" width="35.7109375" style="162" customWidth="1"/>
    <col min="272" max="272" width="8.7109375" style="162" customWidth="1"/>
    <col min="273" max="273" width="28.140625" style="162" customWidth="1"/>
    <col min="274" max="274" width="27.5703125" style="162" customWidth="1"/>
    <col min="275" max="275" width="41.42578125" style="162" customWidth="1"/>
    <col min="276" max="276" width="39.140625" style="162" customWidth="1"/>
    <col min="277" max="277" width="27" style="162" customWidth="1"/>
    <col min="278" max="278" width="36.140625" style="162" customWidth="1"/>
    <col min="279" max="279" width="31.28515625" style="162" customWidth="1"/>
    <col min="280" max="280" width="44.140625" style="162" customWidth="1"/>
    <col min="281" max="281" width="42.5703125" style="162" customWidth="1"/>
    <col min="282" max="282" width="27.140625" style="162" customWidth="1"/>
    <col min="283" max="283" width="33.28515625" style="162" customWidth="1"/>
    <col min="284" max="284" width="27" style="162" customWidth="1"/>
    <col min="285" max="285" width="38.5703125" style="162" customWidth="1"/>
    <col min="286" max="286" width="23.85546875" style="162" customWidth="1"/>
    <col min="287" max="287" width="10.42578125" style="162" customWidth="1"/>
    <col min="288" max="288" width="10.28515625" style="162" customWidth="1"/>
    <col min="289" max="289" width="7.28515625" style="162" customWidth="1"/>
    <col min="290" max="291" width="0" style="162" hidden="1" customWidth="1"/>
    <col min="292" max="518" width="9.140625" style="162"/>
    <col min="519" max="519" width="1.7109375" style="162" customWidth="1"/>
    <col min="520" max="520" width="6.140625" style="162" customWidth="1"/>
    <col min="521" max="521" width="27.140625" style="162" customWidth="1"/>
    <col min="522" max="522" width="51.140625" style="162" customWidth="1"/>
    <col min="523" max="523" width="69.28515625" style="162" customWidth="1"/>
    <col min="524" max="524" width="40.7109375" style="162" customWidth="1"/>
    <col min="525" max="525" width="8.7109375" style="162" customWidth="1"/>
    <col min="526" max="526" width="32.140625" style="162" customWidth="1"/>
    <col min="527" max="527" width="35.7109375" style="162" customWidth="1"/>
    <col min="528" max="528" width="8.7109375" style="162" customWidth="1"/>
    <col min="529" max="529" width="28.140625" style="162" customWidth="1"/>
    <col min="530" max="530" width="27.5703125" style="162" customWidth="1"/>
    <col min="531" max="531" width="41.42578125" style="162" customWidth="1"/>
    <col min="532" max="532" width="39.140625" style="162" customWidth="1"/>
    <col min="533" max="533" width="27" style="162" customWidth="1"/>
    <col min="534" max="534" width="36.140625" style="162" customWidth="1"/>
    <col min="535" max="535" width="31.28515625" style="162" customWidth="1"/>
    <col min="536" max="536" width="44.140625" style="162" customWidth="1"/>
    <col min="537" max="537" width="42.5703125" style="162" customWidth="1"/>
    <col min="538" max="538" width="27.140625" style="162" customWidth="1"/>
    <col min="539" max="539" width="33.28515625" style="162" customWidth="1"/>
    <col min="540" max="540" width="27" style="162" customWidth="1"/>
    <col min="541" max="541" width="38.5703125" style="162" customWidth="1"/>
    <col min="542" max="542" width="23.85546875" style="162" customWidth="1"/>
    <col min="543" max="543" width="10.42578125" style="162" customWidth="1"/>
    <col min="544" max="544" width="10.28515625" style="162" customWidth="1"/>
    <col min="545" max="545" width="7.28515625" style="162" customWidth="1"/>
    <col min="546" max="547" width="0" style="162" hidden="1" customWidth="1"/>
    <col min="548" max="774" width="9.140625" style="162"/>
    <col min="775" max="775" width="1.7109375" style="162" customWidth="1"/>
    <col min="776" max="776" width="6.140625" style="162" customWidth="1"/>
    <col min="777" max="777" width="27.140625" style="162" customWidth="1"/>
    <col min="778" max="778" width="51.140625" style="162" customWidth="1"/>
    <col min="779" max="779" width="69.28515625" style="162" customWidth="1"/>
    <col min="780" max="780" width="40.7109375" style="162" customWidth="1"/>
    <col min="781" max="781" width="8.7109375" style="162" customWidth="1"/>
    <col min="782" max="782" width="32.140625" style="162" customWidth="1"/>
    <col min="783" max="783" width="35.7109375" style="162" customWidth="1"/>
    <col min="784" max="784" width="8.7109375" style="162" customWidth="1"/>
    <col min="785" max="785" width="28.140625" style="162" customWidth="1"/>
    <col min="786" max="786" width="27.5703125" style="162" customWidth="1"/>
    <col min="787" max="787" width="41.42578125" style="162" customWidth="1"/>
    <col min="788" max="788" width="39.140625" style="162" customWidth="1"/>
    <col min="789" max="789" width="27" style="162" customWidth="1"/>
    <col min="790" max="790" width="36.140625" style="162" customWidth="1"/>
    <col min="791" max="791" width="31.28515625" style="162" customWidth="1"/>
    <col min="792" max="792" width="44.140625" style="162" customWidth="1"/>
    <col min="793" max="793" width="42.5703125" style="162" customWidth="1"/>
    <col min="794" max="794" width="27.140625" style="162" customWidth="1"/>
    <col min="795" max="795" width="33.28515625" style="162" customWidth="1"/>
    <col min="796" max="796" width="27" style="162" customWidth="1"/>
    <col min="797" max="797" width="38.5703125" style="162" customWidth="1"/>
    <col min="798" max="798" width="23.85546875" style="162" customWidth="1"/>
    <col min="799" max="799" width="10.42578125" style="162" customWidth="1"/>
    <col min="800" max="800" width="10.28515625" style="162" customWidth="1"/>
    <col min="801" max="801" width="7.28515625" style="162" customWidth="1"/>
    <col min="802" max="803" width="0" style="162" hidden="1" customWidth="1"/>
    <col min="804" max="1030" width="9.140625" style="162"/>
    <col min="1031" max="1031" width="1.7109375" style="162" customWidth="1"/>
    <col min="1032" max="1032" width="6.140625" style="162" customWidth="1"/>
    <col min="1033" max="1033" width="27.140625" style="162" customWidth="1"/>
    <col min="1034" max="1034" width="51.140625" style="162" customWidth="1"/>
    <col min="1035" max="1035" width="69.28515625" style="162" customWidth="1"/>
    <col min="1036" max="1036" width="40.7109375" style="162" customWidth="1"/>
    <col min="1037" max="1037" width="8.7109375" style="162" customWidth="1"/>
    <col min="1038" max="1038" width="32.140625" style="162" customWidth="1"/>
    <col min="1039" max="1039" width="35.7109375" style="162" customWidth="1"/>
    <col min="1040" max="1040" width="8.7109375" style="162" customWidth="1"/>
    <col min="1041" max="1041" width="28.140625" style="162" customWidth="1"/>
    <col min="1042" max="1042" width="27.5703125" style="162" customWidth="1"/>
    <col min="1043" max="1043" width="41.42578125" style="162" customWidth="1"/>
    <col min="1044" max="1044" width="39.140625" style="162" customWidth="1"/>
    <col min="1045" max="1045" width="27" style="162" customWidth="1"/>
    <col min="1046" max="1046" width="36.140625" style="162" customWidth="1"/>
    <col min="1047" max="1047" width="31.28515625" style="162" customWidth="1"/>
    <col min="1048" max="1048" width="44.140625" style="162" customWidth="1"/>
    <col min="1049" max="1049" width="42.5703125" style="162" customWidth="1"/>
    <col min="1050" max="1050" width="27.140625" style="162" customWidth="1"/>
    <col min="1051" max="1051" width="33.28515625" style="162" customWidth="1"/>
    <col min="1052" max="1052" width="27" style="162" customWidth="1"/>
    <col min="1053" max="1053" width="38.5703125" style="162" customWidth="1"/>
    <col min="1054" max="1054" width="23.85546875" style="162" customWidth="1"/>
    <col min="1055" max="1055" width="10.42578125" style="162" customWidth="1"/>
    <col min="1056" max="1056" width="10.28515625" style="162" customWidth="1"/>
    <col min="1057" max="1057" width="7.28515625" style="162" customWidth="1"/>
    <col min="1058" max="1059" width="0" style="162" hidden="1" customWidth="1"/>
    <col min="1060" max="1286" width="9.140625" style="162"/>
    <col min="1287" max="1287" width="1.7109375" style="162" customWidth="1"/>
    <col min="1288" max="1288" width="6.140625" style="162" customWidth="1"/>
    <col min="1289" max="1289" width="27.140625" style="162" customWidth="1"/>
    <col min="1290" max="1290" width="51.140625" style="162" customWidth="1"/>
    <col min="1291" max="1291" width="69.28515625" style="162" customWidth="1"/>
    <col min="1292" max="1292" width="40.7109375" style="162" customWidth="1"/>
    <col min="1293" max="1293" width="8.7109375" style="162" customWidth="1"/>
    <col min="1294" max="1294" width="32.140625" style="162" customWidth="1"/>
    <col min="1295" max="1295" width="35.7109375" style="162" customWidth="1"/>
    <col min="1296" max="1296" width="8.7109375" style="162" customWidth="1"/>
    <col min="1297" max="1297" width="28.140625" style="162" customWidth="1"/>
    <col min="1298" max="1298" width="27.5703125" style="162" customWidth="1"/>
    <col min="1299" max="1299" width="41.42578125" style="162" customWidth="1"/>
    <col min="1300" max="1300" width="39.140625" style="162" customWidth="1"/>
    <col min="1301" max="1301" width="27" style="162" customWidth="1"/>
    <col min="1302" max="1302" width="36.140625" style="162" customWidth="1"/>
    <col min="1303" max="1303" width="31.28515625" style="162" customWidth="1"/>
    <col min="1304" max="1304" width="44.140625" style="162" customWidth="1"/>
    <col min="1305" max="1305" width="42.5703125" style="162" customWidth="1"/>
    <col min="1306" max="1306" width="27.140625" style="162" customWidth="1"/>
    <col min="1307" max="1307" width="33.28515625" style="162" customWidth="1"/>
    <col min="1308" max="1308" width="27" style="162" customWidth="1"/>
    <col min="1309" max="1309" width="38.5703125" style="162" customWidth="1"/>
    <col min="1310" max="1310" width="23.85546875" style="162" customWidth="1"/>
    <col min="1311" max="1311" width="10.42578125" style="162" customWidth="1"/>
    <col min="1312" max="1312" width="10.28515625" style="162" customWidth="1"/>
    <col min="1313" max="1313" width="7.28515625" style="162" customWidth="1"/>
    <col min="1314" max="1315" width="0" style="162" hidden="1" customWidth="1"/>
    <col min="1316" max="1542" width="9.140625" style="162"/>
    <col min="1543" max="1543" width="1.7109375" style="162" customWidth="1"/>
    <col min="1544" max="1544" width="6.140625" style="162" customWidth="1"/>
    <col min="1545" max="1545" width="27.140625" style="162" customWidth="1"/>
    <col min="1546" max="1546" width="51.140625" style="162" customWidth="1"/>
    <col min="1547" max="1547" width="69.28515625" style="162" customWidth="1"/>
    <col min="1548" max="1548" width="40.7109375" style="162" customWidth="1"/>
    <col min="1549" max="1549" width="8.7109375" style="162" customWidth="1"/>
    <col min="1550" max="1550" width="32.140625" style="162" customWidth="1"/>
    <col min="1551" max="1551" width="35.7109375" style="162" customWidth="1"/>
    <col min="1552" max="1552" width="8.7109375" style="162" customWidth="1"/>
    <col min="1553" max="1553" width="28.140625" style="162" customWidth="1"/>
    <col min="1554" max="1554" width="27.5703125" style="162" customWidth="1"/>
    <col min="1555" max="1555" width="41.42578125" style="162" customWidth="1"/>
    <col min="1556" max="1556" width="39.140625" style="162" customWidth="1"/>
    <col min="1557" max="1557" width="27" style="162" customWidth="1"/>
    <col min="1558" max="1558" width="36.140625" style="162" customWidth="1"/>
    <col min="1559" max="1559" width="31.28515625" style="162" customWidth="1"/>
    <col min="1560" max="1560" width="44.140625" style="162" customWidth="1"/>
    <col min="1561" max="1561" width="42.5703125" style="162" customWidth="1"/>
    <col min="1562" max="1562" width="27.140625" style="162" customWidth="1"/>
    <col min="1563" max="1563" width="33.28515625" style="162" customWidth="1"/>
    <col min="1564" max="1564" width="27" style="162" customWidth="1"/>
    <col min="1565" max="1565" width="38.5703125" style="162" customWidth="1"/>
    <col min="1566" max="1566" width="23.85546875" style="162" customWidth="1"/>
    <col min="1567" max="1567" width="10.42578125" style="162" customWidth="1"/>
    <col min="1568" max="1568" width="10.28515625" style="162" customWidth="1"/>
    <col min="1569" max="1569" width="7.28515625" style="162" customWidth="1"/>
    <col min="1570" max="1571" width="0" style="162" hidden="1" customWidth="1"/>
    <col min="1572" max="1798" width="9.140625" style="162"/>
    <col min="1799" max="1799" width="1.7109375" style="162" customWidth="1"/>
    <col min="1800" max="1800" width="6.140625" style="162" customWidth="1"/>
    <col min="1801" max="1801" width="27.140625" style="162" customWidth="1"/>
    <col min="1802" max="1802" width="51.140625" style="162" customWidth="1"/>
    <col min="1803" max="1803" width="69.28515625" style="162" customWidth="1"/>
    <col min="1804" max="1804" width="40.7109375" style="162" customWidth="1"/>
    <col min="1805" max="1805" width="8.7109375" style="162" customWidth="1"/>
    <col min="1806" max="1806" width="32.140625" style="162" customWidth="1"/>
    <col min="1807" max="1807" width="35.7109375" style="162" customWidth="1"/>
    <col min="1808" max="1808" width="8.7109375" style="162" customWidth="1"/>
    <col min="1809" max="1809" width="28.140625" style="162" customWidth="1"/>
    <col min="1810" max="1810" width="27.5703125" style="162" customWidth="1"/>
    <col min="1811" max="1811" width="41.42578125" style="162" customWidth="1"/>
    <col min="1812" max="1812" width="39.140625" style="162" customWidth="1"/>
    <col min="1813" max="1813" width="27" style="162" customWidth="1"/>
    <col min="1814" max="1814" width="36.140625" style="162" customWidth="1"/>
    <col min="1815" max="1815" width="31.28515625" style="162" customWidth="1"/>
    <col min="1816" max="1816" width="44.140625" style="162" customWidth="1"/>
    <col min="1817" max="1817" width="42.5703125" style="162" customWidth="1"/>
    <col min="1818" max="1818" width="27.140625" style="162" customWidth="1"/>
    <col min="1819" max="1819" width="33.28515625" style="162" customWidth="1"/>
    <col min="1820" max="1820" width="27" style="162" customWidth="1"/>
    <col min="1821" max="1821" width="38.5703125" style="162" customWidth="1"/>
    <col min="1822" max="1822" width="23.85546875" style="162" customWidth="1"/>
    <col min="1823" max="1823" width="10.42578125" style="162" customWidth="1"/>
    <col min="1824" max="1824" width="10.28515625" style="162" customWidth="1"/>
    <col min="1825" max="1825" width="7.28515625" style="162" customWidth="1"/>
    <col min="1826" max="1827" width="0" style="162" hidden="1" customWidth="1"/>
    <col min="1828" max="2054" width="9.140625" style="162"/>
    <col min="2055" max="2055" width="1.7109375" style="162" customWidth="1"/>
    <col min="2056" max="2056" width="6.140625" style="162" customWidth="1"/>
    <col min="2057" max="2057" width="27.140625" style="162" customWidth="1"/>
    <col min="2058" max="2058" width="51.140625" style="162" customWidth="1"/>
    <col min="2059" max="2059" width="69.28515625" style="162" customWidth="1"/>
    <col min="2060" max="2060" width="40.7109375" style="162" customWidth="1"/>
    <col min="2061" max="2061" width="8.7109375" style="162" customWidth="1"/>
    <col min="2062" max="2062" width="32.140625" style="162" customWidth="1"/>
    <col min="2063" max="2063" width="35.7109375" style="162" customWidth="1"/>
    <col min="2064" max="2064" width="8.7109375" style="162" customWidth="1"/>
    <col min="2065" max="2065" width="28.140625" style="162" customWidth="1"/>
    <col min="2066" max="2066" width="27.5703125" style="162" customWidth="1"/>
    <col min="2067" max="2067" width="41.42578125" style="162" customWidth="1"/>
    <col min="2068" max="2068" width="39.140625" style="162" customWidth="1"/>
    <col min="2069" max="2069" width="27" style="162" customWidth="1"/>
    <col min="2070" max="2070" width="36.140625" style="162" customWidth="1"/>
    <col min="2071" max="2071" width="31.28515625" style="162" customWidth="1"/>
    <col min="2072" max="2072" width="44.140625" style="162" customWidth="1"/>
    <col min="2073" max="2073" width="42.5703125" style="162" customWidth="1"/>
    <col min="2074" max="2074" width="27.140625" style="162" customWidth="1"/>
    <col min="2075" max="2075" width="33.28515625" style="162" customWidth="1"/>
    <col min="2076" max="2076" width="27" style="162" customWidth="1"/>
    <col min="2077" max="2077" width="38.5703125" style="162" customWidth="1"/>
    <col min="2078" max="2078" width="23.85546875" style="162" customWidth="1"/>
    <col min="2079" max="2079" width="10.42578125" style="162" customWidth="1"/>
    <col min="2080" max="2080" width="10.28515625" style="162" customWidth="1"/>
    <col min="2081" max="2081" width="7.28515625" style="162" customWidth="1"/>
    <col min="2082" max="2083" width="0" style="162" hidden="1" customWidth="1"/>
    <col min="2084" max="2310" width="9.140625" style="162"/>
    <col min="2311" max="2311" width="1.7109375" style="162" customWidth="1"/>
    <col min="2312" max="2312" width="6.140625" style="162" customWidth="1"/>
    <col min="2313" max="2313" width="27.140625" style="162" customWidth="1"/>
    <col min="2314" max="2314" width="51.140625" style="162" customWidth="1"/>
    <col min="2315" max="2315" width="69.28515625" style="162" customWidth="1"/>
    <col min="2316" max="2316" width="40.7109375" style="162" customWidth="1"/>
    <col min="2317" max="2317" width="8.7109375" style="162" customWidth="1"/>
    <col min="2318" max="2318" width="32.140625" style="162" customWidth="1"/>
    <col min="2319" max="2319" width="35.7109375" style="162" customWidth="1"/>
    <col min="2320" max="2320" width="8.7109375" style="162" customWidth="1"/>
    <col min="2321" max="2321" width="28.140625" style="162" customWidth="1"/>
    <col min="2322" max="2322" width="27.5703125" style="162" customWidth="1"/>
    <col min="2323" max="2323" width="41.42578125" style="162" customWidth="1"/>
    <col min="2324" max="2324" width="39.140625" style="162" customWidth="1"/>
    <col min="2325" max="2325" width="27" style="162" customWidth="1"/>
    <col min="2326" max="2326" width="36.140625" style="162" customWidth="1"/>
    <col min="2327" max="2327" width="31.28515625" style="162" customWidth="1"/>
    <col min="2328" max="2328" width="44.140625" style="162" customWidth="1"/>
    <col min="2329" max="2329" width="42.5703125" style="162" customWidth="1"/>
    <col min="2330" max="2330" width="27.140625" style="162" customWidth="1"/>
    <col min="2331" max="2331" width="33.28515625" style="162" customWidth="1"/>
    <col min="2332" max="2332" width="27" style="162" customWidth="1"/>
    <col min="2333" max="2333" width="38.5703125" style="162" customWidth="1"/>
    <col min="2334" max="2334" width="23.85546875" style="162" customWidth="1"/>
    <col min="2335" max="2335" width="10.42578125" style="162" customWidth="1"/>
    <col min="2336" max="2336" width="10.28515625" style="162" customWidth="1"/>
    <col min="2337" max="2337" width="7.28515625" style="162" customWidth="1"/>
    <col min="2338" max="2339" width="0" style="162" hidden="1" customWidth="1"/>
    <col min="2340" max="2566" width="9.140625" style="162"/>
    <col min="2567" max="2567" width="1.7109375" style="162" customWidth="1"/>
    <col min="2568" max="2568" width="6.140625" style="162" customWidth="1"/>
    <col min="2569" max="2569" width="27.140625" style="162" customWidth="1"/>
    <col min="2570" max="2570" width="51.140625" style="162" customWidth="1"/>
    <col min="2571" max="2571" width="69.28515625" style="162" customWidth="1"/>
    <col min="2572" max="2572" width="40.7109375" style="162" customWidth="1"/>
    <col min="2573" max="2573" width="8.7109375" style="162" customWidth="1"/>
    <col min="2574" max="2574" width="32.140625" style="162" customWidth="1"/>
    <col min="2575" max="2575" width="35.7109375" style="162" customWidth="1"/>
    <col min="2576" max="2576" width="8.7109375" style="162" customWidth="1"/>
    <col min="2577" max="2577" width="28.140625" style="162" customWidth="1"/>
    <col min="2578" max="2578" width="27.5703125" style="162" customWidth="1"/>
    <col min="2579" max="2579" width="41.42578125" style="162" customWidth="1"/>
    <col min="2580" max="2580" width="39.140625" style="162" customWidth="1"/>
    <col min="2581" max="2581" width="27" style="162" customWidth="1"/>
    <col min="2582" max="2582" width="36.140625" style="162" customWidth="1"/>
    <col min="2583" max="2583" width="31.28515625" style="162" customWidth="1"/>
    <col min="2584" max="2584" width="44.140625" style="162" customWidth="1"/>
    <col min="2585" max="2585" width="42.5703125" style="162" customWidth="1"/>
    <col min="2586" max="2586" width="27.140625" style="162" customWidth="1"/>
    <col min="2587" max="2587" width="33.28515625" style="162" customWidth="1"/>
    <col min="2588" max="2588" width="27" style="162" customWidth="1"/>
    <col min="2589" max="2589" width="38.5703125" style="162" customWidth="1"/>
    <col min="2590" max="2590" width="23.85546875" style="162" customWidth="1"/>
    <col min="2591" max="2591" width="10.42578125" style="162" customWidth="1"/>
    <col min="2592" max="2592" width="10.28515625" style="162" customWidth="1"/>
    <col min="2593" max="2593" width="7.28515625" style="162" customWidth="1"/>
    <col min="2594" max="2595" width="0" style="162" hidden="1" customWidth="1"/>
    <col min="2596" max="2822" width="9.140625" style="162"/>
    <col min="2823" max="2823" width="1.7109375" style="162" customWidth="1"/>
    <col min="2824" max="2824" width="6.140625" style="162" customWidth="1"/>
    <col min="2825" max="2825" width="27.140625" style="162" customWidth="1"/>
    <col min="2826" max="2826" width="51.140625" style="162" customWidth="1"/>
    <col min="2827" max="2827" width="69.28515625" style="162" customWidth="1"/>
    <col min="2828" max="2828" width="40.7109375" style="162" customWidth="1"/>
    <col min="2829" max="2829" width="8.7109375" style="162" customWidth="1"/>
    <col min="2830" max="2830" width="32.140625" style="162" customWidth="1"/>
    <col min="2831" max="2831" width="35.7109375" style="162" customWidth="1"/>
    <col min="2832" max="2832" width="8.7109375" style="162" customWidth="1"/>
    <col min="2833" max="2833" width="28.140625" style="162" customWidth="1"/>
    <col min="2834" max="2834" width="27.5703125" style="162" customWidth="1"/>
    <col min="2835" max="2835" width="41.42578125" style="162" customWidth="1"/>
    <col min="2836" max="2836" width="39.140625" style="162" customWidth="1"/>
    <col min="2837" max="2837" width="27" style="162" customWidth="1"/>
    <col min="2838" max="2838" width="36.140625" style="162" customWidth="1"/>
    <col min="2839" max="2839" width="31.28515625" style="162" customWidth="1"/>
    <col min="2840" max="2840" width="44.140625" style="162" customWidth="1"/>
    <col min="2841" max="2841" width="42.5703125" style="162" customWidth="1"/>
    <col min="2842" max="2842" width="27.140625" style="162" customWidth="1"/>
    <col min="2843" max="2843" width="33.28515625" style="162" customWidth="1"/>
    <col min="2844" max="2844" width="27" style="162" customWidth="1"/>
    <col min="2845" max="2845" width="38.5703125" style="162" customWidth="1"/>
    <col min="2846" max="2846" width="23.85546875" style="162" customWidth="1"/>
    <col min="2847" max="2847" width="10.42578125" style="162" customWidth="1"/>
    <col min="2848" max="2848" width="10.28515625" style="162" customWidth="1"/>
    <col min="2849" max="2849" width="7.28515625" style="162" customWidth="1"/>
    <col min="2850" max="2851" width="0" style="162" hidden="1" customWidth="1"/>
    <col min="2852" max="3078" width="9.140625" style="162"/>
    <col min="3079" max="3079" width="1.7109375" style="162" customWidth="1"/>
    <col min="3080" max="3080" width="6.140625" style="162" customWidth="1"/>
    <col min="3081" max="3081" width="27.140625" style="162" customWidth="1"/>
    <col min="3082" max="3082" width="51.140625" style="162" customWidth="1"/>
    <col min="3083" max="3083" width="69.28515625" style="162" customWidth="1"/>
    <col min="3084" max="3084" width="40.7109375" style="162" customWidth="1"/>
    <col min="3085" max="3085" width="8.7109375" style="162" customWidth="1"/>
    <col min="3086" max="3086" width="32.140625" style="162" customWidth="1"/>
    <col min="3087" max="3087" width="35.7109375" style="162" customWidth="1"/>
    <col min="3088" max="3088" width="8.7109375" style="162" customWidth="1"/>
    <col min="3089" max="3089" width="28.140625" style="162" customWidth="1"/>
    <col min="3090" max="3090" width="27.5703125" style="162" customWidth="1"/>
    <col min="3091" max="3091" width="41.42578125" style="162" customWidth="1"/>
    <col min="3092" max="3092" width="39.140625" style="162" customWidth="1"/>
    <col min="3093" max="3093" width="27" style="162" customWidth="1"/>
    <col min="3094" max="3094" width="36.140625" style="162" customWidth="1"/>
    <col min="3095" max="3095" width="31.28515625" style="162" customWidth="1"/>
    <col min="3096" max="3096" width="44.140625" style="162" customWidth="1"/>
    <col min="3097" max="3097" width="42.5703125" style="162" customWidth="1"/>
    <col min="3098" max="3098" width="27.140625" style="162" customWidth="1"/>
    <col min="3099" max="3099" width="33.28515625" style="162" customWidth="1"/>
    <col min="3100" max="3100" width="27" style="162" customWidth="1"/>
    <col min="3101" max="3101" width="38.5703125" style="162" customWidth="1"/>
    <col min="3102" max="3102" width="23.85546875" style="162" customWidth="1"/>
    <col min="3103" max="3103" width="10.42578125" style="162" customWidth="1"/>
    <col min="3104" max="3104" width="10.28515625" style="162" customWidth="1"/>
    <col min="3105" max="3105" width="7.28515625" style="162" customWidth="1"/>
    <col min="3106" max="3107" width="0" style="162" hidden="1" customWidth="1"/>
    <col min="3108" max="3334" width="9.140625" style="162"/>
    <col min="3335" max="3335" width="1.7109375" style="162" customWidth="1"/>
    <col min="3336" max="3336" width="6.140625" style="162" customWidth="1"/>
    <col min="3337" max="3337" width="27.140625" style="162" customWidth="1"/>
    <col min="3338" max="3338" width="51.140625" style="162" customWidth="1"/>
    <col min="3339" max="3339" width="69.28515625" style="162" customWidth="1"/>
    <col min="3340" max="3340" width="40.7109375" style="162" customWidth="1"/>
    <col min="3341" max="3341" width="8.7109375" style="162" customWidth="1"/>
    <col min="3342" max="3342" width="32.140625" style="162" customWidth="1"/>
    <col min="3343" max="3343" width="35.7109375" style="162" customWidth="1"/>
    <col min="3344" max="3344" width="8.7109375" style="162" customWidth="1"/>
    <col min="3345" max="3345" width="28.140625" style="162" customWidth="1"/>
    <col min="3346" max="3346" width="27.5703125" style="162" customWidth="1"/>
    <col min="3347" max="3347" width="41.42578125" style="162" customWidth="1"/>
    <col min="3348" max="3348" width="39.140625" style="162" customWidth="1"/>
    <col min="3349" max="3349" width="27" style="162" customWidth="1"/>
    <col min="3350" max="3350" width="36.140625" style="162" customWidth="1"/>
    <col min="3351" max="3351" width="31.28515625" style="162" customWidth="1"/>
    <col min="3352" max="3352" width="44.140625" style="162" customWidth="1"/>
    <col min="3353" max="3353" width="42.5703125" style="162" customWidth="1"/>
    <col min="3354" max="3354" width="27.140625" style="162" customWidth="1"/>
    <col min="3355" max="3355" width="33.28515625" style="162" customWidth="1"/>
    <col min="3356" max="3356" width="27" style="162" customWidth="1"/>
    <col min="3357" max="3357" width="38.5703125" style="162" customWidth="1"/>
    <col min="3358" max="3358" width="23.85546875" style="162" customWidth="1"/>
    <col min="3359" max="3359" width="10.42578125" style="162" customWidth="1"/>
    <col min="3360" max="3360" width="10.28515625" style="162" customWidth="1"/>
    <col min="3361" max="3361" width="7.28515625" style="162" customWidth="1"/>
    <col min="3362" max="3363" width="0" style="162" hidden="1" customWidth="1"/>
    <col min="3364" max="3590" width="9.140625" style="162"/>
    <col min="3591" max="3591" width="1.7109375" style="162" customWidth="1"/>
    <col min="3592" max="3592" width="6.140625" style="162" customWidth="1"/>
    <col min="3593" max="3593" width="27.140625" style="162" customWidth="1"/>
    <col min="3594" max="3594" width="51.140625" style="162" customWidth="1"/>
    <col min="3595" max="3595" width="69.28515625" style="162" customWidth="1"/>
    <col min="3596" max="3596" width="40.7109375" style="162" customWidth="1"/>
    <col min="3597" max="3597" width="8.7109375" style="162" customWidth="1"/>
    <col min="3598" max="3598" width="32.140625" style="162" customWidth="1"/>
    <col min="3599" max="3599" width="35.7109375" style="162" customWidth="1"/>
    <col min="3600" max="3600" width="8.7109375" style="162" customWidth="1"/>
    <col min="3601" max="3601" width="28.140625" style="162" customWidth="1"/>
    <col min="3602" max="3602" width="27.5703125" style="162" customWidth="1"/>
    <col min="3603" max="3603" width="41.42578125" style="162" customWidth="1"/>
    <col min="3604" max="3604" width="39.140625" style="162" customWidth="1"/>
    <col min="3605" max="3605" width="27" style="162" customWidth="1"/>
    <col min="3606" max="3606" width="36.140625" style="162" customWidth="1"/>
    <col min="3607" max="3607" width="31.28515625" style="162" customWidth="1"/>
    <col min="3608" max="3608" width="44.140625" style="162" customWidth="1"/>
    <col min="3609" max="3609" width="42.5703125" style="162" customWidth="1"/>
    <col min="3610" max="3610" width="27.140625" style="162" customWidth="1"/>
    <col min="3611" max="3611" width="33.28515625" style="162" customWidth="1"/>
    <col min="3612" max="3612" width="27" style="162" customWidth="1"/>
    <col min="3613" max="3613" width="38.5703125" style="162" customWidth="1"/>
    <col min="3614" max="3614" width="23.85546875" style="162" customWidth="1"/>
    <col min="3615" max="3615" width="10.42578125" style="162" customWidth="1"/>
    <col min="3616" max="3616" width="10.28515625" style="162" customWidth="1"/>
    <col min="3617" max="3617" width="7.28515625" style="162" customWidth="1"/>
    <col min="3618" max="3619" width="0" style="162" hidden="1" customWidth="1"/>
    <col min="3620" max="3846" width="9.140625" style="162"/>
    <col min="3847" max="3847" width="1.7109375" style="162" customWidth="1"/>
    <col min="3848" max="3848" width="6.140625" style="162" customWidth="1"/>
    <col min="3849" max="3849" width="27.140625" style="162" customWidth="1"/>
    <col min="3850" max="3850" width="51.140625" style="162" customWidth="1"/>
    <col min="3851" max="3851" width="69.28515625" style="162" customWidth="1"/>
    <col min="3852" max="3852" width="40.7109375" style="162" customWidth="1"/>
    <col min="3853" max="3853" width="8.7109375" style="162" customWidth="1"/>
    <col min="3854" max="3854" width="32.140625" style="162" customWidth="1"/>
    <col min="3855" max="3855" width="35.7109375" style="162" customWidth="1"/>
    <col min="3856" max="3856" width="8.7109375" style="162" customWidth="1"/>
    <col min="3857" max="3857" width="28.140625" style="162" customWidth="1"/>
    <col min="3858" max="3858" width="27.5703125" style="162" customWidth="1"/>
    <col min="3859" max="3859" width="41.42578125" style="162" customWidth="1"/>
    <col min="3860" max="3860" width="39.140625" style="162" customWidth="1"/>
    <col min="3861" max="3861" width="27" style="162" customWidth="1"/>
    <col min="3862" max="3862" width="36.140625" style="162" customWidth="1"/>
    <col min="3863" max="3863" width="31.28515625" style="162" customWidth="1"/>
    <col min="3864" max="3864" width="44.140625" style="162" customWidth="1"/>
    <col min="3865" max="3865" width="42.5703125" style="162" customWidth="1"/>
    <col min="3866" max="3866" width="27.140625" style="162" customWidth="1"/>
    <col min="3867" max="3867" width="33.28515625" style="162" customWidth="1"/>
    <col min="3868" max="3868" width="27" style="162" customWidth="1"/>
    <col min="3869" max="3869" width="38.5703125" style="162" customWidth="1"/>
    <col min="3870" max="3870" width="23.85546875" style="162" customWidth="1"/>
    <col min="3871" max="3871" width="10.42578125" style="162" customWidth="1"/>
    <col min="3872" max="3872" width="10.28515625" style="162" customWidth="1"/>
    <col min="3873" max="3873" width="7.28515625" style="162" customWidth="1"/>
    <col min="3874" max="3875" width="0" style="162" hidden="1" customWidth="1"/>
    <col min="3876" max="4102" width="9.140625" style="162"/>
    <col min="4103" max="4103" width="1.7109375" style="162" customWidth="1"/>
    <col min="4104" max="4104" width="6.140625" style="162" customWidth="1"/>
    <col min="4105" max="4105" width="27.140625" style="162" customWidth="1"/>
    <col min="4106" max="4106" width="51.140625" style="162" customWidth="1"/>
    <col min="4107" max="4107" width="69.28515625" style="162" customWidth="1"/>
    <col min="4108" max="4108" width="40.7109375" style="162" customWidth="1"/>
    <col min="4109" max="4109" width="8.7109375" style="162" customWidth="1"/>
    <col min="4110" max="4110" width="32.140625" style="162" customWidth="1"/>
    <col min="4111" max="4111" width="35.7109375" style="162" customWidth="1"/>
    <col min="4112" max="4112" width="8.7109375" style="162" customWidth="1"/>
    <col min="4113" max="4113" width="28.140625" style="162" customWidth="1"/>
    <col min="4114" max="4114" width="27.5703125" style="162" customWidth="1"/>
    <col min="4115" max="4115" width="41.42578125" style="162" customWidth="1"/>
    <col min="4116" max="4116" width="39.140625" style="162" customWidth="1"/>
    <col min="4117" max="4117" width="27" style="162" customWidth="1"/>
    <col min="4118" max="4118" width="36.140625" style="162" customWidth="1"/>
    <col min="4119" max="4119" width="31.28515625" style="162" customWidth="1"/>
    <col min="4120" max="4120" width="44.140625" style="162" customWidth="1"/>
    <col min="4121" max="4121" width="42.5703125" style="162" customWidth="1"/>
    <col min="4122" max="4122" width="27.140625" style="162" customWidth="1"/>
    <col min="4123" max="4123" width="33.28515625" style="162" customWidth="1"/>
    <col min="4124" max="4124" width="27" style="162" customWidth="1"/>
    <col min="4125" max="4125" width="38.5703125" style="162" customWidth="1"/>
    <col min="4126" max="4126" width="23.85546875" style="162" customWidth="1"/>
    <col min="4127" max="4127" width="10.42578125" style="162" customWidth="1"/>
    <col min="4128" max="4128" width="10.28515625" style="162" customWidth="1"/>
    <col min="4129" max="4129" width="7.28515625" style="162" customWidth="1"/>
    <col min="4130" max="4131" width="0" style="162" hidden="1" customWidth="1"/>
    <col min="4132" max="4358" width="9.140625" style="162"/>
    <col min="4359" max="4359" width="1.7109375" style="162" customWidth="1"/>
    <col min="4360" max="4360" width="6.140625" style="162" customWidth="1"/>
    <col min="4361" max="4361" width="27.140625" style="162" customWidth="1"/>
    <col min="4362" max="4362" width="51.140625" style="162" customWidth="1"/>
    <col min="4363" max="4363" width="69.28515625" style="162" customWidth="1"/>
    <col min="4364" max="4364" width="40.7109375" style="162" customWidth="1"/>
    <col min="4365" max="4365" width="8.7109375" style="162" customWidth="1"/>
    <col min="4366" max="4366" width="32.140625" style="162" customWidth="1"/>
    <col min="4367" max="4367" width="35.7109375" style="162" customWidth="1"/>
    <col min="4368" max="4368" width="8.7109375" style="162" customWidth="1"/>
    <col min="4369" max="4369" width="28.140625" style="162" customWidth="1"/>
    <col min="4370" max="4370" width="27.5703125" style="162" customWidth="1"/>
    <col min="4371" max="4371" width="41.42578125" style="162" customWidth="1"/>
    <col min="4372" max="4372" width="39.140625" style="162" customWidth="1"/>
    <col min="4373" max="4373" width="27" style="162" customWidth="1"/>
    <col min="4374" max="4374" width="36.140625" style="162" customWidth="1"/>
    <col min="4375" max="4375" width="31.28515625" style="162" customWidth="1"/>
    <col min="4376" max="4376" width="44.140625" style="162" customWidth="1"/>
    <col min="4377" max="4377" width="42.5703125" style="162" customWidth="1"/>
    <col min="4378" max="4378" width="27.140625" style="162" customWidth="1"/>
    <col min="4379" max="4379" width="33.28515625" style="162" customWidth="1"/>
    <col min="4380" max="4380" width="27" style="162" customWidth="1"/>
    <col min="4381" max="4381" width="38.5703125" style="162" customWidth="1"/>
    <col min="4382" max="4382" width="23.85546875" style="162" customWidth="1"/>
    <col min="4383" max="4383" width="10.42578125" style="162" customWidth="1"/>
    <col min="4384" max="4384" width="10.28515625" style="162" customWidth="1"/>
    <col min="4385" max="4385" width="7.28515625" style="162" customWidth="1"/>
    <col min="4386" max="4387" width="0" style="162" hidden="1" customWidth="1"/>
    <col min="4388" max="4614" width="9.140625" style="162"/>
    <col min="4615" max="4615" width="1.7109375" style="162" customWidth="1"/>
    <col min="4616" max="4616" width="6.140625" style="162" customWidth="1"/>
    <col min="4617" max="4617" width="27.140625" style="162" customWidth="1"/>
    <col min="4618" max="4618" width="51.140625" style="162" customWidth="1"/>
    <col min="4619" max="4619" width="69.28515625" style="162" customWidth="1"/>
    <col min="4620" max="4620" width="40.7109375" style="162" customWidth="1"/>
    <col min="4621" max="4621" width="8.7109375" style="162" customWidth="1"/>
    <col min="4622" max="4622" width="32.140625" style="162" customWidth="1"/>
    <col min="4623" max="4623" width="35.7109375" style="162" customWidth="1"/>
    <col min="4624" max="4624" width="8.7109375" style="162" customWidth="1"/>
    <col min="4625" max="4625" width="28.140625" style="162" customWidth="1"/>
    <col min="4626" max="4626" width="27.5703125" style="162" customWidth="1"/>
    <col min="4627" max="4627" width="41.42578125" style="162" customWidth="1"/>
    <col min="4628" max="4628" width="39.140625" style="162" customWidth="1"/>
    <col min="4629" max="4629" width="27" style="162" customWidth="1"/>
    <col min="4630" max="4630" width="36.140625" style="162" customWidth="1"/>
    <col min="4631" max="4631" width="31.28515625" style="162" customWidth="1"/>
    <col min="4632" max="4632" width="44.140625" style="162" customWidth="1"/>
    <col min="4633" max="4633" width="42.5703125" style="162" customWidth="1"/>
    <col min="4634" max="4634" width="27.140625" style="162" customWidth="1"/>
    <col min="4635" max="4635" width="33.28515625" style="162" customWidth="1"/>
    <col min="4636" max="4636" width="27" style="162" customWidth="1"/>
    <col min="4637" max="4637" width="38.5703125" style="162" customWidth="1"/>
    <col min="4638" max="4638" width="23.85546875" style="162" customWidth="1"/>
    <col min="4639" max="4639" width="10.42578125" style="162" customWidth="1"/>
    <col min="4640" max="4640" width="10.28515625" style="162" customWidth="1"/>
    <col min="4641" max="4641" width="7.28515625" style="162" customWidth="1"/>
    <col min="4642" max="4643" width="0" style="162" hidden="1" customWidth="1"/>
    <col min="4644" max="4870" width="9.140625" style="162"/>
    <col min="4871" max="4871" width="1.7109375" style="162" customWidth="1"/>
    <col min="4872" max="4872" width="6.140625" style="162" customWidth="1"/>
    <col min="4873" max="4873" width="27.140625" style="162" customWidth="1"/>
    <col min="4874" max="4874" width="51.140625" style="162" customWidth="1"/>
    <col min="4875" max="4875" width="69.28515625" style="162" customWidth="1"/>
    <col min="4876" max="4876" width="40.7109375" style="162" customWidth="1"/>
    <col min="4877" max="4877" width="8.7109375" style="162" customWidth="1"/>
    <col min="4878" max="4878" width="32.140625" style="162" customWidth="1"/>
    <col min="4879" max="4879" width="35.7109375" style="162" customWidth="1"/>
    <col min="4880" max="4880" width="8.7109375" style="162" customWidth="1"/>
    <col min="4881" max="4881" width="28.140625" style="162" customWidth="1"/>
    <col min="4882" max="4882" width="27.5703125" style="162" customWidth="1"/>
    <col min="4883" max="4883" width="41.42578125" style="162" customWidth="1"/>
    <col min="4884" max="4884" width="39.140625" style="162" customWidth="1"/>
    <col min="4885" max="4885" width="27" style="162" customWidth="1"/>
    <col min="4886" max="4886" width="36.140625" style="162" customWidth="1"/>
    <col min="4887" max="4887" width="31.28515625" style="162" customWidth="1"/>
    <col min="4888" max="4888" width="44.140625" style="162" customWidth="1"/>
    <col min="4889" max="4889" width="42.5703125" style="162" customWidth="1"/>
    <col min="4890" max="4890" width="27.140625" style="162" customWidth="1"/>
    <col min="4891" max="4891" width="33.28515625" style="162" customWidth="1"/>
    <col min="4892" max="4892" width="27" style="162" customWidth="1"/>
    <col min="4893" max="4893" width="38.5703125" style="162" customWidth="1"/>
    <col min="4894" max="4894" width="23.85546875" style="162" customWidth="1"/>
    <col min="4895" max="4895" width="10.42578125" style="162" customWidth="1"/>
    <col min="4896" max="4896" width="10.28515625" style="162" customWidth="1"/>
    <col min="4897" max="4897" width="7.28515625" style="162" customWidth="1"/>
    <col min="4898" max="4899" width="0" style="162" hidden="1" customWidth="1"/>
    <col min="4900" max="5126" width="9.140625" style="162"/>
    <col min="5127" max="5127" width="1.7109375" style="162" customWidth="1"/>
    <col min="5128" max="5128" width="6.140625" style="162" customWidth="1"/>
    <col min="5129" max="5129" width="27.140625" style="162" customWidth="1"/>
    <col min="5130" max="5130" width="51.140625" style="162" customWidth="1"/>
    <col min="5131" max="5131" width="69.28515625" style="162" customWidth="1"/>
    <col min="5132" max="5132" width="40.7109375" style="162" customWidth="1"/>
    <col min="5133" max="5133" width="8.7109375" style="162" customWidth="1"/>
    <col min="5134" max="5134" width="32.140625" style="162" customWidth="1"/>
    <col min="5135" max="5135" width="35.7109375" style="162" customWidth="1"/>
    <col min="5136" max="5136" width="8.7109375" style="162" customWidth="1"/>
    <col min="5137" max="5137" width="28.140625" style="162" customWidth="1"/>
    <col min="5138" max="5138" width="27.5703125" style="162" customWidth="1"/>
    <col min="5139" max="5139" width="41.42578125" style="162" customWidth="1"/>
    <col min="5140" max="5140" width="39.140625" style="162" customWidth="1"/>
    <col min="5141" max="5141" width="27" style="162" customWidth="1"/>
    <col min="5142" max="5142" width="36.140625" style="162" customWidth="1"/>
    <col min="5143" max="5143" width="31.28515625" style="162" customWidth="1"/>
    <col min="5144" max="5144" width="44.140625" style="162" customWidth="1"/>
    <col min="5145" max="5145" width="42.5703125" style="162" customWidth="1"/>
    <col min="5146" max="5146" width="27.140625" style="162" customWidth="1"/>
    <col min="5147" max="5147" width="33.28515625" style="162" customWidth="1"/>
    <col min="5148" max="5148" width="27" style="162" customWidth="1"/>
    <col min="5149" max="5149" width="38.5703125" style="162" customWidth="1"/>
    <col min="5150" max="5150" width="23.85546875" style="162" customWidth="1"/>
    <col min="5151" max="5151" width="10.42578125" style="162" customWidth="1"/>
    <col min="5152" max="5152" width="10.28515625" style="162" customWidth="1"/>
    <col min="5153" max="5153" width="7.28515625" style="162" customWidth="1"/>
    <col min="5154" max="5155" width="0" style="162" hidden="1" customWidth="1"/>
    <col min="5156" max="5382" width="9.140625" style="162"/>
    <col min="5383" max="5383" width="1.7109375" style="162" customWidth="1"/>
    <col min="5384" max="5384" width="6.140625" style="162" customWidth="1"/>
    <col min="5385" max="5385" width="27.140625" style="162" customWidth="1"/>
    <col min="5386" max="5386" width="51.140625" style="162" customWidth="1"/>
    <col min="5387" max="5387" width="69.28515625" style="162" customWidth="1"/>
    <col min="5388" max="5388" width="40.7109375" style="162" customWidth="1"/>
    <col min="5389" max="5389" width="8.7109375" style="162" customWidth="1"/>
    <col min="5390" max="5390" width="32.140625" style="162" customWidth="1"/>
    <col min="5391" max="5391" width="35.7109375" style="162" customWidth="1"/>
    <col min="5392" max="5392" width="8.7109375" style="162" customWidth="1"/>
    <col min="5393" max="5393" width="28.140625" style="162" customWidth="1"/>
    <col min="5394" max="5394" width="27.5703125" style="162" customWidth="1"/>
    <col min="5395" max="5395" width="41.42578125" style="162" customWidth="1"/>
    <col min="5396" max="5396" width="39.140625" style="162" customWidth="1"/>
    <col min="5397" max="5397" width="27" style="162" customWidth="1"/>
    <col min="5398" max="5398" width="36.140625" style="162" customWidth="1"/>
    <col min="5399" max="5399" width="31.28515625" style="162" customWidth="1"/>
    <col min="5400" max="5400" width="44.140625" style="162" customWidth="1"/>
    <col min="5401" max="5401" width="42.5703125" style="162" customWidth="1"/>
    <col min="5402" max="5402" width="27.140625" style="162" customWidth="1"/>
    <col min="5403" max="5403" width="33.28515625" style="162" customWidth="1"/>
    <col min="5404" max="5404" width="27" style="162" customWidth="1"/>
    <col min="5405" max="5405" width="38.5703125" style="162" customWidth="1"/>
    <col min="5406" max="5406" width="23.85546875" style="162" customWidth="1"/>
    <col min="5407" max="5407" width="10.42578125" style="162" customWidth="1"/>
    <col min="5408" max="5408" width="10.28515625" style="162" customWidth="1"/>
    <col min="5409" max="5409" width="7.28515625" style="162" customWidth="1"/>
    <col min="5410" max="5411" width="0" style="162" hidden="1" customWidth="1"/>
    <col min="5412" max="5638" width="9.140625" style="162"/>
    <col min="5639" max="5639" width="1.7109375" style="162" customWidth="1"/>
    <col min="5640" max="5640" width="6.140625" style="162" customWidth="1"/>
    <col min="5641" max="5641" width="27.140625" style="162" customWidth="1"/>
    <col min="5642" max="5642" width="51.140625" style="162" customWidth="1"/>
    <col min="5643" max="5643" width="69.28515625" style="162" customWidth="1"/>
    <col min="5644" max="5644" width="40.7109375" style="162" customWidth="1"/>
    <col min="5645" max="5645" width="8.7109375" style="162" customWidth="1"/>
    <col min="5646" max="5646" width="32.140625" style="162" customWidth="1"/>
    <col min="5647" max="5647" width="35.7109375" style="162" customWidth="1"/>
    <col min="5648" max="5648" width="8.7109375" style="162" customWidth="1"/>
    <col min="5649" max="5649" width="28.140625" style="162" customWidth="1"/>
    <col min="5650" max="5650" width="27.5703125" style="162" customWidth="1"/>
    <col min="5651" max="5651" width="41.42578125" style="162" customWidth="1"/>
    <col min="5652" max="5652" width="39.140625" style="162" customWidth="1"/>
    <col min="5653" max="5653" width="27" style="162" customWidth="1"/>
    <col min="5654" max="5654" width="36.140625" style="162" customWidth="1"/>
    <col min="5655" max="5655" width="31.28515625" style="162" customWidth="1"/>
    <col min="5656" max="5656" width="44.140625" style="162" customWidth="1"/>
    <col min="5657" max="5657" width="42.5703125" style="162" customWidth="1"/>
    <col min="5658" max="5658" width="27.140625" style="162" customWidth="1"/>
    <col min="5659" max="5659" width="33.28515625" style="162" customWidth="1"/>
    <col min="5660" max="5660" width="27" style="162" customWidth="1"/>
    <col min="5661" max="5661" width="38.5703125" style="162" customWidth="1"/>
    <col min="5662" max="5662" width="23.85546875" style="162" customWidth="1"/>
    <col min="5663" max="5663" width="10.42578125" style="162" customWidth="1"/>
    <col min="5664" max="5664" width="10.28515625" style="162" customWidth="1"/>
    <col min="5665" max="5665" width="7.28515625" style="162" customWidth="1"/>
    <col min="5666" max="5667" width="0" style="162" hidden="1" customWidth="1"/>
    <col min="5668" max="5894" width="9.140625" style="162"/>
    <col min="5895" max="5895" width="1.7109375" style="162" customWidth="1"/>
    <col min="5896" max="5896" width="6.140625" style="162" customWidth="1"/>
    <col min="5897" max="5897" width="27.140625" style="162" customWidth="1"/>
    <col min="5898" max="5898" width="51.140625" style="162" customWidth="1"/>
    <col min="5899" max="5899" width="69.28515625" style="162" customWidth="1"/>
    <col min="5900" max="5900" width="40.7109375" style="162" customWidth="1"/>
    <col min="5901" max="5901" width="8.7109375" style="162" customWidth="1"/>
    <col min="5902" max="5902" width="32.140625" style="162" customWidth="1"/>
    <col min="5903" max="5903" width="35.7109375" style="162" customWidth="1"/>
    <col min="5904" max="5904" width="8.7109375" style="162" customWidth="1"/>
    <col min="5905" max="5905" width="28.140625" style="162" customWidth="1"/>
    <col min="5906" max="5906" width="27.5703125" style="162" customWidth="1"/>
    <col min="5907" max="5907" width="41.42578125" style="162" customWidth="1"/>
    <col min="5908" max="5908" width="39.140625" style="162" customWidth="1"/>
    <col min="5909" max="5909" width="27" style="162" customWidth="1"/>
    <col min="5910" max="5910" width="36.140625" style="162" customWidth="1"/>
    <col min="5911" max="5911" width="31.28515625" style="162" customWidth="1"/>
    <col min="5912" max="5912" width="44.140625" style="162" customWidth="1"/>
    <col min="5913" max="5913" width="42.5703125" style="162" customWidth="1"/>
    <col min="5914" max="5914" width="27.140625" style="162" customWidth="1"/>
    <col min="5915" max="5915" width="33.28515625" style="162" customWidth="1"/>
    <col min="5916" max="5916" width="27" style="162" customWidth="1"/>
    <col min="5917" max="5917" width="38.5703125" style="162" customWidth="1"/>
    <col min="5918" max="5918" width="23.85546875" style="162" customWidth="1"/>
    <col min="5919" max="5919" width="10.42578125" style="162" customWidth="1"/>
    <col min="5920" max="5920" width="10.28515625" style="162" customWidth="1"/>
    <col min="5921" max="5921" width="7.28515625" style="162" customWidth="1"/>
    <col min="5922" max="5923" width="0" style="162" hidden="1" customWidth="1"/>
    <col min="5924" max="6150" width="9.140625" style="162"/>
    <col min="6151" max="6151" width="1.7109375" style="162" customWidth="1"/>
    <col min="6152" max="6152" width="6.140625" style="162" customWidth="1"/>
    <col min="6153" max="6153" width="27.140625" style="162" customWidth="1"/>
    <col min="6154" max="6154" width="51.140625" style="162" customWidth="1"/>
    <col min="6155" max="6155" width="69.28515625" style="162" customWidth="1"/>
    <col min="6156" max="6156" width="40.7109375" style="162" customWidth="1"/>
    <col min="6157" max="6157" width="8.7109375" style="162" customWidth="1"/>
    <col min="6158" max="6158" width="32.140625" style="162" customWidth="1"/>
    <col min="6159" max="6159" width="35.7109375" style="162" customWidth="1"/>
    <col min="6160" max="6160" width="8.7109375" style="162" customWidth="1"/>
    <col min="6161" max="6161" width="28.140625" style="162" customWidth="1"/>
    <col min="6162" max="6162" width="27.5703125" style="162" customWidth="1"/>
    <col min="6163" max="6163" width="41.42578125" style="162" customWidth="1"/>
    <col min="6164" max="6164" width="39.140625" style="162" customWidth="1"/>
    <col min="6165" max="6165" width="27" style="162" customWidth="1"/>
    <col min="6166" max="6166" width="36.140625" style="162" customWidth="1"/>
    <col min="6167" max="6167" width="31.28515625" style="162" customWidth="1"/>
    <col min="6168" max="6168" width="44.140625" style="162" customWidth="1"/>
    <col min="6169" max="6169" width="42.5703125" style="162" customWidth="1"/>
    <col min="6170" max="6170" width="27.140625" style="162" customWidth="1"/>
    <col min="6171" max="6171" width="33.28515625" style="162" customWidth="1"/>
    <col min="6172" max="6172" width="27" style="162" customWidth="1"/>
    <col min="6173" max="6173" width="38.5703125" style="162" customWidth="1"/>
    <col min="6174" max="6174" width="23.85546875" style="162" customWidth="1"/>
    <col min="6175" max="6175" width="10.42578125" style="162" customWidth="1"/>
    <col min="6176" max="6176" width="10.28515625" style="162" customWidth="1"/>
    <col min="6177" max="6177" width="7.28515625" style="162" customWidth="1"/>
    <col min="6178" max="6179" width="0" style="162" hidden="1" customWidth="1"/>
    <col min="6180" max="6406" width="9.140625" style="162"/>
    <col min="6407" max="6407" width="1.7109375" style="162" customWidth="1"/>
    <col min="6408" max="6408" width="6.140625" style="162" customWidth="1"/>
    <col min="6409" max="6409" width="27.140625" style="162" customWidth="1"/>
    <col min="6410" max="6410" width="51.140625" style="162" customWidth="1"/>
    <col min="6411" max="6411" width="69.28515625" style="162" customWidth="1"/>
    <col min="6412" max="6412" width="40.7109375" style="162" customWidth="1"/>
    <col min="6413" max="6413" width="8.7109375" style="162" customWidth="1"/>
    <col min="6414" max="6414" width="32.140625" style="162" customWidth="1"/>
    <col min="6415" max="6415" width="35.7109375" style="162" customWidth="1"/>
    <col min="6416" max="6416" width="8.7109375" style="162" customWidth="1"/>
    <col min="6417" max="6417" width="28.140625" style="162" customWidth="1"/>
    <col min="6418" max="6418" width="27.5703125" style="162" customWidth="1"/>
    <col min="6419" max="6419" width="41.42578125" style="162" customWidth="1"/>
    <col min="6420" max="6420" width="39.140625" style="162" customWidth="1"/>
    <col min="6421" max="6421" width="27" style="162" customWidth="1"/>
    <col min="6422" max="6422" width="36.140625" style="162" customWidth="1"/>
    <col min="6423" max="6423" width="31.28515625" style="162" customWidth="1"/>
    <col min="6424" max="6424" width="44.140625" style="162" customWidth="1"/>
    <col min="6425" max="6425" width="42.5703125" style="162" customWidth="1"/>
    <col min="6426" max="6426" width="27.140625" style="162" customWidth="1"/>
    <col min="6427" max="6427" width="33.28515625" style="162" customWidth="1"/>
    <col min="6428" max="6428" width="27" style="162" customWidth="1"/>
    <col min="6429" max="6429" width="38.5703125" style="162" customWidth="1"/>
    <col min="6430" max="6430" width="23.85546875" style="162" customWidth="1"/>
    <col min="6431" max="6431" width="10.42578125" style="162" customWidth="1"/>
    <col min="6432" max="6432" width="10.28515625" style="162" customWidth="1"/>
    <col min="6433" max="6433" width="7.28515625" style="162" customWidth="1"/>
    <col min="6434" max="6435" width="0" style="162" hidden="1" customWidth="1"/>
    <col min="6436" max="6662" width="9.140625" style="162"/>
    <col min="6663" max="6663" width="1.7109375" style="162" customWidth="1"/>
    <col min="6664" max="6664" width="6.140625" style="162" customWidth="1"/>
    <col min="6665" max="6665" width="27.140625" style="162" customWidth="1"/>
    <col min="6666" max="6666" width="51.140625" style="162" customWidth="1"/>
    <col min="6667" max="6667" width="69.28515625" style="162" customWidth="1"/>
    <col min="6668" max="6668" width="40.7109375" style="162" customWidth="1"/>
    <col min="6669" max="6669" width="8.7109375" style="162" customWidth="1"/>
    <col min="6670" max="6670" width="32.140625" style="162" customWidth="1"/>
    <col min="6671" max="6671" width="35.7109375" style="162" customWidth="1"/>
    <col min="6672" max="6672" width="8.7109375" style="162" customWidth="1"/>
    <col min="6673" max="6673" width="28.140625" style="162" customWidth="1"/>
    <col min="6674" max="6674" width="27.5703125" style="162" customWidth="1"/>
    <col min="6675" max="6675" width="41.42578125" style="162" customWidth="1"/>
    <col min="6676" max="6676" width="39.140625" style="162" customWidth="1"/>
    <col min="6677" max="6677" width="27" style="162" customWidth="1"/>
    <col min="6678" max="6678" width="36.140625" style="162" customWidth="1"/>
    <col min="6679" max="6679" width="31.28515625" style="162" customWidth="1"/>
    <col min="6680" max="6680" width="44.140625" style="162" customWidth="1"/>
    <col min="6681" max="6681" width="42.5703125" style="162" customWidth="1"/>
    <col min="6682" max="6682" width="27.140625" style="162" customWidth="1"/>
    <col min="6683" max="6683" width="33.28515625" style="162" customWidth="1"/>
    <col min="6684" max="6684" width="27" style="162" customWidth="1"/>
    <col min="6685" max="6685" width="38.5703125" style="162" customWidth="1"/>
    <col min="6686" max="6686" width="23.85546875" style="162" customWidth="1"/>
    <col min="6687" max="6687" width="10.42578125" style="162" customWidth="1"/>
    <col min="6688" max="6688" width="10.28515625" style="162" customWidth="1"/>
    <col min="6689" max="6689" width="7.28515625" style="162" customWidth="1"/>
    <col min="6690" max="6691" width="0" style="162" hidden="1" customWidth="1"/>
    <col min="6692" max="6918" width="9.140625" style="162"/>
    <col min="6919" max="6919" width="1.7109375" style="162" customWidth="1"/>
    <col min="6920" max="6920" width="6.140625" style="162" customWidth="1"/>
    <col min="6921" max="6921" width="27.140625" style="162" customWidth="1"/>
    <col min="6922" max="6922" width="51.140625" style="162" customWidth="1"/>
    <col min="6923" max="6923" width="69.28515625" style="162" customWidth="1"/>
    <col min="6924" max="6924" width="40.7109375" style="162" customWidth="1"/>
    <col min="6925" max="6925" width="8.7109375" style="162" customWidth="1"/>
    <col min="6926" max="6926" width="32.140625" style="162" customWidth="1"/>
    <col min="6927" max="6927" width="35.7109375" style="162" customWidth="1"/>
    <col min="6928" max="6928" width="8.7109375" style="162" customWidth="1"/>
    <col min="6929" max="6929" width="28.140625" style="162" customWidth="1"/>
    <col min="6930" max="6930" width="27.5703125" style="162" customWidth="1"/>
    <col min="6931" max="6931" width="41.42578125" style="162" customWidth="1"/>
    <col min="6932" max="6932" width="39.140625" style="162" customWidth="1"/>
    <col min="6933" max="6933" width="27" style="162" customWidth="1"/>
    <col min="6934" max="6934" width="36.140625" style="162" customWidth="1"/>
    <col min="6935" max="6935" width="31.28515625" style="162" customWidth="1"/>
    <col min="6936" max="6936" width="44.140625" style="162" customWidth="1"/>
    <col min="6937" max="6937" width="42.5703125" style="162" customWidth="1"/>
    <col min="6938" max="6938" width="27.140625" style="162" customWidth="1"/>
    <col min="6939" max="6939" width="33.28515625" style="162" customWidth="1"/>
    <col min="6940" max="6940" width="27" style="162" customWidth="1"/>
    <col min="6941" max="6941" width="38.5703125" style="162" customWidth="1"/>
    <col min="6942" max="6942" width="23.85546875" style="162" customWidth="1"/>
    <col min="6943" max="6943" width="10.42578125" style="162" customWidth="1"/>
    <col min="6944" max="6944" width="10.28515625" style="162" customWidth="1"/>
    <col min="6945" max="6945" width="7.28515625" style="162" customWidth="1"/>
    <col min="6946" max="6947" width="0" style="162" hidden="1" customWidth="1"/>
    <col min="6948" max="7174" width="9.140625" style="162"/>
    <col min="7175" max="7175" width="1.7109375" style="162" customWidth="1"/>
    <col min="7176" max="7176" width="6.140625" style="162" customWidth="1"/>
    <col min="7177" max="7177" width="27.140625" style="162" customWidth="1"/>
    <col min="7178" max="7178" width="51.140625" style="162" customWidth="1"/>
    <col min="7179" max="7179" width="69.28515625" style="162" customWidth="1"/>
    <col min="7180" max="7180" width="40.7109375" style="162" customWidth="1"/>
    <col min="7181" max="7181" width="8.7109375" style="162" customWidth="1"/>
    <col min="7182" max="7182" width="32.140625" style="162" customWidth="1"/>
    <col min="7183" max="7183" width="35.7109375" style="162" customWidth="1"/>
    <col min="7184" max="7184" width="8.7109375" style="162" customWidth="1"/>
    <col min="7185" max="7185" width="28.140625" style="162" customWidth="1"/>
    <col min="7186" max="7186" width="27.5703125" style="162" customWidth="1"/>
    <col min="7187" max="7187" width="41.42578125" style="162" customWidth="1"/>
    <col min="7188" max="7188" width="39.140625" style="162" customWidth="1"/>
    <col min="7189" max="7189" width="27" style="162" customWidth="1"/>
    <col min="7190" max="7190" width="36.140625" style="162" customWidth="1"/>
    <col min="7191" max="7191" width="31.28515625" style="162" customWidth="1"/>
    <col min="7192" max="7192" width="44.140625" style="162" customWidth="1"/>
    <col min="7193" max="7193" width="42.5703125" style="162" customWidth="1"/>
    <col min="7194" max="7194" width="27.140625" style="162" customWidth="1"/>
    <col min="7195" max="7195" width="33.28515625" style="162" customWidth="1"/>
    <col min="7196" max="7196" width="27" style="162" customWidth="1"/>
    <col min="7197" max="7197" width="38.5703125" style="162" customWidth="1"/>
    <col min="7198" max="7198" width="23.85546875" style="162" customWidth="1"/>
    <col min="7199" max="7199" width="10.42578125" style="162" customWidth="1"/>
    <col min="7200" max="7200" width="10.28515625" style="162" customWidth="1"/>
    <col min="7201" max="7201" width="7.28515625" style="162" customWidth="1"/>
    <col min="7202" max="7203" width="0" style="162" hidden="1" customWidth="1"/>
    <col min="7204" max="7430" width="9.140625" style="162"/>
    <col min="7431" max="7431" width="1.7109375" style="162" customWidth="1"/>
    <col min="7432" max="7432" width="6.140625" style="162" customWidth="1"/>
    <col min="7433" max="7433" width="27.140625" style="162" customWidth="1"/>
    <col min="7434" max="7434" width="51.140625" style="162" customWidth="1"/>
    <col min="7435" max="7435" width="69.28515625" style="162" customWidth="1"/>
    <col min="7436" max="7436" width="40.7109375" style="162" customWidth="1"/>
    <col min="7437" max="7437" width="8.7109375" style="162" customWidth="1"/>
    <col min="7438" max="7438" width="32.140625" style="162" customWidth="1"/>
    <col min="7439" max="7439" width="35.7109375" style="162" customWidth="1"/>
    <col min="7440" max="7440" width="8.7109375" style="162" customWidth="1"/>
    <col min="7441" max="7441" width="28.140625" style="162" customWidth="1"/>
    <col min="7442" max="7442" width="27.5703125" style="162" customWidth="1"/>
    <col min="7443" max="7443" width="41.42578125" style="162" customWidth="1"/>
    <col min="7444" max="7444" width="39.140625" style="162" customWidth="1"/>
    <col min="7445" max="7445" width="27" style="162" customWidth="1"/>
    <col min="7446" max="7446" width="36.140625" style="162" customWidth="1"/>
    <col min="7447" max="7447" width="31.28515625" style="162" customWidth="1"/>
    <col min="7448" max="7448" width="44.140625" style="162" customWidth="1"/>
    <col min="7449" max="7449" width="42.5703125" style="162" customWidth="1"/>
    <col min="7450" max="7450" width="27.140625" style="162" customWidth="1"/>
    <col min="7451" max="7451" width="33.28515625" style="162" customWidth="1"/>
    <col min="7452" max="7452" width="27" style="162" customWidth="1"/>
    <col min="7453" max="7453" width="38.5703125" style="162" customWidth="1"/>
    <col min="7454" max="7454" width="23.85546875" style="162" customWidth="1"/>
    <col min="7455" max="7455" width="10.42578125" style="162" customWidth="1"/>
    <col min="7456" max="7456" width="10.28515625" style="162" customWidth="1"/>
    <col min="7457" max="7457" width="7.28515625" style="162" customWidth="1"/>
    <col min="7458" max="7459" width="0" style="162" hidden="1" customWidth="1"/>
    <col min="7460" max="7686" width="9.140625" style="162"/>
    <col min="7687" max="7687" width="1.7109375" style="162" customWidth="1"/>
    <col min="7688" max="7688" width="6.140625" style="162" customWidth="1"/>
    <col min="7689" max="7689" width="27.140625" style="162" customWidth="1"/>
    <col min="7690" max="7690" width="51.140625" style="162" customWidth="1"/>
    <col min="7691" max="7691" width="69.28515625" style="162" customWidth="1"/>
    <col min="7692" max="7692" width="40.7109375" style="162" customWidth="1"/>
    <col min="7693" max="7693" width="8.7109375" style="162" customWidth="1"/>
    <col min="7694" max="7694" width="32.140625" style="162" customWidth="1"/>
    <col min="7695" max="7695" width="35.7109375" style="162" customWidth="1"/>
    <col min="7696" max="7696" width="8.7109375" style="162" customWidth="1"/>
    <col min="7697" max="7697" width="28.140625" style="162" customWidth="1"/>
    <col min="7698" max="7698" width="27.5703125" style="162" customWidth="1"/>
    <col min="7699" max="7699" width="41.42578125" style="162" customWidth="1"/>
    <col min="7700" max="7700" width="39.140625" style="162" customWidth="1"/>
    <col min="7701" max="7701" width="27" style="162" customWidth="1"/>
    <col min="7702" max="7702" width="36.140625" style="162" customWidth="1"/>
    <col min="7703" max="7703" width="31.28515625" style="162" customWidth="1"/>
    <col min="7704" max="7704" width="44.140625" style="162" customWidth="1"/>
    <col min="7705" max="7705" width="42.5703125" style="162" customWidth="1"/>
    <col min="7706" max="7706" width="27.140625" style="162" customWidth="1"/>
    <col min="7707" max="7707" width="33.28515625" style="162" customWidth="1"/>
    <col min="7708" max="7708" width="27" style="162" customWidth="1"/>
    <col min="7709" max="7709" width="38.5703125" style="162" customWidth="1"/>
    <col min="7710" max="7710" width="23.85546875" style="162" customWidth="1"/>
    <col min="7711" max="7711" width="10.42578125" style="162" customWidth="1"/>
    <col min="7712" max="7712" width="10.28515625" style="162" customWidth="1"/>
    <col min="7713" max="7713" width="7.28515625" style="162" customWidth="1"/>
    <col min="7714" max="7715" width="0" style="162" hidden="1" customWidth="1"/>
    <col min="7716" max="7942" width="9.140625" style="162"/>
    <col min="7943" max="7943" width="1.7109375" style="162" customWidth="1"/>
    <col min="7944" max="7944" width="6.140625" style="162" customWidth="1"/>
    <col min="7945" max="7945" width="27.140625" style="162" customWidth="1"/>
    <col min="7946" max="7946" width="51.140625" style="162" customWidth="1"/>
    <col min="7947" max="7947" width="69.28515625" style="162" customWidth="1"/>
    <col min="7948" max="7948" width="40.7109375" style="162" customWidth="1"/>
    <col min="7949" max="7949" width="8.7109375" style="162" customWidth="1"/>
    <col min="7950" max="7950" width="32.140625" style="162" customWidth="1"/>
    <col min="7951" max="7951" width="35.7109375" style="162" customWidth="1"/>
    <col min="7952" max="7952" width="8.7109375" style="162" customWidth="1"/>
    <col min="7953" max="7953" width="28.140625" style="162" customWidth="1"/>
    <col min="7954" max="7954" width="27.5703125" style="162" customWidth="1"/>
    <col min="7955" max="7955" width="41.42578125" style="162" customWidth="1"/>
    <col min="7956" max="7956" width="39.140625" style="162" customWidth="1"/>
    <col min="7957" max="7957" width="27" style="162" customWidth="1"/>
    <col min="7958" max="7958" width="36.140625" style="162" customWidth="1"/>
    <col min="7959" max="7959" width="31.28515625" style="162" customWidth="1"/>
    <col min="7960" max="7960" width="44.140625" style="162" customWidth="1"/>
    <col min="7961" max="7961" width="42.5703125" style="162" customWidth="1"/>
    <col min="7962" max="7962" width="27.140625" style="162" customWidth="1"/>
    <col min="7963" max="7963" width="33.28515625" style="162" customWidth="1"/>
    <col min="7964" max="7964" width="27" style="162" customWidth="1"/>
    <col min="7965" max="7965" width="38.5703125" style="162" customWidth="1"/>
    <col min="7966" max="7966" width="23.85546875" style="162" customWidth="1"/>
    <col min="7967" max="7967" width="10.42578125" style="162" customWidth="1"/>
    <col min="7968" max="7968" width="10.28515625" style="162" customWidth="1"/>
    <col min="7969" max="7969" width="7.28515625" style="162" customWidth="1"/>
    <col min="7970" max="7971" width="0" style="162" hidden="1" customWidth="1"/>
    <col min="7972" max="8198" width="9.140625" style="162"/>
    <col min="8199" max="8199" width="1.7109375" style="162" customWidth="1"/>
    <col min="8200" max="8200" width="6.140625" style="162" customWidth="1"/>
    <col min="8201" max="8201" width="27.140625" style="162" customWidth="1"/>
    <col min="8202" max="8202" width="51.140625" style="162" customWidth="1"/>
    <col min="8203" max="8203" width="69.28515625" style="162" customWidth="1"/>
    <col min="8204" max="8204" width="40.7109375" style="162" customWidth="1"/>
    <col min="8205" max="8205" width="8.7109375" style="162" customWidth="1"/>
    <col min="8206" max="8206" width="32.140625" style="162" customWidth="1"/>
    <col min="8207" max="8207" width="35.7109375" style="162" customWidth="1"/>
    <col min="8208" max="8208" width="8.7109375" style="162" customWidth="1"/>
    <col min="8209" max="8209" width="28.140625" style="162" customWidth="1"/>
    <col min="8210" max="8210" width="27.5703125" style="162" customWidth="1"/>
    <col min="8211" max="8211" width="41.42578125" style="162" customWidth="1"/>
    <col min="8212" max="8212" width="39.140625" style="162" customWidth="1"/>
    <col min="8213" max="8213" width="27" style="162" customWidth="1"/>
    <col min="8214" max="8214" width="36.140625" style="162" customWidth="1"/>
    <col min="8215" max="8215" width="31.28515625" style="162" customWidth="1"/>
    <col min="8216" max="8216" width="44.140625" style="162" customWidth="1"/>
    <col min="8217" max="8217" width="42.5703125" style="162" customWidth="1"/>
    <col min="8218" max="8218" width="27.140625" style="162" customWidth="1"/>
    <col min="8219" max="8219" width="33.28515625" style="162" customWidth="1"/>
    <col min="8220" max="8220" width="27" style="162" customWidth="1"/>
    <col min="8221" max="8221" width="38.5703125" style="162" customWidth="1"/>
    <col min="8222" max="8222" width="23.85546875" style="162" customWidth="1"/>
    <col min="8223" max="8223" width="10.42578125" style="162" customWidth="1"/>
    <col min="8224" max="8224" width="10.28515625" style="162" customWidth="1"/>
    <col min="8225" max="8225" width="7.28515625" style="162" customWidth="1"/>
    <col min="8226" max="8227" width="0" style="162" hidden="1" customWidth="1"/>
    <col min="8228" max="8454" width="9.140625" style="162"/>
    <col min="8455" max="8455" width="1.7109375" style="162" customWidth="1"/>
    <col min="8456" max="8456" width="6.140625" style="162" customWidth="1"/>
    <col min="8457" max="8457" width="27.140625" style="162" customWidth="1"/>
    <col min="8458" max="8458" width="51.140625" style="162" customWidth="1"/>
    <col min="8459" max="8459" width="69.28515625" style="162" customWidth="1"/>
    <col min="8460" max="8460" width="40.7109375" style="162" customWidth="1"/>
    <col min="8461" max="8461" width="8.7109375" style="162" customWidth="1"/>
    <col min="8462" max="8462" width="32.140625" style="162" customWidth="1"/>
    <col min="8463" max="8463" width="35.7109375" style="162" customWidth="1"/>
    <col min="8464" max="8464" width="8.7109375" style="162" customWidth="1"/>
    <col min="8465" max="8465" width="28.140625" style="162" customWidth="1"/>
    <col min="8466" max="8466" width="27.5703125" style="162" customWidth="1"/>
    <col min="8467" max="8467" width="41.42578125" style="162" customWidth="1"/>
    <col min="8468" max="8468" width="39.140625" style="162" customWidth="1"/>
    <col min="8469" max="8469" width="27" style="162" customWidth="1"/>
    <col min="8470" max="8470" width="36.140625" style="162" customWidth="1"/>
    <col min="8471" max="8471" width="31.28515625" style="162" customWidth="1"/>
    <col min="8472" max="8472" width="44.140625" style="162" customWidth="1"/>
    <col min="8473" max="8473" width="42.5703125" style="162" customWidth="1"/>
    <col min="8474" max="8474" width="27.140625" style="162" customWidth="1"/>
    <col min="8475" max="8475" width="33.28515625" style="162" customWidth="1"/>
    <col min="8476" max="8476" width="27" style="162" customWidth="1"/>
    <col min="8477" max="8477" width="38.5703125" style="162" customWidth="1"/>
    <col min="8478" max="8478" width="23.85546875" style="162" customWidth="1"/>
    <col min="8479" max="8479" width="10.42578125" style="162" customWidth="1"/>
    <col min="8480" max="8480" width="10.28515625" style="162" customWidth="1"/>
    <col min="8481" max="8481" width="7.28515625" style="162" customWidth="1"/>
    <col min="8482" max="8483" width="0" style="162" hidden="1" customWidth="1"/>
    <col min="8484" max="8710" width="9.140625" style="162"/>
    <col min="8711" max="8711" width="1.7109375" style="162" customWidth="1"/>
    <col min="8712" max="8712" width="6.140625" style="162" customWidth="1"/>
    <col min="8713" max="8713" width="27.140625" style="162" customWidth="1"/>
    <col min="8714" max="8714" width="51.140625" style="162" customWidth="1"/>
    <col min="8715" max="8715" width="69.28515625" style="162" customWidth="1"/>
    <col min="8716" max="8716" width="40.7109375" style="162" customWidth="1"/>
    <col min="8717" max="8717" width="8.7109375" style="162" customWidth="1"/>
    <col min="8718" max="8718" width="32.140625" style="162" customWidth="1"/>
    <col min="8719" max="8719" width="35.7109375" style="162" customWidth="1"/>
    <col min="8720" max="8720" width="8.7109375" style="162" customWidth="1"/>
    <col min="8721" max="8721" width="28.140625" style="162" customWidth="1"/>
    <col min="8722" max="8722" width="27.5703125" style="162" customWidth="1"/>
    <col min="8723" max="8723" width="41.42578125" style="162" customWidth="1"/>
    <col min="8724" max="8724" width="39.140625" style="162" customWidth="1"/>
    <col min="8725" max="8725" width="27" style="162" customWidth="1"/>
    <col min="8726" max="8726" width="36.140625" style="162" customWidth="1"/>
    <col min="8727" max="8727" width="31.28515625" style="162" customWidth="1"/>
    <col min="8728" max="8728" width="44.140625" style="162" customWidth="1"/>
    <col min="8729" max="8729" width="42.5703125" style="162" customWidth="1"/>
    <col min="8730" max="8730" width="27.140625" style="162" customWidth="1"/>
    <col min="8731" max="8731" width="33.28515625" style="162" customWidth="1"/>
    <col min="8732" max="8732" width="27" style="162" customWidth="1"/>
    <col min="8733" max="8733" width="38.5703125" style="162" customWidth="1"/>
    <col min="8734" max="8734" width="23.85546875" style="162" customWidth="1"/>
    <col min="8735" max="8735" width="10.42578125" style="162" customWidth="1"/>
    <col min="8736" max="8736" width="10.28515625" style="162" customWidth="1"/>
    <col min="8737" max="8737" width="7.28515625" style="162" customWidth="1"/>
    <col min="8738" max="8739" width="0" style="162" hidden="1" customWidth="1"/>
    <col min="8740" max="8966" width="9.140625" style="162"/>
    <col min="8967" max="8967" width="1.7109375" style="162" customWidth="1"/>
    <col min="8968" max="8968" width="6.140625" style="162" customWidth="1"/>
    <col min="8969" max="8969" width="27.140625" style="162" customWidth="1"/>
    <col min="8970" max="8970" width="51.140625" style="162" customWidth="1"/>
    <col min="8971" max="8971" width="69.28515625" style="162" customWidth="1"/>
    <col min="8972" max="8972" width="40.7109375" style="162" customWidth="1"/>
    <col min="8973" max="8973" width="8.7109375" style="162" customWidth="1"/>
    <col min="8974" max="8974" width="32.140625" style="162" customWidth="1"/>
    <col min="8975" max="8975" width="35.7109375" style="162" customWidth="1"/>
    <col min="8976" max="8976" width="8.7109375" style="162" customWidth="1"/>
    <col min="8977" max="8977" width="28.140625" style="162" customWidth="1"/>
    <col min="8978" max="8978" width="27.5703125" style="162" customWidth="1"/>
    <col min="8979" max="8979" width="41.42578125" style="162" customWidth="1"/>
    <col min="8980" max="8980" width="39.140625" style="162" customWidth="1"/>
    <col min="8981" max="8981" width="27" style="162" customWidth="1"/>
    <col min="8982" max="8982" width="36.140625" style="162" customWidth="1"/>
    <col min="8983" max="8983" width="31.28515625" style="162" customWidth="1"/>
    <col min="8984" max="8984" width="44.140625" style="162" customWidth="1"/>
    <col min="8985" max="8985" width="42.5703125" style="162" customWidth="1"/>
    <col min="8986" max="8986" width="27.140625" style="162" customWidth="1"/>
    <col min="8987" max="8987" width="33.28515625" style="162" customWidth="1"/>
    <col min="8988" max="8988" width="27" style="162" customWidth="1"/>
    <col min="8989" max="8989" width="38.5703125" style="162" customWidth="1"/>
    <col min="8990" max="8990" width="23.85546875" style="162" customWidth="1"/>
    <col min="8991" max="8991" width="10.42578125" style="162" customWidth="1"/>
    <col min="8992" max="8992" width="10.28515625" style="162" customWidth="1"/>
    <col min="8993" max="8993" width="7.28515625" style="162" customWidth="1"/>
    <col min="8994" max="8995" width="0" style="162" hidden="1" customWidth="1"/>
    <col min="8996" max="9222" width="9.140625" style="162"/>
    <col min="9223" max="9223" width="1.7109375" style="162" customWidth="1"/>
    <col min="9224" max="9224" width="6.140625" style="162" customWidth="1"/>
    <col min="9225" max="9225" width="27.140625" style="162" customWidth="1"/>
    <col min="9226" max="9226" width="51.140625" style="162" customWidth="1"/>
    <col min="9227" max="9227" width="69.28515625" style="162" customWidth="1"/>
    <col min="9228" max="9228" width="40.7109375" style="162" customWidth="1"/>
    <col min="9229" max="9229" width="8.7109375" style="162" customWidth="1"/>
    <col min="9230" max="9230" width="32.140625" style="162" customWidth="1"/>
    <col min="9231" max="9231" width="35.7109375" style="162" customWidth="1"/>
    <col min="9232" max="9232" width="8.7109375" style="162" customWidth="1"/>
    <col min="9233" max="9233" width="28.140625" style="162" customWidth="1"/>
    <col min="9234" max="9234" width="27.5703125" style="162" customWidth="1"/>
    <col min="9235" max="9235" width="41.42578125" style="162" customWidth="1"/>
    <col min="9236" max="9236" width="39.140625" style="162" customWidth="1"/>
    <col min="9237" max="9237" width="27" style="162" customWidth="1"/>
    <col min="9238" max="9238" width="36.140625" style="162" customWidth="1"/>
    <col min="9239" max="9239" width="31.28515625" style="162" customWidth="1"/>
    <col min="9240" max="9240" width="44.140625" style="162" customWidth="1"/>
    <col min="9241" max="9241" width="42.5703125" style="162" customWidth="1"/>
    <col min="9242" max="9242" width="27.140625" style="162" customWidth="1"/>
    <col min="9243" max="9243" width="33.28515625" style="162" customWidth="1"/>
    <col min="9244" max="9244" width="27" style="162" customWidth="1"/>
    <col min="9245" max="9245" width="38.5703125" style="162" customWidth="1"/>
    <col min="9246" max="9246" width="23.85546875" style="162" customWidth="1"/>
    <col min="9247" max="9247" width="10.42578125" style="162" customWidth="1"/>
    <col min="9248" max="9248" width="10.28515625" style="162" customWidth="1"/>
    <col min="9249" max="9249" width="7.28515625" style="162" customWidth="1"/>
    <col min="9250" max="9251" width="0" style="162" hidden="1" customWidth="1"/>
    <col min="9252" max="9478" width="9.140625" style="162"/>
    <col min="9479" max="9479" width="1.7109375" style="162" customWidth="1"/>
    <col min="9480" max="9480" width="6.140625" style="162" customWidth="1"/>
    <col min="9481" max="9481" width="27.140625" style="162" customWidth="1"/>
    <col min="9482" max="9482" width="51.140625" style="162" customWidth="1"/>
    <col min="9483" max="9483" width="69.28515625" style="162" customWidth="1"/>
    <col min="9484" max="9484" width="40.7109375" style="162" customWidth="1"/>
    <col min="9485" max="9485" width="8.7109375" style="162" customWidth="1"/>
    <col min="9486" max="9486" width="32.140625" style="162" customWidth="1"/>
    <col min="9487" max="9487" width="35.7109375" style="162" customWidth="1"/>
    <col min="9488" max="9488" width="8.7109375" style="162" customWidth="1"/>
    <col min="9489" max="9489" width="28.140625" style="162" customWidth="1"/>
    <col min="9490" max="9490" width="27.5703125" style="162" customWidth="1"/>
    <col min="9491" max="9491" width="41.42578125" style="162" customWidth="1"/>
    <col min="9492" max="9492" width="39.140625" style="162" customWidth="1"/>
    <col min="9493" max="9493" width="27" style="162" customWidth="1"/>
    <col min="9494" max="9494" width="36.140625" style="162" customWidth="1"/>
    <col min="9495" max="9495" width="31.28515625" style="162" customWidth="1"/>
    <col min="9496" max="9496" width="44.140625" style="162" customWidth="1"/>
    <col min="9497" max="9497" width="42.5703125" style="162" customWidth="1"/>
    <col min="9498" max="9498" width="27.140625" style="162" customWidth="1"/>
    <col min="9499" max="9499" width="33.28515625" style="162" customWidth="1"/>
    <col min="9500" max="9500" width="27" style="162" customWidth="1"/>
    <col min="9501" max="9501" width="38.5703125" style="162" customWidth="1"/>
    <col min="9502" max="9502" width="23.85546875" style="162" customWidth="1"/>
    <col min="9503" max="9503" width="10.42578125" style="162" customWidth="1"/>
    <col min="9504" max="9504" width="10.28515625" style="162" customWidth="1"/>
    <col min="9505" max="9505" width="7.28515625" style="162" customWidth="1"/>
    <col min="9506" max="9507" width="0" style="162" hidden="1" customWidth="1"/>
    <col min="9508" max="9734" width="9.140625" style="162"/>
    <col min="9735" max="9735" width="1.7109375" style="162" customWidth="1"/>
    <col min="9736" max="9736" width="6.140625" style="162" customWidth="1"/>
    <col min="9737" max="9737" width="27.140625" style="162" customWidth="1"/>
    <col min="9738" max="9738" width="51.140625" style="162" customWidth="1"/>
    <col min="9739" max="9739" width="69.28515625" style="162" customWidth="1"/>
    <col min="9740" max="9740" width="40.7109375" style="162" customWidth="1"/>
    <col min="9741" max="9741" width="8.7109375" style="162" customWidth="1"/>
    <col min="9742" max="9742" width="32.140625" style="162" customWidth="1"/>
    <col min="9743" max="9743" width="35.7109375" style="162" customWidth="1"/>
    <col min="9744" max="9744" width="8.7109375" style="162" customWidth="1"/>
    <col min="9745" max="9745" width="28.140625" style="162" customWidth="1"/>
    <col min="9746" max="9746" width="27.5703125" style="162" customWidth="1"/>
    <col min="9747" max="9747" width="41.42578125" style="162" customWidth="1"/>
    <col min="9748" max="9748" width="39.140625" style="162" customWidth="1"/>
    <col min="9749" max="9749" width="27" style="162" customWidth="1"/>
    <col min="9750" max="9750" width="36.140625" style="162" customWidth="1"/>
    <col min="9751" max="9751" width="31.28515625" style="162" customWidth="1"/>
    <col min="9752" max="9752" width="44.140625" style="162" customWidth="1"/>
    <col min="9753" max="9753" width="42.5703125" style="162" customWidth="1"/>
    <col min="9754" max="9754" width="27.140625" style="162" customWidth="1"/>
    <col min="9755" max="9755" width="33.28515625" style="162" customWidth="1"/>
    <col min="9756" max="9756" width="27" style="162" customWidth="1"/>
    <col min="9757" max="9757" width="38.5703125" style="162" customWidth="1"/>
    <col min="9758" max="9758" width="23.85546875" style="162" customWidth="1"/>
    <col min="9759" max="9759" width="10.42578125" style="162" customWidth="1"/>
    <col min="9760" max="9760" width="10.28515625" style="162" customWidth="1"/>
    <col min="9761" max="9761" width="7.28515625" style="162" customWidth="1"/>
    <col min="9762" max="9763" width="0" style="162" hidden="1" customWidth="1"/>
    <col min="9764" max="9990" width="9.140625" style="162"/>
    <col min="9991" max="9991" width="1.7109375" style="162" customWidth="1"/>
    <col min="9992" max="9992" width="6.140625" style="162" customWidth="1"/>
    <col min="9993" max="9993" width="27.140625" style="162" customWidth="1"/>
    <col min="9994" max="9994" width="51.140625" style="162" customWidth="1"/>
    <col min="9995" max="9995" width="69.28515625" style="162" customWidth="1"/>
    <col min="9996" max="9996" width="40.7109375" style="162" customWidth="1"/>
    <col min="9997" max="9997" width="8.7109375" style="162" customWidth="1"/>
    <col min="9998" max="9998" width="32.140625" style="162" customWidth="1"/>
    <col min="9999" max="9999" width="35.7109375" style="162" customWidth="1"/>
    <col min="10000" max="10000" width="8.7109375" style="162" customWidth="1"/>
    <col min="10001" max="10001" width="28.140625" style="162" customWidth="1"/>
    <col min="10002" max="10002" width="27.5703125" style="162" customWidth="1"/>
    <col min="10003" max="10003" width="41.42578125" style="162" customWidth="1"/>
    <col min="10004" max="10004" width="39.140625" style="162" customWidth="1"/>
    <col min="10005" max="10005" width="27" style="162" customWidth="1"/>
    <col min="10006" max="10006" width="36.140625" style="162" customWidth="1"/>
    <col min="10007" max="10007" width="31.28515625" style="162" customWidth="1"/>
    <col min="10008" max="10008" width="44.140625" style="162" customWidth="1"/>
    <col min="10009" max="10009" width="42.5703125" style="162" customWidth="1"/>
    <col min="10010" max="10010" width="27.140625" style="162" customWidth="1"/>
    <col min="10011" max="10011" width="33.28515625" style="162" customWidth="1"/>
    <col min="10012" max="10012" width="27" style="162" customWidth="1"/>
    <col min="10013" max="10013" width="38.5703125" style="162" customWidth="1"/>
    <col min="10014" max="10014" width="23.85546875" style="162" customWidth="1"/>
    <col min="10015" max="10015" width="10.42578125" style="162" customWidth="1"/>
    <col min="10016" max="10016" width="10.28515625" style="162" customWidth="1"/>
    <col min="10017" max="10017" width="7.28515625" style="162" customWidth="1"/>
    <col min="10018" max="10019" width="0" style="162" hidden="1" customWidth="1"/>
    <col min="10020" max="10246" width="9.140625" style="162"/>
    <col min="10247" max="10247" width="1.7109375" style="162" customWidth="1"/>
    <col min="10248" max="10248" width="6.140625" style="162" customWidth="1"/>
    <col min="10249" max="10249" width="27.140625" style="162" customWidth="1"/>
    <col min="10250" max="10250" width="51.140625" style="162" customWidth="1"/>
    <col min="10251" max="10251" width="69.28515625" style="162" customWidth="1"/>
    <col min="10252" max="10252" width="40.7109375" style="162" customWidth="1"/>
    <col min="10253" max="10253" width="8.7109375" style="162" customWidth="1"/>
    <col min="10254" max="10254" width="32.140625" style="162" customWidth="1"/>
    <col min="10255" max="10255" width="35.7109375" style="162" customWidth="1"/>
    <col min="10256" max="10256" width="8.7109375" style="162" customWidth="1"/>
    <col min="10257" max="10257" width="28.140625" style="162" customWidth="1"/>
    <col min="10258" max="10258" width="27.5703125" style="162" customWidth="1"/>
    <col min="10259" max="10259" width="41.42578125" style="162" customWidth="1"/>
    <col min="10260" max="10260" width="39.140625" style="162" customWidth="1"/>
    <col min="10261" max="10261" width="27" style="162" customWidth="1"/>
    <col min="10262" max="10262" width="36.140625" style="162" customWidth="1"/>
    <col min="10263" max="10263" width="31.28515625" style="162" customWidth="1"/>
    <col min="10264" max="10264" width="44.140625" style="162" customWidth="1"/>
    <col min="10265" max="10265" width="42.5703125" style="162" customWidth="1"/>
    <col min="10266" max="10266" width="27.140625" style="162" customWidth="1"/>
    <col min="10267" max="10267" width="33.28515625" style="162" customWidth="1"/>
    <col min="10268" max="10268" width="27" style="162" customWidth="1"/>
    <col min="10269" max="10269" width="38.5703125" style="162" customWidth="1"/>
    <col min="10270" max="10270" width="23.85546875" style="162" customWidth="1"/>
    <col min="10271" max="10271" width="10.42578125" style="162" customWidth="1"/>
    <col min="10272" max="10272" width="10.28515625" style="162" customWidth="1"/>
    <col min="10273" max="10273" width="7.28515625" style="162" customWidth="1"/>
    <col min="10274" max="10275" width="0" style="162" hidden="1" customWidth="1"/>
    <col min="10276" max="10502" width="9.140625" style="162"/>
    <col min="10503" max="10503" width="1.7109375" style="162" customWidth="1"/>
    <col min="10504" max="10504" width="6.140625" style="162" customWidth="1"/>
    <col min="10505" max="10505" width="27.140625" style="162" customWidth="1"/>
    <col min="10506" max="10506" width="51.140625" style="162" customWidth="1"/>
    <col min="10507" max="10507" width="69.28515625" style="162" customWidth="1"/>
    <col min="10508" max="10508" width="40.7109375" style="162" customWidth="1"/>
    <col min="10509" max="10509" width="8.7109375" style="162" customWidth="1"/>
    <col min="10510" max="10510" width="32.140625" style="162" customWidth="1"/>
    <col min="10511" max="10511" width="35.7109375" style="162" customWidth="1"/>
    <col min="10512" max="10512" width="8.7109375" style="162" customWidth="1"/>
    <col min="10513" max="10513" width="28.140625" style="162" customWidth="1"/>
    <col min="10514" max="10514" width="27.5703125" style="162" customWidth="1"/>
    <col min="10515" max="10515" width="41.42578125" style="162" customWidth="1"/>
    <col min="10516" max="10516" width="39.140625" style="162" customWidth="1"/>
    <col min="10517" max="10517" width="27" style="162" customWidth="1"/>
    <col min="10518" max="10518" width="36.140625" style="162" customWidth="1"/>
    <col min="10519" max="10519" width="31.28515625" style="162" customWidth="1"/>
    <col min="10520" max="10520" width="44.140625" style="162" customWidth="1"/>
    <col min="10521" max="10521" width="42.5703125" style="162" customWidth="1"/>
    <col min="10522" max="10522" width="27.140625" style="162" customWidth="1"/>
    <col min="10523" max="10523" width="33.28515625" style="162" customWidth="1"/>
    <col min="10524" max="10524" width="27" style="162" customWidth="1"/>
    <col min="10525" max="10525" width="38.5703125" style="162" customWidth="1"/>
    <col min="10526" max="10526" width="23.85546875" style="162" customWidth="1"/>
    <col min="10527" max="10527" width="10.42578125" style="162" customWidth="1"/>
    <col min="10528" max="10528" width="10.28515625" style="162" customWidth="1"/>
    <col min="10529" max="10529" width="7.28515625" style="162" customWidth="1"/>
    <col min="10530" max="10531" width="0" style="162" hidden="1" customWidth="1"/>
    <col min="10532" max="10758" width="9.140625" style="162"/>
    <col min="10759" max="10759" width="1.7109375" style="162" customWidth="1"/>
    <col min="10760" max="10760" width="6.140625" style="162" customWidth="1"/>
    <col min="10761" max="10761" width="27.140625" style="162" customWidth="1"/>
    <col min="10762" max="10762" width="51.140625" style="162" customWidth="1"/>
    <col min="10763" max="10763" width="69.28515625" style="162" customWidth="1"/>
    <col min="10764" max="10764" width="40.7109375" style="162" customWidth="1"/>
    <col min="10765" max="10765" width="8.7109375" style="162" customWidth="1"/>
    <col min="10766" max="10766" width="32.140625" style="162" customWidth="1"/>
    <col min="10767" max="10767" width="35.7109375" style="162" customWidth="1"/>
    <col min="10768" max="10768" width="8.7109375" style="162" customWidth="1"/>
    <col min="10769" max="10769" width="28.140625" style="162" customWidth="1"/>
    <col min="10770" max="10770" width="27.5703125" style="162" customWidth="1"/>
    <col min="10771" max="10771" width="41.42578125" style="162" customWidth="1"/>
    <col min="10772" max="10772" width="39.140625" style="162" customWidth="1"/>
    <col min="10773" max="10773" width="27" style="162" customWidth="1"/>
    <col min="10774" max="10774" width="36.140625" style="162" customWidth="1"/>
    <col min="10775" max="10775" width="31.28515625" style="162" customWidth="1"/>
    <col min="10776" max="10776" width="44.140625" style="162" customWidth="1"/>
    <col min="10777" max="10777" width="42.5703125" style="162" customWidth="1"/>
    <col min="10778" max="10778" width="27.140625" style="162" customWidth="1"/>
    <col min="10779" max="10779" width="33.28515625" style="162" customWidth="1"/>
    <col min="10780" max="10780" width="27" style="162" customWidth="1"/>
    <col min="10781" max="10781" width="38.5703125" style="162" customWidth="1"/>
    <col min="10782" max="10782" width="23.85546875" style="162" customWidth="1"/>
    <col min="10783" max="10783" width="10.42578125" style="162" customWidth="1"/>
    <col min="10784" max="10784" width="10.28515625" style="162" customWidth="1"/>
    <col min="10785" max="10785" width="7.28515625" style="162" customWidth="1"/>
    <col min="10786" max="10787" width="0" style="162" hidden="1" customWidth="1"/>
    <col min="10788" max="11014" width="9.140625" style="162"/>
    <col min="11015" max="11015" width="1.7109375" style="162" customWidth="1"/>
    <col min="11016" max="11016" width="6.140625" style="162" customWidth="1"/>
    <col min="11017" max="11017" width="27.140625" style="162" customWidth="1"/>
    <col min="11018" max="11018" width="51.140625" style="162" customWidth="1"/>
    <col min="11019" max="11019" width="69.28515625" style="162" customWidth="1"/>
    <col min="11020" max="11020" width="40.7109375" style="162" customWidth="1"/>
    <col min="11021" max="11021" width="8.7109375" style="162" customWidth="1"/>
    <col min="11022" max="11022" width="32.140625" style="162" customWidth="1"/>
    <col min="11023" max="11023" width="35.7109375" style="162" customWidth="1"/>
    <col min="11024" max="11024" width="8.7109375" style="162" customWidth="1"/>
    <col min="11025" max="11025" width="28.140625" style="162" customWidth="1"/>
    <col min="11026" max="11026" width="27.5703125" style="162" customWidth="1"/>
    <col min="11027" max="11027" width="41.42578125" style="162" customWidth="1"/>
    <col min="11028" max="11028" width="39.140625" style="162" customWidth="1"/>
    <col min="11029" max="11029" width="27" style="162" customWidth="1"/>
    <col min="11030" max="11030" width="36.140625" style="162" customWidth="1"/>
    <col min="11031" max="11031" width="31.28515625" style="162" customWidth="1"/>
    <col min="11032" max="11032" width="44.140625" style="162" customWidth="1"/>
    <col min="11033" max="11033" width="42.5703125" style="162" customWidth="1"/>
    <col min="11034" max="11034" width="27.140625" style="162" customWidth="1"/>
    <col min="11035" max="11035" width="33.28515625" style="162" customWidth="1"/>
    <col min="11036" max="11036" width="27" style="162" customWidth="1"/>
    <col min="11037" max="11037" width="38.5703125" style="162" customWidth="1"/>
    <col min="11038" max="11038" width="23.85546875" style="162" customWidth="1"/>
    <col min="11039" max="11039" width="10.42578125" style="162" customWidth="1"/>
    <col min="11040" max="11040" width="10.28515625" style="162" customWidth="1"/>
    <col min="11041" max="11041" width="7.28515625" style="162" customWidth="1"/>
    <col min="11042" max="11043" width="0" style="162" hidden="1" customWidth="1"/>
    <col min="11044" max="11270" width="9.140625" style="162"/>
    <col min="11271" max="11271" width="1.7109375" style="162" customWidth="1"/>
    <col min="11272" max="11272" width="6.140625" style="162" customWidth="1"/>
    <col min="11273" max="11273" width="27.140625" style="162" customWidth="1"/>
    <col min="11274" max="11274" width="51.140625" style="162" customWidth="1"/>
    <col min="11275" max="11275" width="69.28515625" style="162" customWidth="1"/>
    <col min="11276" max="11276" width="40.7109375" style="162" customWidth="1"/>
    <col min="11277" max="11277" width="8.7109375" style="162" customWidth="1"/>
    <col min="11278" max="11278" width="32.140625" style="162" customWidth="1"/>
    <col min="11279" max="11279" width="35.7109375" style="162" customWidth="1"/>
    <col min="11280" max="11280" width="8.7109375" style="162" customWidth="1"/>
    <col min="11281" max="11281" width="28.140625" style="162" customWidth="1"/>
    <col min="11282" max="11282" width="27.5703125" style="162" customWidth="1"/>
    <col min="11283" max="11283" width="41.42578125" style="162" customWidth="1"/>
    <col min="11284" max="11284" width="39.140625" style="162" customWidth="1"/>
    <col min="11285" max="11285" width="27" style="162" customWidth="1"/>
    <col min="11286" max="11286" width="36.140625" style="162" customWidth="1"/>
    <col min="11287" max="11287" width="31.28515625" style="162" customWidth="1"/>
    <col min="11288" max="11288" width="44.140625" style="162" customWidth="1"/>
    <col min="11289" max="11289" width="42.5703125" style="162" customWidth="1"/>
    <col min="11290" max="11290" width="27.140625" style="162" customWidth="1"/>
    <col min="11291" max="11291" width="33.28515625" style="162" customWidth="1"/>
    <col min="11292" max="11292" width="27" style="162" customWidth="1"/>
    <col min="11293" max="11293" width="38.5703125" style="162" customWidth="1"/>
    <col min="11294" max="11294" width="23.85546875" style="162" customWidth="1"/>
    <col min="11295" max="11295" width="10.42578125" style="162" customWidth="1"/>
    <col min="11296" max="11296" width="10.28515625" style="162" customWidth="1"/>
    <col min="11297" max="11297" width="7.28515625" style="162" customWidth="1"/>
    <col min="11298" max="11299" width="0" style="162" hidden="1" customWidth="1"/>
    <col min="11300" max="11526" width="9.140625" style="162"/>
    <col min="11527" max="11527" width="1.7109375" style="162" customWidth="1"/>
    <col min="11528" max="11528" width="6.140625" style="162" customWidth="1"/>
    <col min="11529" max="11529" width="27.140625" style="162" customWidth="1"/>
    <col min="11530" max="11530" width="51.140625" style="162" customWidth="1"/>
    <col min="11531" max="11531" width="69.28515625" style="162" customWidth="1"/>
    <col min="11532" max="11532" width="40.7109375" style="162" customWidth="1"/>
    <col min="11533" max="11533" width="8.7109375" style="162" customWidth="1"/>
    <col min="11534" max="11534" width="32.140625" style="162" customWidth="1"/>
    <col min="11535" max="11535" width="35.7109375" style="162" customWidth="1"/>
    <col min="11536" max="11536" width="8.7109375" style="162" customWidth="1"/>
    <col min="11537" max="11537" width="28.140625" style="162" customWidth="1"/>
    <col min="11538" max="11538" width="27.5703125" style="162" customWidth="1"/>
    <col min="11539" max="11539" width="41.42578125" style="162" customWidth="1"/>
    <col min="11540" max="11540" width="39.140625" style="162" customWidth="1"/>
    <col min="11541" max="11541" width="27" style="162" customWidth="1"/>
    <col min="11542" max="11542" width="36.140625" style="162" customWidth="1"/>
    <col min="11543" max="11543" width="31.28515625" style="162" customWidth="1"/>
    <col min="11544" max="11544" width="44.140625" style="162" customWidth="1"/>
    <col min="11545" max="11545" width="42.5703125" style="162" customWidth="1"/>
    <col min="11546" max="11546" width="27.140625" style="162" customWidth="1"/>
    <col min="11547" max="11547" width="33.28515625" style="162" customWidth="1"/>
    <col min="11548" max="11548" width="27" style="162" customWidth="1"/>
    <col min="11549" max="11549" width="38.5703125" style="162" customWidth="1"/>
    <col min="11550" max="11550" width="23.85546875" style="162" customWidth="1"/>
    <col min="11551" max="11551" width="10.42578125" style="162" customWidth="1"/>
    <col min="11552" max="11552" width="10.28515625" style="162" customWidth="1"/>
    <col min="11553" max="11553" width="7.28515625" style="162" customWidth="1"/>
    <col min="11554" max="11555" width="0" style="162" hidden="1" customWidth="1"/>
    <col min="11556" max="11782" width="9.140625" style="162"/>
    <col min="11783" max="11783" width="1.7109375" style="162" customWidth="1"/>
    <col min="11784" max="11784" width="6.140625" style="162" customWidth="1"/>
    <col min="11785" max="11785" width="27.140625" style="162" customWidth="1"/>
    <col min="11786" max="11786" width="51.140625" style="162" customWidth="1"/>
    <col min="11787" max="11787" width="69.28515625" style="162" customWidth="1"/>
    <col min="11788" max="11788" width="40.7109375" style="162" customWidth="1"/>
    <col min="11789" max="11789" width="8.7109375" style="162" customWidth="1"/>
    <col min="11790" max="11790" width="32.140625" style="162" customWidth="1"/>
    <col min="11791" max="11791" width="35.7109375" style="162" customWidth="1"/>
    <col min="11792" max="11792" width="8.7109375" style="162" customWidth="1"/>
    <col min="11793" max="11793" width="28.140625" style="162" customWidth="1"/>
    <col min="11794" max="11794" width="27.5703125" style="162" customWidth="1"/>
    <col min="11795" max="11795" width="41.42578125" style="162" customWidth="1"/>
    <col min="11796" max="11796" width="39.140625" style="162" customWidth="1"/>
    <col min="11797" max="11797" width="27" style="162" customWidth="1"/>
    <col min="11798" max="11798" width="36.140625" style="162" customWidth="1"/>
    <col min="11799" max="11799" width="31.28515625" style="162" customWidth="1"/>
    <col min="11800" max="11800" width="44.140625" style="162" customWidth="1"/>
    <col min="11801" max="11801" width="42.5703125" style="162" customWidth="1"/>
    <col min="11802" max="11802" width="27.140625" style="162" customWidth="1"/>
    <col min="11803" max="11803" width="33.28515625" style="162" customWidth="1"/>
    <col min="11804" max="11804" width="27" style="162" customWidth="1"/>
    <col min="11805" max="11805" width="38.5703125" style="162" customWidth="1"/>
    <col min="11806" max="11806" width="23.85546875" style="162" customWidth="1"/>
    <col min="11807" max="11807" width="10.42578125" style="162" customWidth="1"/>
    <col min="11808" max="11808" width="10.28515625" style="162" customWidth="1"/>
    <col min="11809" max="11809" width="7.28515625" style="162" customWidth="1"/>
    <col min="11810" max="11811" width="0" style="162" hidden="1" customWidth="1"/>
    <col min="11812" max="12038" width="9.140625" style="162"/>
    <col min="12039" max="12039" width="1.7109375" style="162" customWidth="1"/>
    <col min="12040" max="12040" width="6.140625" style="162" customWidth="1"/>
    <col min="12041" max="12041" width="27.140625" style="162" customWidth="1"/>
    <col min="12042" max="12042" width="51.140625" style="162" customWidth="1"/>
    <col min="12043" max="12043" width="69.28515625" style="162" customWidth="1"/>
    <col min="12044" max="12044" width="40.7109375" style="162" customWidth="1"/>
    <col min="12045" max="12045" width="8.7109375" style="162" customWidth="1"/>
    <col min="12046" max="12046" width="32.140625" style="162" customWidth="1"/>
    <col min="12047" max="12047" width="35.7109375" style="162" customWidth="1"/>
    <col min="12048" max="12048" width="8.7109375" style="162" customWidth="1"/>
    <col min="12049" max="12049" width="28.140625" style="162" customWidth="1"/>
    <col min="12050" max="12050" width="27.5703125" style="162" customWidth="1"/>
    <col min="12051" max="12051" width="41.42578125" style="162" customWidth="1"/>
    <col min="12052" max="12052" width="39.140625" style="162" customWidth="1"/>
    <col min="12053" max="12053" width="27" style="162" customWidth="1"/>
    <col min="12054" max="12054" width="36.140625" style="162" customWidth="1"/>
    <col min="12055" max="12055" width="31.28515625" style="162" customWidth="1"/>
    <col min="12056" max="12056" width="44.140625" style="162" customWidth="1"/>
    <col min="12057" max="12057" width="42.5703125" style="162" customWidth="1"/>
    <col min="12058" max="12058" width="27.140625" style="162" customWidth="1"/>
    <col min="12059" max="12059" width="33.28515625" style="162" customWidth="1"/>
    <col min="12060" max="12060" width="27" style="162" customWidth="1"/>
    <col min="12061" max="12061" width="38.5703125" style="162" customWidth="1"/>
    <col min="12062" max="12062" width="23.85546875" style="162" customWidth="1"/>
    <col min="12063" max="12063" width="10.42578125" style="162" customWidth="1"/>
    <col min="12064" max="12064" width="10.28515625" style="162" customWidth="1"/>
    <col min="12065" max="12065" width="7.28515625" style="162" customWidth="1"/>
    <col min="12066" max="12067" width="0" style="162" hidden="1" customWidth="1"/>
    <col min="12068" max="12294" width="9.140625" style="162"/>
    <col min="12295" max="12295" width="1.7109375" style="162" customWidth="1"/>
    <col min="12296" max="12296" width="6.140625" style="162" customWidth="1"/>
    <col min="12297" max="12297" width="27.140625" style="162" customWidth="1"/>
    <col min="12298" max="12298" width="51.140625" style="162" customWidth="1"/>
    <col min="12299" max="12299" width="69.28515625" style="162" customWidth="1"/>
    <col min="12300" max="12300" width="40.7109375" style="162" customWidth="1"/>
    <col min="12301" max="12301" width="8.7109375" style="162" customWidth="1"/>
    <col min="12302" max="12302" width="32.140625" style="162" customWidth="1"/>
    <col min="12303" max="12303" width="35.7109375" style="162" customWidth="1"/>
    <col min="12304" max="12304" width="8.7109375" style="162" customWidth="1"/>
    <col min="12305" max="12305" width="28.140625" style="162" customWidth="1"/>
    <col min="12306" max="12306" width="27.5703125" style="162" customWidth="1"/>
    <col min="12307" max="12307" width="41.42578125" style="162" customWidth="1"/>
    <col min="12308" max="12308" width="39.140625" style="162" customWidth="1"/>
    <col min="12309" max="12309" width="27" style="162" customWidth="1"/>
    <col min="12310" max="12310" width="36.140625" style="162" customWidth="1"/>
    <col min="12311" max="12311" width="31.28515625" style="162" customWidth="1"/>
    <col min="12312" max="12312" width="44.140625" style="162" customWidth="1"/>
    <col min="12313" max="12313" width="42.5703125" style="162" customWidth="1"/>
    <col min="12314" max="12314" width="27.140625" style="162" customWidth="1"/>
    <col min="12315" max="12315" width="33.28515625" style="162" customWidth="1"/>
    <col min="12316" max="12316" width="27" style="162" customWidth="1"/>
    <col min="12317" max="12317" width="38.5703125" style="162" customWidth="1"/>
    <col min="12318" max="12318" width="23.85546875" style="162" customWidth="1"/>
    <col min="12319" max="12319" width="10.42578125" style="162" customWidth="1"/>
    <col min="12320" max="12320" width="10.28515625" style="162" customWidth="1"/>
    <col min="12321" max="12321" width="7.28515625" style="162" customWidth="1"/>
    <col min="12322" max="12323" width="0" style="162" hidden="1" customWidth="1"/>
    <col min="12324" max="12550" width="9.140625" style="162"/>
    <col min="12551" max="12551" width="1.7109375" style="162" customWidth="1"/>
    <col min="12552" max="12552" width="6.140625" style="162" customWidth="1"/>
    <col min="12553" max="12553" width="27.140625" style="162" customWidth="1"/>
    <col min="12554" max="12554" width="51.140625" style="162" customWidth="1"/>
    <col min="12555" max="12555" width="69.28515625" style="162" customWidth="1"/>
    <col min="12556" max="12556" width="40.7109375" style="162" customWidth="1"/>
    <col min="12557" max="12557" width="8.7109375" style="162" customWidth="1"/>
    <col min="12558" max="12558" width="32.140625" style="162" customWidth="1"/>
    <col min="12559" max="12559" width="35.7109375" style="162" customWidth="1"/>
    <col min="12560" max="12560" width="8.7109375" style="162" customWidth="1"/>
    <col min="12561" max="12561" width="28.140625" style="162" customWidth="1"/>
    <col min="12562" max="12562" width="27.5703125" style="162" customWidth="1"/>
    <col min="12563" max="12563" width="41.42578125" style="162" customWidth="1"/>
    <col min="12564" max="12564" width="39.140625" style="162" customWidth="1"/>
    <col min="12565" max="12565" width="27" style="162" customWidth="1"/>
    <col min="12566" max="12566" width="36.140625" style="162" customWidth="1"/>
    <col min="12567" max="12567" width="31.28515625" style="162" customWidth="1"/>
    <col min="12568" max="12568" width="44.140625" style="162" customWidth="1"/>
    <col min="12569" max="12569" width="42.5703125" style="162" customWidth="1"/>
    <col min="12570" max="12570" width="27.140625" style="162" customWidth="1"/>
    <col min="12571" max="12571" width="33.28515625" style="162" customWidth="1"/>
    <col min="12572" max="12572" width="27" style="162" customWidth="1"/>
    <col min="12573" max="12573" width="38.5703125" style="162" customWidth="1"/>
    <col min="12574" max="12574" width="23.85546875" style="162" customWidth="1"/>
    <col min="12575" max="12575" width="10.42578125" style="162" customWidth="1"/>
    <col min="12576" max="12576" width="10.28515625" style="162" customWidth="1"/>
    <col min="12577" max="12577" width="7.28515625" style="162" customWidth="1"/>
    <col min="12578" max="12579" width="0" style="162" hidden="1" customWidth="1"/>
    <col min="12580" max="12806" width="9.140625" style="162"/>
    <col min="12807" max="12807" width="1.7109375" style="162" customWidth="1"/>
    <col min="12808" max="12808" width="6.140625" style="162" customWidth="1"/>
    <col min="12809" max="12809" width="27.140625" style="162" customWidth="1"/>
    <col min="12810" max="12810" width="51.140625" style="162" customWidth="1"/>
    <col min="12811" max="12811" width="69.28515625" style="162" customWidth="1"/>
    <col min="12812" max="12812" width="40.7109375" style="162" customWidth="1"/>
    <col min="12813" max="12813" width="8.7109375" style="162" customWidth="1"/>
    <col min="12814" max="12814" width="32.140625" style="162" customWidth="1"/>
    <col min="12815" max="12815" width="35.7109375" style="162" customWidth="1"/>
    <col min="12816" max="12816" width="8.7109375" style="162" customWidth="1"/>
    <col min="12817" max="12817" width="28.140625" style="162" customWidth="1"/>
    <col min="12818" max="12818" width="27.5703125" style="162" customWidth="1"/>
    <col min="12819" max="12819" width="41.42578125" style="162" customWidth="1"/>
    <col min="12820" max="12820" width="39.140625" style="162" customWidth="1"/>
    <col min="12821" max="12821" width="27" style="162" customWidth="1"/>
    <col min="12822" max="12822" width="36.140625" style="162" customWidth="1"/>
    <col min="12823" max="12823" width="31.28515625" style="162" customWidth="1"/>
    <col min="12824" max="12824" width="44.140625" style="162" customWidth="1"/>
    <col min="12825" max="12825" width="42.5703125" style="162" customWidth="1"/>
    <col min="12826" max="12826" width="27.140625" style="162" customWidth="1"/>
    <col min="12827" max="12827" width="33.28515625" style="162" customWidth="1"/>
    <col min="12828" max="12828" width="27" style="162" customWidth="1"/>
    <col min="12829" max="12829" width="38.5703125" style="162" customWidth="1"/>
    <col min="12830" max="12830" width="23.85546875" style="162" customWidth="1"/>
    <col min="12831" max="12831" width="10.42578125" style="162" customWidth="1"/>
    <col min="12832" max="12832" width="10.28515625" style="162" customWidth="1"/>
    <col min="12833" max="12833" width="7.28515625" style="162" customWidth="1"/>
    <col min="12834" max="12835" width="0" style="162" hidden="1" customWidth="1"/>
    <col min="12836" max="13062" width="9.140625" style="162"/>
    <col min="13063" max="13063" width="1.7109375" style="162" customWidth="1"/>
    <col min="13064" max="13064" width="6.140625" style="162" customWidth="1"/>
    <col min="13065" max="13065" width="27.140625" style="162" customWidth="1"/>
    <col min="13066" max="13066" width="51.140625" style="162" customWidth="1"/>
    <col min="13067" max="13067" width="69.28515625" style="162" customWidth="1"/>
    <col min="13068" max="13068" width="40.7109375" style="162" customWidth="1"/>
    <col min="13069" max="13069" width="8.7109375" style="162" customWidth="1"/>
    <col min="13070" max="13070" width="32.140625" style="162" customWidth="1"/>
    <col min="13071" max="13071" width="35.7109375" style="162" customWidth="1"/>
    <col min="13072" max="13072" width="8.7109375" style="162" customWidth="1"/>
    <col min="13073" max="13073" width="28.140625" style="162" customWidth="1"/>
    <col min="13074" max="13074" width="27.5703125" style="162" customWidth="1"/>
    <col min="13075" max="13075" width="41.42578125" style="162" customWidth="1"/>
    <col min="13076" max="13076" width="39.140625" style="162" customWidth="1"/>
    <col min="13077" max="13077" width="27" style="162" customWidth="1"/>
    <col min="13078" max="13078" width="36.140625" style="162" customWidth="1"/>
    <col min="13079" max="13079" width="31.28515625" style="162" customWidth="1"/>
    <col min="13080" max="13080" width="44.140625" style="162" customWidth="1"/>
    <col min="13081" max="13081" width="42.5703125" style="162" customWidth="1"/>
    <col min="13082" max="13082" width="27.140625" style="162" customWidth="1"/>
    <col min="13083" max="13083" width="33.28515625" style="162" customWidth="1"/>
    <col min="13084" max="13084" width="27" style="162" customWidth="1"/>
    <col min="13085" max="13085" width="38.5703125" style="162" customWidth="1"/>
    <col min="13086" max="13086" width="23.85546875" style="162" customWidth="1"/>
    <col min="13087" max="13087" width="10.42578125" style="162" customWidth="1"/>
    <col min="13088" max="13088" width="10.28515625" style="162" customWidth="1"/>
    <col min="13089" max="13089" width="7.28515625" style="162" customWidth="1"/>
    <col min="13090" max="13091" width="0" style="162" hidden="1" customWidth="1"/>
    <col min="13092" max="13318" width="9.140625" style="162"/>
    <col min="13319" max="13319" width="1.7109375" style="162" customWidth="1"/>
    <col min="13320" max="13320" width="6.140625" style="162" customWidth="1"/>
    <col min="13321" max="13321" width="27.140625" style="162" customWidth="1"/>
    <col min="13322" max="13322" width="51.140625" style="162" customWidth="1"/>
    <col min="13323" max="13323" width="69.28515625" style="162" customWidth="1"/>
    <col min="13324" max="13324" width="40.7109375" style="162" customWidth="1"/>
    <col min="13325" max="13325" width="8.7109375" style="162" customWidth="1"/>
    <col min="13326" max="13326" width="32.140625" style="162" customWidth="1"/>
    <col min="13327" max="13327" width="35.7109375" style="162" customWidth="1"/>
    <col min="13328" max="13328" width="8.7109375" style="162" customWidth="1"/>
    <col min="13329" max="13329" width="28.140625" style="162" customWidth="1"/>
    <col min="13330" max="13330" width="27.5703125" style="162" customWidth="1"/>
    <col min="13331" max="13331" width="41.42578125" style="162" customWidth="1"/>
    <col min="13332" max="13332" width="39.140625" style="162" customWidth="1"/>
    <col min="13333" max="13333" width="27" style="162" customWidth="1"/>
    <col min="13334" max="13334" width="36.140625" style="162" customWidth="1"/>
    <col min="13335" max="13335" width="31.28515625" style="162" customWidth="1"/>
    <col min="13336" max="13336" width="44.140625" style="162" customWidth="1"/>
    <col min="13337" max="13337" width="42.5703125" style="162" customWidth="1"/>
    <col min="13338" max="13338" width="27.140625" style="162" customWidth="1"/>
    <col min="13339" max="13339" width="33.28515625" style="162" customWidth="1"/>
    <col min="13340" max="13340" width="27" style="162" customWidth="1"/>
    <col min="13341" max="13341" width="38.5703125" style="162" customWidth="1"/>
    <col min="13342" max="13342" width="23.85546875" style="162" customWidth="1"/>
    <col min="13343" max="13343" width="10.42578125" style="162" customWidth="1"/>
    <col min="13344" max="13344" width="10.28515625" style="162" customWidth="1"/>
    <col min="13345" max="13345" width="7.28515625" style="162" customWidth="1"/>
    <col min="13346" max="13347" width="0" style="162" hidden="1" customWidth="1"/>
    <col min="13348" max="13574" width="9.140625" style="162"/>
    <col min="13575" max="13575" width="1.7109375" style="162" customWidth="1"/>
    <col min="13576" max="13576" width="6.140625" style="162" customWidth="1"/>
    <col min="13577" max="13577" width="27.140625" style="162" customWidth="1"/>
    <col min="13578" max="13578" width="51.140625" style="162" customWidth="1"/>
    <col min="13579" max="13579" width="69.28515625" style="162" customWidth="1"/>
    <col min="13580" max="13580" width="40.7109375" style="162" customWidth="1"/>
    <col min="13581" max="13581" width="8.7109375" style="162" customWidth="1"/>
    <col min="13582" max="13582" width="32.140625" style="162" customWidth="1"/>
    <col min="13583" max="13583" width="35.7109375" style="162" customWidth="1"/>
    <col min="13584" max="13584" width="8.7109375" style="162" customWidth="1"/>
    <col min="13585" max="13585" width="28.140625" style="162" customWidth="1"/>
    <col min="13586" max="13586" width="27.5703125" style="162" customWidth="1"/>
    <col min="13587" max="13587" width="41.42578125" style="162" customWidth="1"/>
    <col min="13588" max="13588" width="39.140625" style="162" customWidth="1"/>
    <col min="13589" max="13589" width="27" style="162" customWidth="1"/>
    <col min="13590" max="13590" width="36.140625" style="162" customWidth="1"/>
    <col min="13591" max="13591" width="31.28515625" style="162" customWidth="1"/>
    <col min="13592" max="13592" width="44.140625" style="162" customWidth="1"/>
    <col min="13593" max="13593" width="42.5703125" style="162" customWidth="1"/>
    <col min="13594" max="13594" width="27.140625" style="162" customWidth="1"/>
    <col min="13595" max="13595" width="33.28515625" style="162" customWidth="1"/>
    <col min="13596" max="13596" width="27" style="162" customWidth="1"/>
    <col min="13597" max="13597" width="38.5703125" style="162" customWidth="1"/>
    <col min="13598" max="13598" width="23.85546875" style="162" customWidth="1"/>
    <col min="13599" max="13599" width="10.42578125" style="162" customWidth="1"/>
    <col min="13600" max="13600" width="10.28515625" style="162" customWidth="1"/>
    <col min="13601" max="13601" width="7.28515625" style="162" customWidth="1"/>
    <col min="13602" max="13603" width="0" style="162" hidden="1" customWidth="1"/>
    <col min="13604" max="13830" width="9.140625" style="162"/>
    <col min="13831" max="13831" width="1.7109375" style="162" customWidth="1"/>
    <col min="13832" max="13832" width="6.140625" style="162" customWidth="1"/>
    <col min="13833" max="13833" width="27.140625" style="162" customWidth="1"/>
    <col min="13834" max="13834" width="51.140625" style="162" customWidth="1"/>
    <col min="13835" max="13835" width="69.28515625" style="162" customWidth="1"/>
    <col min="13836" max="13836" width="40.7109375" style="162" customWidth="1"/>
    <col min="13837" max="13837" width="8.7109375" style="162" customWidth="1"/>
    <col min="13838" max="13838" width="32.140625" style="162" customWidth="1"/>
    <col min="13839" max="13839" width="35.7109375" style="162" customWidth="1"/>
    <col min="13840" max="13840" width="8.7109375" style="162" customWidth="1"/>
    <col min="13841" max="13841" width="28.140625" style="162" customWidth="1"/>
    <col min="13842" max="13842" width="27.5703125" style="162" customWidth="1"/>
    <col min="13843" max="13843" width="41.42578125" style="162" customWidth="1"/>
    <col min="13844" max="13844" width="39.140625" style="162" customWidth="1"/>
    <col min="13845" max="13845" width="27" style="162" customWidth="1"/>
    <col min="13846" max="13846" width="36.140625" style="162" customWidth="1"/>
    <col min="13847" max="13847" width="31.28515625" style="162" customWidth="1"/>
    <col min="13848" max="13848" width="44.140625" style="162" customWidth="1"/>
    <col min="13849" max="13849" width="42.5703125" style="162" customWidth="1"/>
    <col min="13850" max="13850" width="27.140625" style="162" customWidth="1"/>
    <col min="13851" max="13851" width="33.28515625" style="162" customWidth="1"/>
    <col min="13852" max="13852" width="27" style="162" customWidth="1"/>
    <col min="13853" max="13853" width="38.5703125" style="162" customWidth="1"/>
    <col min="13854" max="13854" width="23.85546875" style="162" customWidth="1"/>
    <col min="13855" max="13855" width="10.42578125" style="162" customWidth="1"/>
    <col min="13856" max="13856" width="10.28515625" style="162" customWidth="1"/>
    <col min="13857" max="13857" width="7.28515625" style="162" customWidth="1"/>
    <col min="13858" max="13859" width="0" style="162" hidden="1" customWidth="1"/>
    <col min="13860" max="14086" width="9.140625" style="162"/>
    <col min="14087" max="14087" width="1.7109375" style="162" customWidth="1"/>
    <col min="14088" max="14088" width="6.140625" style="162" customWidth="1"/>
    <col min="14089" max="14089" width="27.140625" style="162" customWidth="1"/>
    <col min="14090" max="14090" width="51.140625" style="162" customWidth="1"/>
    <col min="14091" max="14091" width="69.28515625" style="162" customWidth="1"/>
    <col min="14092" max="14092" width="40.7109375" style="162" customWidth="1"/>
    <col min="14093" max="14093" width="8.7109375" style="162" customWidth="1"/>
    <col min="14094" max="14094" width="32.140625" style="162" customWidth="1"/>
    <col min="14095" max="14095" width="35.7109375" style="162" customWidth="1"/>
    <col min="14096" max="14096" width="8.7109375" style="162" customWidth="1"/>
    <col min="14097" max="14097" width="28.140625" style="162" customWidth="1"/>
    <col min="14098" max="14098" width="27.5703125" style="162" customWidth="1"/>
    <col min="14099" max="14099" width="41.42578125" style="162" customWidth="1"/>
    <col min="14100" max="14100" width="39.140625" style="162" customWidth="1"/>
    <col min="14101" max="14101" width="27" style="162" customWidth="1"/>
    <col min="14102" max="14102" width="36.140625" style="162" customWidth="1"/>
    <col min="14103" max="14103" width="31.28515625" style="162" customWidth="1"/>
    <col min="14104" max="14104" width="44.140625" style="162" customWidth="1"/>
    <col min="14105" max="14105" width="42.5703125" style="162" customWidth="1"/>
    <col min="14106" max="14106" width="27.140625" style="162" customWidth="1"/>
    <col min="14107" max="14107" width="33.28515625" style="162" customWidth="1"/>
    <col min="14108" max="14108" width="27" style="162" customWidth="1"/>
    <col min="14109" max="14109" width="38.5703125" style="162" customWidth="1"/>
    <col min="14110" max="14110" width="23.85546875" style="162" customWidth="1"/>
    <col min="14111" max="14111" width="10.42578125" style="162" customWidth="1"/>
    <col min="14112" max="14112" width="10.28515625" style="162" customWidth="1"/>
    <col min="14113" max="14113" width="7.28515625" style="162" customWidth="1"/>
    <col min="14114" max="14115" width="0" style="162" hidden="1" customWidth="1"/>
    <col min="14116" max="14342" width="9.140625" style="162"/>
    <col min="14343" max="14343" width="1.7109375" style="162" customWidth="1"/>
    <col min="14344" max="14344" width="6.140625" style="162" customWidth="1"/>
    <col min="14345" max="14345" width="27.140625" style="162" customWidth="1"/>
    <col min="14346" max="14346" width="51.140625" style="162" customWidth="1"/>
    <col min="14347" max="14347" width="69.28515625" style="162" customWidth="1"/>
    <col min="14348" max="14348" width="40.7109375" style="162" customWidth="1"/>
    <col min="14349" max="14349" width="8.7109375" style="162" customWidth="1"/>
    <col min="14350" max="14350" width="32.140625" style="162" customWidth="1"/>
    <col min="14351" max="14351" width="35.7109375" style="162" customWidth="1"/>
    <col min="14352" max="14352" width="8.7109375" style="162" customWidth="1"/>
    <col min="14353" max="14353" width="28.140625" style="162" customWidth="1"/>
    <col min="14354" max="14354" width="27.5703125" style="162" customWidth="1"/>
    <col min="14355" max="14355" width="41.42578125" style="162" customWidth="1"/>
    <col min="14356" max="14356" width="39.140625" style="162" customWidth="1"/>
    <col min="14357" max="14357" width="27" style="162" customWidth="1"/>
    <col min="14358" max="14358" width="36.140625" style="162" customWidth="1"/>
    <col min="14359" max="14359" width="31.28515625" style="162" customWidth="1"/>
    <col min="14360" max="14360" width="44.140625" style="162" customWidth="1"/>
    <col min="14361" max="14361" width="42.5703125" style="162" customWidth="1"/>
    <col min="14362" max="14362" width="27.140625" style="162" customWidth="1"/>
    <col min="14363" max="14363" width="33.28515625" style="162" customWidth="1"/>
    <col min="14364" max="14364" width="27" style="162" customWidth="1"/>
    <col min="14365" max="14365" width="38.5703125" style="162" customWidth="1"/>
    <col min="14366" max="14366" width="23.85546875" style="162" customWidth="1"/>
    <col min="14367" max="14367" width="10.42578125" style="162" customWidth="1"/>
    <col min="14368" max="14368" width="10.28515625" style="162" customWidth="1"/>
    <col min="14369" max="14369" width="7.28515625" style="162" customWidth="1"/>
    <col min="14370" max="14371" width="0" style="162" hidden="1" customWidth="1"/>
    <col min="14372" max="14598" width="9.140625" style="162"/>
    <col min="14599" max="14599" width="1.7109375" style="162" customWidth="1"/>
    <col min="14600" max="14600" width="6.140625" style="162" customWidth="1"/>
    <col min="14601" max="14601" width="27.140625" style="162" customWidth="1"/>
    <col min="14602" max="14602" width="51.140625" style="162" customWidth="1"/>
    <col min="14603" max="14603" width="69.28515625" style="162" customWidth="1"/>
    <col min="14604" max="14604" width="40.7109375" style="162" customWidth="1"/>
    <col min="14605" max="14605" width="8.7109375" style="162" customWidth="1"/>
    <col min="14606" max="14606" width="32.140625" style="162" customWidth="1"/>
    <col min="14607" max="14607" width="35.7109375" style="162" customWidth="1"/>
    <col min="14608" max="14608" width="8.7109375" style="162" customWidth="1"/>
    <col min="14609" max="14609" width="28.140625" style="162" customWidth="1"/>
    <col min="14610" max="14610" width="27.5703125" style="162" customWidth="1"/>
    <col min="14611" max="14611" width="41.42578125" style="162" customWidth="1"/>
    <col min="14612" max="14612" width="39.140625" style="162" customWidth="1"/>
    <col min="14613" max="14613" width="27" style="162" customWidth="1"/>
    <col min="14614" max="14614" width="36.140625" style="162" customWidth="1"/>
    <col min="14615" max="14615" width="31.28515625" style="162" customWidth="1"/>
    <col min="14616" max="14616" width="44.140625" style="162" customWidth="1"/>
    <col min="14617" max="14617" width="42.5703125" style="162" customWidth="1"/>
    <col min="14618" max="14618" width="27.140625" style="162" customWidth="1"/>
    <col min="14619" max="14619" width="33.28515625" style="162" customWidth="1"/>
    <col min="14620" max="14620" width="27" style="162" customWidth="1"/>
    <col min="14621" max="14621" width="38.5703125" style="162" customWidth="1"/>
    <col min="14622" max="14622" width="23.85546875" style="162" customWidth="1"/>
    <col min="14623" max="14623" width="10.42578125" style="162" customWidth="1"/>
    <col min="14624" max="14624" width="10.28515625" style="162" customWidth="1"/>
    <col min="14625" max="14625" width="7.28515625" style="162" customWidth="1"/>
    <col min="14626" max="14627" width="0" style="162" hidden="1" customWidth="1"/>
    <col min="14628" max="14854" width="9.140625" style="162"/>
    <col min="14855" max="14855" width="1.7109375" style="162" customWidth="1"/>
    <col min="14856" max="14856" width="6.140625" style="162" customWidth="1"/>
    <col min="14857" max="14857" width="27.140625" style="162" customWidth="1"/>
    <col min="14858" max="14858" width="51.140625" style="162" customWidth="1"/>
    <col min="14859" max="14859" width="69.28515625" style="162" customWidth="1"/>
    <col min="14860" max="14860" width="40.7109375" style="162" customWidth="1"/>
    <col min="14861" max="14861" width="8.7109375" style="162" customWidth="1"/>
    <col min="14862" max="14862" width="32.140625" style="162" customWidth="1"/>
    <col min="14863" max="14863" width="35.7109375" style="162" customWidth="1"/>
    <col min="14864" max="14864" width="8.7109375" style="162" customWidth="1"/>
    <col min="14865" max="14865" width="28.140625" style="162" customWidth="1"/>
    <col min="14866" max="14866" width="27.5703125" style="162" customWidth="1"/>
    <col min="14867" max="14867" width="41.42578125" style="162" customWidth="1"/>
    <col min="14868" max="14868" width="39.140625" style="162" customWidth="1"/>
    <col min="14869" max="14869" width="27" style="162" customWidth="1"/>
    <col min="14870" max="14870" width="36.140625" style="162" customWidth="1"/>
    <col min="14871" max="14871" width="31.28515625" style="162" customWidth="1"/>
    <col min="14872" max="14872" width="44.140625" style="162" customWidth="1"/>
    <col min="14873" max="14873" width="42.5703125" style="162" customWidth="1"/>
    <col min="14874" max="14874" width="27.140625" style="162" customWidth="1"/>
    <col min="14875" max="14875" width="33.28515625" style="162" customWidth="1"/>
    <col min="14876" max="14876" width="27" style="162" customWidth="1"/>
    <col min="14877" max="14877" width="38.5703125" style="162" customWidth="1"/>
    <col min="14878" max="14878" width="23.85546875" style="162" customWidth="1"/>
    <col min="14879" max="14879" width="10.42578125" style="162" customWidth="1"/>
    <col min="14880" max="14880" width="10.28515625" style="162" customWidth="1"/>
    <col min="14881" max="14881" width="7.28515625" style="162" customWidth="1"/>
    <col min="14882" max="14883" width="0" style="162" hidden="1" customWidth="1"/>
    <col min="14884" max="15110" width="9.140625" style="162"/>
    <col min="15111" max="15111" width="1.7109375" style="162" customWidth="1"/>
    <col min="15112" max="15112" width="6.140625" style="162" customWidth="1"/>
    <col min="15113" max="15113" width="27.140625" style="162" customWidth="1"/>
    <col min="15114" max="15114" width="51.140625" style="162" customWidth="1"/>
    <col min="15115" max="15115" width="69.28515625" style="162" customWidth="1"/>
    <col min="15116" max="15116" width="40.7109375" style="162" customWidth="1"/>
    <col min="15117" max="15117" width="8.7109375" style="162" customWidth="1"/>
    <col min="15118" max="15118" width="32.140625" style="162" customWidth="1"/>
    <col min="15119" max="15119" width="35.7109375" style="162" customWidth="1"/>
    <col min="15120" max="15120" width="8.7109375" style="162" customWidth="1"/>
    <col min="15121" max="15121" width="28.140625" style="162" customWidth="1"/>
    <col min="15122" max="15122" width="27.5703125" style="162" customWidth="1"/>
    <col min="15123" max="15123" width="41.42578125" style="162" customWidth="1"/>
    <col min="15124" max="15124" width="39.140625" style="162" customWidth="1"/>
    <col min="15125" max="15125" width="27" style="162" customWidth="1"/>
    <col min="15126" max="15126" width="36.140625" style="162" customWidth="1"/>
    <col min="15127" max="15127" width="31.28515625" style="162" customWidth="1"/>
    <col min="15128" max="15128" width="44.140625" style="162" customWidth="1"/>
    <col min="15129" max="15129" width="42.5703125" style="162" customWidth="1"/>
    <col min="15130" max="15130" width="27.140625" style="162" customWidth="1"/>
    <col min="15131" max="15131" width="33.28515625" style="162" customWidth="1"/>
    <col min="15132" max="15132" width="27" style="162" customWidth="1"/>
    <col min="15133" max="15133" width="38.5703125" style="162" customWidth="1"/>
    <col min="15134" max="15134" width="23.85546875" style="162" customWidth="1"/>
    <col min="15135" max="15135" width="10.42578125" style="162" customWidth="1"/>
    <col min="15136" max="15136" width="10.28515625" style="162" customWidth="1"/>
    <col min="15137" max="15137" width="7.28515625" style="162" customWidth="1"/>
    <col min="15138" max="15139" width="0" style="162" hidden="1" customWidth="1"/>
    <col min="15140" max="15366" width="9.140625" style="162"/>
    <col min="15367" max="15367" width="1.7109375" style="162" customWidth="1"/>
    <col min="15368" max="15368" width="6.140625" style="162" customWidth="1"/>
    <col min="15369" max="15369" width="27.140625" style="162" customWidth="1"/>
    <col min="15370" max="15370" width="51.140625" style="162" customWidth="1"/>
    <col min="15371" max="15371" width="69.28515625" style="162" customWidth="1"/>
    <col min="15372" max="15372" width="40.7109375" style="162" customWidth="1"/>
    <col min="15373" max="15373" width="8.7109375" style="162" customWidth="1"/>
    <col min="15374" max="15374" width="32.140625" style="162" customWidth="1"/>
    <col min="15375" max="15375" width="35.7109375" style="162" customWidth="1"/>
    <col min="15376" max="15376" width="8.7109375" style="162" customWidth="1"/>
    <col min="15377" max="15377" width="28.140625" style="162" customWidth="1"/>
    <col min="15378" max="15378" width="27.5703125" style="162" customWidth="1"/>
    <col min="15379" max="15379" width="41.42578125" style="162" customWidth="1"/>
    <col min="15380" max="15380" width="39.140625" style="162" customWidth="1"/>
    <col min="15381" max="15381" width="27" style="162" customWidth="1"/>
    <col min="15382" max="15382" width="36.140625" style="162" customWidth="1"/>
    <col min="15383" max="15383" width="31.28515625" style="162" customWidth="1"/>
    <col min="15384" max="15384" width="44.140625" style="162" customWidth="1"/>
    <col min="15385" max="15385" width="42.5703125" style="162" customWidth="1"/>
    <col min="15386" max="15386" width="27.140625" style="162" customWidth="1"/>
    <col min="15387" max="15387" width="33.28515625" style="162" customWidth="1"/>
    <col min="15388" max="15388" width="27" style="162" customWidth="1"/>
    <col min="15389" max="15389" width="38.5703125" style="162" customWidth="1"/>
    <col min="15390" max="15390" width="23.85546875" style="162" customWidth="1"/>
    <col min="15391" max="15391" width="10.42578125" style="162" customWidth="1"/>
    <col min="15392" max="15392" width="10.28515625" style="162" customWidth="1"/>
    <col min="15393" max="15393" width="7.28515625" style="162" customWidth="1"/>
    <col min="15394" max="15395" width="0" style="162" hidden="1" customWidth="1"/>
    <col min="15396" max="15622" width="9.140625" style="162"/>
    <col min="15623" max="15623" width="1.7109375" style="162" customWidth="1"/>
    <col min="15624" max="15624" width="6.140625" style="162" customWidth="1"/>
    <col min="15625" max="15625" width="27.140625" style="162" customWidth="1"/>
    <col min="15626" max="15626" width="51.140625" style="162" customWidth="1"/>
    <col min="15627" max="15627" width="69.28515625" style="162" customWidth="1"/>
    <col min="15628" max="15628" width="40.7109375" style="162" customWidth="1"/>
    <col min="15629" max="15629" width="8.7109375" style="162" customWidth="1"/>
    <col min="15630" max="15630" width="32.140625" style="162" customWidth="1"/>
    <col min="15631" max="15631" width="35.7109375" style="162" customWidth="1"/>
    <col min="15632" max="15632" width="8.7109375" style="162" customWidth="1"/>
    <col min="15633" max="15633" width="28.140625" style="162" customWidth="1"/>
    <col min="15634" max="15634" width="27.5703125" style="162" customWidth="1"/>
    <col min="15635" max="15635" width="41.42578125" style="162" customWidth="1"/>
    <col min="15636" max="15636" width="39.140625" style="162" customWidth="1"/>
    <col min="15637" max="15637" width="27" style="162" customWidth="1"/>
    <col min="15638" max="15638" width="36.140625" style="162" customWidth="1"/>
    <col min="15639" max="15639" width="31.28515625" style="162" customWidth="1"/>
    <col min="15640" max="15640" width="44.140625" style="162" customWidth="1"/>
    <col min="15641" max="15641" width="42.5703125" style="162" customWidth="1"/>
    <col min="15642" max="15642" width="27.140625" style="162" customWidth="1"/>
    <col min="15643" max="15643" width="33.28515625" style="162" customWidth="1"/>
    <col min="15644" max="15644" width="27" style="162" customWidth="1"/>
    <col min="15645" max="15645" width="38.5703125" style="162" customWidth="1"/>
    <col min="15646" max="15646" width="23.85546875" style="162" customWidth="1"/>
    <col min="15647" max="15647" width="10.42578125" style="162" customWidth="1"/>
    <col min="15648" max="15648" width="10.28515625" style="162" customWidth="1"/>
    <col min="15649" max="15649" width="7.28515625" style="162" customWidth="1"/>
    <col min="15650" max="15651" width="0" style="162" hidden="1" customWidth="1"/>
    <col min="15652" max="15878" width="9.140625" style="162"/>
    <col min="15879" max="15879" width="1.7109375" style="162" customWidth="1"/>
    <col min="15880" max="15880" width="6.140625" style="162" customWidth="1"/>
    <col min="15881" max="15881" width="27.140625" style="162" customWidth="1"/>
    <col min="15882" max="15882" width="51.140625" style="162" customWidth="1"/>
    <col min="15883" max="15883" width="69.28515625" style="162" customWidth="1"/>
    <col min="15884" max="15884" width="40.7109375" style="162" customWidth="1"/>
    <col min="15885" max="15885" width="8.7109375" style="162" customWidth="1"/>
    <col min="15886" max="15886" width="32.140625" style="162" customWidth="1"/>
    <col min="15887" max="15887" width="35.7109375" style="162" customWidth="1"/>
    <col min="15888" max="15888" width="8.7109375" style="162" customWidth="1"/>
    <col min="15889" max="15889" width="28.140625" style="162" customWidth="1"/>
    <col min="15890" max="15890" width="27.5703125" style="162" customWidth="1"/>
    <col min="15891" max="15891" width="41.42578125" style="162" customWidth="1"/>
    <col min="15892" max="15892" width="39.140625" style="162" customWidth="1"/>
    <col min="15893" max="15893" width="27" style="162" customWidth="1"/>
    <col min="15894" max="15894" width="36.140625" style="162" customWidth="1"/>
    <col min="15895" max="15895" width="31.28515625" style="162" customWidth="1"/>
    <col min="15896" max="15896" width="44.140625" style="162" customWidth="1"/>
    <col min="15897" max="15897" width="42.5703125" style="162" customWidth="1"/>
    <col min="15898" max="15898" width="27.140625" style="162" customWidth="1"/>
    <col min="15899" max="15899" width="33.28515625" style="162" customWidth="1"/>
    <col min="15900" max="15900" width="27" style="162" customWidth="1"/>
    <col min="15901" max="15901" width="38.5703125" style="162" customWidth="1"/>
    <col min="15902" max="15902" width="23.85546875" style="162" customWidth="1"/>
    <col min="15903" max="15903" width="10.42578125" style="162" customWidth="1"/>
    <col min="15904" max="15904" width="10.28515625" style="162" customWidth="1"/>
    <col min="15905" max="15905" width="7.28515625" style="162" customWidth="1"/>
    <col min="15906" max="15907" width="0" style="162" hidden="1" customWidth="1"/>
    <col min="15908" max="16134" width="9.140625" style="162"/>
    <col min="16135" max="16135" width="1.7109375" style="162" customWidth="1"/>
    <col min="16136" max="16136" width="6.140625" style="162" customWidth="1"/>
    <col min="16137" max="16137" width="27.140625" style="162" customWidth="1"/>
    <col min="16138" max="16138" width="51.140625" style="162" customWidth="1"/>
    <col min="16139" max="16139" width="69.28515625" style="162" customWidth="1"/>
    <col min="16140" max="16140" width="40.7109375" style="162" customWidth="1"/>
    <col min="16141" max="16141" width="8.7109375" style="162" customWidth="1"/>
    <col min="16142" max="16142" width="32.140625" style="162" customWidth="1"/>
    <col min="16143" max="16143" width="35.7109375" style="162" customWidth="1"/>
    <col min="16144" max="16144" width="8.7109375" style="162" customWidth="1"/>
    <col min="16145" max="16145" width="28.140625" style="162" customWidth="1"/>
    <col min="16146" max="16146" width="27.5703125" style="162" customWidth="1"/>
    <col min="16147" max="16147" width="41.42578125" style="162" customWidth="1"/>
    <col min="16148" max="16148" width="39.140625" style="162" customWidth="1"/>
    <col min="16149" max="16149" width="27" style="162" customWidth="1"/>
    <col min="16150" max="16150" width="36.140625" style="162" customWidth="1"/>
    <col min="16151" max="16151" width="31.28515625" style="162" customWidth="1"/>
    <col min="16152" max="16152" width="44.140625" style="162" customWidth="1"/>
    <col min="16153" max="16153" width="42.5703125" style="162" customWidth="1"/>
    <col min="16154" max="16154" width="27.140625" style="162" customWidth="1"/>
    <col min="16155" max="16155" width="33.28515625" style="162" customWidth="1"/>
    <col min="16156" max="16156" width="27" style="162" customWidth="1"/>
    <col min="16157" max="16157" width="38.5703125" style="162" customWidth="1"/>
    <col min="16158" max="16158" width="23.85546875" style="162" customWidth="1"/>
    <col min="16159" max="16159" width="10.42578125" style="162" customWidth="1"/>
    <col min="16160" max="16160" width="10.28515625" style="162" customWidth="1"/>
    <col min="16161" max="16161" width="7.28515625" style="162" customWidth="1"/>
    <col min="16162" max="16163" width="0" style="162" hidden="1" customWidth="1"/>
    <col min="16164" max="16384" width="9.140625" style="162"/>
  </cols>
  <sheetData>
    <row r="1" spans="2:35" ht="2.25" customHeight="1" x14ac:dyDescent="0.25"/>
    <row r="2" spans="2:35" ht="77.25" customHeight="1" x14ac:dyDescent="0.25">
      <c r="B2" s="518" t="s">
        <v>131</v>
      </c>
      <c r="C2" s="518"/>
      <c r="D2" s="518"/>
      <c r="E2" s="518"/>
      <c r="F2" s="518"/>
      <c r="G2" s="519" t="s">
        <v>132</v>
      </c>
      <c r="H2" s="519"/>
      <c r="I2" s="519"/>
      <c r="J2" s="519"/>
      <c r="K2" s="519"/>
      <c r="L2" s="519"/>
      <c r="M2" s="519"/>
      <c r="N2" s="519"/>
      <c r="O2" s="519"/>
      <c r="P2" s="519"/>
      <c r="Q2" s="519"/>
      <c r="R2" s="519"/>
      <c r="S2" s="519"/>
      <c r="T2" s="519"/>
      <c r="U2" s="519"/>
      <c r="V2" s="519"/>
      <c r="W2" s="519"/>
      <c r="X2" s="519"/>
      <c r="Y2" s="519"/>
      <c r="Z2" s="519"/>
      <c r="AA2" s="519"/>
      <c r="AB2" s="519"/>
      <c r="AC2" s="164" t="s">
        <v>133</v>
      </c>
      <c r="AD2" s="164" t="s">
        <v>0</v>
      </c>
      <c r="AE2" s="165"/>
      <c r="AF2" s="165"/>
      <c r="AG2" s="165"/>
      <c r="AH2" s="165"/>
      <c r="AI2" s="165"/>
    </row>
    <row r="3" spans="2:35" ht="65.25" customHeight="1" x14ac:dyDescent="0.25">
      <c r="B3" s="518"/>
      <c r="C3" s="518"/>
      <c r="D3" s="518"/>
      <c r="E3" s="518"/>
      <c r="F3" s="518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19"/>
      <c r="Y3" s="519"/>
      <c r="Z3" s="519"/>
      <c r="AA3" s="519"/>
      <c r="AB3" s="519"/>
      <c r="AC3" s="288"/>
      <c r="AD3" s="289"/>
      <c r="AE3" s="162"/>
      <c r="AH3" s="520"/>
      <c r="AI3" s="521"/>
    </row>
    <row r="4" spans="2:35" ht="26.25" customHeight="1" x14ac:dyDescent="0.25">
      <c r="B4" s="168"/>
      <c r="C4" s="166"/>
      <c r="D4" s="166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6"/>
      <c r="Q4" s="166"/>
      <c r="R4" s="166"/>
      <c r="S4" s="170"/>
      <c r="T4" s="170"/>
      <c r="U4" s="170"/>
      <c r="V4" s="170"/>
      <c r="W4" s="170"/>
      <c r="X4" s="166"/>
      <c r="Y4" s="170"/>
      <c r="Z4" s="170"/>
      <c r="AA4" s="170"/>
      <c r="AB4" s="170"/>
      <c r="AC4" s="296" t="s">
        <v>130</v>
      </c>
      <c r="AD4" s="307"/>
      <c r="AE4" s="162"/>
      <c r="AI4" s="171"/>
    </row>
    <row r="5" spans="2:35" ht="66" customHeight="1" x14ac:dyDescent="0.25">
      <c r="B5" s="172" t="s">
        <v>134</v>
      </c>
      <c r="C5" s="173"/>
      <c r="D5" s="173"/>
      <c r="E5" s="166"/>
      <c r="G5" s="174" t="s">
        <v>22</v>
      </c>
      <c r="H5" s="174"/>
      <c r="I5" s="166"/>
      <c r="J5" s="166"/>
      <c r="K5" s="166"/>
      <c r="L5" s="166"/>
      <c r="M5" s="166"/>
      <c r="N5" s="166"/>
      <c r="O5" s="166"/>
      <c r="P5" s="166"/>
      <c r="Q5" s="166"/>
      <c r="R5" s="166"/>
      <c r="S5" s="166"/>
      <c r="T5" s="166"/>
      <c r="U5" s="166"/>
      <c r="V5" s="166"/>
      <c r="W5" s="166"/>
      <c r="X5" s="166"/>
      <c r="Y5" s="166"/>
      <c r="Z5" s="166"/>
      <c r="AA5" s="166"/>
      <c r="AB5" s="166"/>
      <c r="AD5" s="171"/>
      <c r="AE5" s="162"/>
      <c r="AI5" s="171"/>
    </row>
    <row r="6" spans="2:35" ht="73.5" customHeight="1" x14ac:dyDescent="0.25">
      <c r="B6" s="175" t="s">
        <v>38</v>
      </c>
      <c r="C6" s="176" t="s">
        <v>41</v>
      </c>
      <c r="D6" s="302"/>
      <c r="E6" s="177"/>
      <c r="G6" s="174" t="s">
        <v>23</v>
      </c>
      <c r="H6" s="174"/>
      <c r="I6" s="277" t="s">
        <v>198</v>
      </c>
      <c r="J6" s="278"/>
      <c r="K6" s="174" t="s">
        <v>24</v>
      </c>
      <c r="L6" s="277" t="s">
        <v>198</v>
      </c>
      <c r="M6" s="278"/>
      <c r="N6" s="174" t="s">
        <v>25</v>
      </c>
      <c r="O6" s="277" t="s">
        <v>198</v>
      </c>
      <c r="P6" s="278"/>
      <c r="Q6" s="174" t="s">
        <v>40</v>
      </c>
      <c r="R6" s="277" t="s">
        <v>198</v>
      </c>
      <c r="S6" s="278"/>
      <c r="T6" s="174" t="s">
        <v>26</v>
      </c>
      <c r="U6" s="179"/>
      <c r="V6" s="277" t="s">
        <v>198</v>
      </c>
      <c r="W6" s="278"/>
      <c r="X6" s="179"/>
      <c r="Z6" s="178"/>
      <c r="AA6" s="179"/>
      <c r="AD6" s="171"/>
      <c r="AF6" s="166"/>
      <c r="AI6" s="171"/>
    </row>
    <row r="7" spans="2:35" ht="81.75" customHeight="1" x14ac:dyDescent="0.25">
      <c r="B7" s="168"/>
      <c r="C7" s="180"/>
      <c r="D7" s="169"/>
      <c r="G7" s="181" t="s">
        <v>27</v>
      </c>
      <c r="H7" s="181"/>
      <c r="I7" s="297"/>
      <c r="J7" s="179"/>
      <c r="K7" s="181" t="s">
        <v>27</v>
      </c>
      <c r="L7" s="297"/>
      <c r="N7" s="181" t="s">
        <v>27</v>
      </c>
      <c r="O7" s="185"/>
      <c r="Q7" s="181" t="s">
        <v>27</v>
      </c>
      <c r="R7" s="185"/>
      <c r="T7" s="181" t="s">
        <v>27</v>
      </c>
      <c r="U7" s="185"/>
      <c r="X7" s="169"/>
      <c r="Z7" s="179"/>
      <c r="AA7" s="169"/>
      <c r="AD7" s="171"/>
      <c r="AI7" s="171"/>
    </row>
    <row r="8" spans="2:35" ht="81.75" customHeight="1" x14ac:dyDescent="0.25">
      <c r="B8" s="182"/>
      <c r="C8" s="183"/>
      <c r="G8" s="181" t="s">
        <v>28</v>
      </c>
      <c r="H8" s="181"/>
      <c r="I8" s="184"/>
      <c r="J8" s="179"/>
      <c r="K8" s="181" t="s">
        <v>28</v>
      </c>
      <c r="L8" s="184"/>
      <c r="N8" s="181" t="s">
        <v>28</v>
      </c>
      <c r="O8" s="184"/>
      <c r="Q8" s="181" t="s">
        <v>28</v>
      </c>
      <c r="R8" s="184"/>
      <c r="T8" s="181" t="s">
        <v>29</v>
      </c>
      <c r="U8" s="184"/>
      <c r="X8" s="186"/>
      <c r="Z8" s="179"/>
      <c r="AA8" s="186"/>
      <c r="AD8" s="171"/>
      <c r="AF8" s="187"/>
      <c r="AI8" s="171"/>
    </row>
    <row r="9" spans="2:35" ht="55.5" customHeight="1" x14ac:dyDescent="0.25">
      <c r="B9" s="168"/>
      <c r="C9" s="166"/>
      <c r="D9" s="166"/>
      <c r="E9" s="186"/>
      <c r="F9" s="187"/>
      <c r="G9" s="188" t="s">
        <v>135</v>
      </c>
      <c r="H9" s="188"/>
      <c r="I9" s="298"/>
      <c r="J9" s="166"/>
      <c r="K9" s="188" t="s">
        <v>135</v>
      </c>
      <c r="L9" s="299"/>
      <c r="N9" s="188" t="s">
        <v>135</v>
      </c>
      <c r="O9" s="300"/>
      <c r="Q9" s="188" t="s">
        <v>135</v>
      </c>
      <c r="R9" s="301"/>
      <c r="T9" s="188" t="s">
        <v>135</v>
      </c>
      <c r="U9" s="301"/>
      <c r="X9" s="177"/>
      <c r="Z9" s="189"/>
      <c r="AA9" s="177"/>
      <c r="AD9" s="190"/>
      <c r="AE9" s="162"/>
      <c r="AF9" s="187"/>
      <c r="AI9" s="171"/>
    </row>
    <row r="10" spans="2:35" ht="45" customHeight="1" x14ac:dyDescent="0.25">
      <c r="B10" s="436" t="s">
        <v>136</v>
      </c>
      <c r="C10" s="436"/>
      <c r="D10" s="436"/>
      <c r="E10" s="436"/>
      <c r="F10" s="436"/>
      <c r="G10" s="436"/>
      <c r="H10" s="436"/>
      <c r="I10" s="436"/>
      <c r="J10" s="436"/>
      <c r="K10" s="436"/>
      <c r="L10" s="436"/>
      <c r="M10" s="436"/>
      <c r="N10" s="436"/>
      <c r="O10" s="436"/>
      <c r="P10" s="436"/>
      <c r="Q10" s="436"/>
      <c r="R10" s="436"/>
      <c r="S10" s="436"/>
      <c r="T10" s="436"/>
      <c r="U10" s="436"/>
      <c r="V10" s="436"/>
      <c r="W10" s="436"/>
      <c r="X10" s="436"/>
      <c r="Y10" s="436"/>
      <c r="Z10" s="436"/>
      <c r="AA10" s="436"/>
      <c r="AB10" s="436"/>
      <c r="AC10" s="436"/>
      <c r="AD10" s="436"/>
      <c r="AE10" s="191"/>
      <c r="AI10" s="171"/>
    </row>
    <row r="11" spans="2:35" ht="48.75" customHeight="1" x14ac:dyDescent="0.25">
      <c r="B11" s="467" t="s">
        <v>30</v>
      </c>
      <c r="C11" s="468"/>
      <c r="D11" s="468"/>
      <c r="E11" s="468"/>
      <c r="F11" s="468"/>
      <c r="G11" s="468"/>
      <c r="H11" s="468"/>
      <c r="I11" s="516"/>
      <c r="J11" s="469" t="s">
        <v>12</v>
      </c>
      <c r="K11" s="469"/>
      <c r="L11" s="469"/>
      <c r="M11" s="469"/>
      <c r="N11" s="469"/>
      <c r="O11" s="469"/>
      <c r="P11" s="469"/>
      <c r="Q11" s="469"/>
      <c r="R11" s="467" t="s">
        <v>31</v>
      </c>
      <c r="S11" s="468"/>
      <c r="T11" s="468"/>
      <c r="U11" s="468"/>
      <c r="V11" s="468"/>
      <c r="W11" s="468"/>
      <c r="X11" s="468"/>
      <c r="Y11" s="468"/>
      <c r="Z11" s="468"/>
      <c r="AA11" s="516"/>
      <c r="AB11" s="522" t="s">
        <v>13</v>
      </c>
      <c r="AC11" s="522"/>
      <c r="AD11" s="408"/>
      <c r="AE11" s="162"/>
      <c r="AI11" s="171"/>
    </row>
    <row r="12" spans="2:35" ht="39" customHeight="1" x14ac:dyDescent="0.25">
      <c r="B12" s="525" t="s">
        <v>137</v>
      </c>
      <c r="C12" s="469" t="s">
        <v>138</v>
      </c>
      <c r="D12" s="469"/>
      <c r="E12" s="469"/>
      <c r="F12" s="421" t="s">
        <v>139</v>
      </c>
      <c r="G12" s="422"/>
      <c r="H12" s="421" t="s">
        <v>140</v>
      </c>
      <c r="I12" s="422"/>
      <c r="J12" s="469" t="s">
        <v>141</v>
      </c>
      <c r="K12" s="469"/>
      <c r="L12" s="469"/>
      <c r="M12" s="469"/>
      <c r="N12" s="469" t="s">
        <v>142</v>
      </c>
      <c r="O12" s="469"/>
      <c r="P12" s="469"/>
      <c r="Q12" s="469"/>
      <c r="R12" s="467" t="s">
        <v>141</v>
      </c>
      <c r="S12" s="468"/>
      <c r="T12" s="468"/>
      <c r="U12" s="468"/>
      <c r="V12" s="516"/>
      <c r="W12" s="469" t="s">
        <v>142</v>
      </c>
      <c r="X12" s="469"/>
      <c r="Y12" s="469"/>
      <c r="Z12" s="469"/>
      <c r="AA12" s="469"/>
      <c r="AB12" s="523"/>
      <c r="AC12" s="523"/>
      <c r="AD12" s="486"/>
      <c r="AE12" s="162"/>
      <c r="AI12" s="171"/>
    </row>
    <row r="13" spans="2:35" ht="92.25" customHeight="1" x14ac:dyDescent="0.25">
      <c r="B13" s="526"/>
      <c r="C13" s="469"/>
      <c r="D13" s="469"/>
      <c r="E13" s="469"/>
      <c r="F13" s="423"/>
      <c r="G13" s="424"/>
      <c r="H13" s="423"/>
      <c r="I13" s="424"/>
      <c r="J13" s="164" t="s">
        <v>14</v>
      </c>
      <c r="K13" s="469" t="s">
        <v>143</v>
      </c>
      <c r="L13" s="469"/>
      <c r="M13" s="164" t="s">
        <v>144</v>
      </c>
      <c r="N13" s="164" t="s">
        <v>14</v>
      </c>
      <c r="O13" s="469" t="s">
        <v>143</v>
      </c>
      <c r="P13" s="469"/>
      <c r="Q13" s="164" t="s">
        <v>144</v>
      </c>
      <c r="R13" s="164" t="s">
        <v>145</v>
      </c>
      <c r="S13" s="164" t="s">
        <v>146</v>
      </c>
      <c r="T13" s="164" t="s">
        <v>147</v>
      </c>
      <c r="U13" s="164" t="s">
        <v>148</v>
      </c>
      <c r="V13" s="164" t="s">
        <v>144</v>
      </c>
      <c r="W13" s="164" t="s">
        <v>149</v>
      </c>
      <c r="X13" s="164" t="s">
        <v>150</v>
      </c>
      <c r="Y13" s="164" t="s">
        <v>147</v>
      </c>
      <c r="Z13" s="164" t="s">
        <v>148</v>
      </c>
      <c r="AA13" s="164" t="s">
        <v>144</v>
      </c>
      <c r="AB13" s="524"/>
      <c r="AC13" s="524"/>
      <c r="AD13" s="410"/>
      <c r="AE13" s="162"/>
      <c r="AI13" s="171"/>
    </row>
    <row r="14" spans="2:35" ht="45" customHeight="1" x14ac:dyDescent="0.25">
      <c r="B14" s="502">
        <v>1</v>
      </c>
      <c r="C14" s="503" t="s">
        <v>23</v>
      </c>
      <c r="D14" s="503"/>
      <c r="E14" s="503"/>
      <c r="F14" s="487"/>
      <c r="G14" s="488"/>
      <c r="H14" s="493"/>
      <c r="I14" s="494"/>
      <c r="J14" s="502"/>
      <c r="K14" s="434"/>
      <c r="L14" s="434"/>
      <c r="M14" s="502"/>
      <c r="N14" s="502"/>
      <c r="O14" s="434"/>
      <c r="P14" s="434"/>
      <c r="Q14" s="515"/>
      <c r="R14" s="427"/>
      <c r="S14" s="427"/>
      <c r="T14" s="427" t="str">
        <f>IF(S14="","",S14-R14)</f>
        <v/>
      </c>
      <c r="U14" s="427" t="str">
        <f>IF(S14="","",((R14+S14)/2))</f>
        <v/>
      </c>
      <c r="V14" s="430"/>
      <c r="W14" s="427"/>
      <c r="X14" s="427"/>
      <c r="Y14" s="427" t="str">
        <f>IF(X14="","",X14-W14)</f>
        <v/>
      </c>
      <c r="Z14" s="427" t="str">
        <f>IF(X14="","",((W14+X14)/2))</f>
        <v/>
      </c>
      <c r="AA14" s="430"/>
      <c r="AB14" s="506"/>
      <c r="AC14" s="507"/>
      <c r="AD14" s="508"/>
      <c r="AE14" s="162"/>
      <c r="AI14" s="171"/>
    </row>
    <row r="15" spans="2:35" ht="45" customHeight="1" x14ac:dyDescent="0.25">
      <c r="B15" s="502"/>
      <c r="C15" s="503"/>
      <c r="D15" s="503"/>
      <c r="E15" s="503"/>
      <c r="F15" s="489"/>
      <c r="G15" s="490"/>
      <c r="H15" s="495"/>
      <c r="I15" s="447"/>
      <c r="J15" s="502"/>
      <c r="K15" s="434"/>
      <c r="L15" s="434"/>
      <c r="M15" s="502"/>
      <c r="N15" s="502"/>
      <c r="O15" s="434"/>
      <c r="P15" s="434"/>
      <c r="Q15" s="502"/>
      <c r="R15" s="428"/>
      <c r="S15" s="428"/>
      <c r="T15" s="428"/>
      <c r="U15" s="428"/>
      <c r="V15" s="431"/>
      <c r="W15" s="428"/>
      <c r="X15" s="428"/>
      <c r="Y15" s="428"/>
      <c r="Z15" s="428"/>
      <c r="AA15" s="431"/>
      <c r="AB15" s="509"/>
      <c r="AC15" s="510"/>
      <c r="AD15" s="511"/>
      <c r="AE15" s="162"/>
      <c r="AI15" s="171"/>
    </row>
    <row r="16" spans="2:35" ht="45" customHeight="1" x14ac:dyDescent="0.25">
      <c r="B16" s="502"/>
      <c r="C16" s="503"/>
      <c r="D16" s="503"/>
      <c r="E16" s="503"/>
      <c r="F16" s="491"/>
      <c r="G16" s="492"/>
      <c r="H16" s="496"/>
      <c r="I16" s="497"/>
      <c r="J16" s="502"/>
      <c r="K16" s="434"/>
      <c r="L16" s="434"/>
      <c r="M16" s="502"/>
      <c r="N16" s="502"/>
      <c r="O16" s="434"/>
      <c r="P16" s="434"/>
      <c r="Q16" s="502"/>
      <c r="R16" s="429"/>
      <c r="S16" s="429"/>
      <c r="T16" s="429"/>
      <c r="U16" s="429"/>
      <c r="V16" s="432"/>
      <c r="W16" s="429"/>
      <c r="X16" s="429"/>
      <c r="Y16" s="429"/>
      <c r="Z16" s="429"/>
      <c r="AA16" s="432"/>
      <c r="AB16" s="512"/>
      <c r="AC16" s="513"/>
      <c r="AD16" s="514"/>
      <c r="AE16" s="162"/>
      <c r="AI16" s="171"/>
    </row>
    <row r="17" spans="2:35" ht="45" customHeight="1" x14ac:dyDescent="0.25">
      <c r="B17" s="502">
        <v>2</v>
      </c>
      <c r="C17" s="503" t="s">
        <v>24</v>
      </c>
      <c r="D17" s="503"/>
      <c r="E17" s="503"/>
      <c r="F17" s="487"/>
      <c r="G17" s="488"/>
      <c r="H17" s="493"/>
      <c r="I17" s="494"/>
      <c r="J17" s="502"/>
      <c r="K17" s="434"/>
      <c r="L17" s="434"/>
      <c r="M17" s="502"/>
      <c r="N17" s="502"/>
      <c r="O17" s="434"/>
      <c r="P17" s="434"/>
      <c r="Q17" s="502"/>
      <c r="R17" s="427"/>
      <c r="S17" s="427"/>
      <c r="T17" s="427" t="str">
        <f t="shared" ref="T17" si="0">IF(S17="","",S17-R17)</f>
        <v/>
      </c>
      <c r="U17" s="427" t="str">
        <f t="shared" ref="U17" si="1">IF(S17="","",((R17+S17)/2))</f>
        <v/>
      </c>
      <c r="V17" s="430"/>
      <c r="W17" s="427"/>
      <c r="X17" s="427"/>
      <c r="Y17" s="427" t="str">
        <f t="shared" ref="Y17" si="2">IF(X17="","",X17-W17)</f>
        <v/>
      </c>
      <c r="Z17" s="427" t="str">
        <f t="shared" ref="Z17" si="3">IF(X17="","",((W17+X17)/2))</f>
        <v/>
      </c>
      <c r="AA17" s="430"/>
      <c r="AB17" s="506"/>
      <c r="AC17" s="507"/>
      <c r="AD17" s="508"/>
      <c r="AE17" s="162"/>
      <c r="AI17" s="171"/>
    </row>
    <row r="18" spans="2:35" ht="45" customHeight="1" x14ac:dyDescent="0.25">
      <c r="B18" s="502"/>
      <c r="C18" s="503"/>
      <c r="D18" s="503"/>
      <c r="E18" s="503"/>
      <c r="F18" s="489"/>
      <c r="G18" s="490"/>
      <c r="H18" s="495"/>
      <c r="I18" s="447"/>
      <c r="J18" s="502"/>
      <c r="K18" s="434"/>
      <c r="L18" s="434"/>
      <c r="M18" s="502"/>
      <c r="N18" s="502"/>
      <c r="O18" s="434"/>
      <c r="P18" s="434"/>
      <c r="Q18" s="502"/>
      <c r="R18" s="428"/>
      <c r="S18" s="428"/>
      <c r="T18" s="428"/>
      <c r="U18" s="428"/>
      <c r="V18" s="431"/>
      <c r="W18" s="428"/>
      <c r="X18" s="428"/>
      <c r="Y18" s="428"/>
      <c r="Z18" s="428"/>
      <c r="AA18" s="431"/>
      <c r="AB18" s="509"/>
      <c r="AC18" s="510"/>
      <c r="AD18" s="511"/>
      <c r="AE18" s="162"/>
      <c r="AI18" s="171"/>
    </row>
    <row r="19" spans="2:35" ht="45" customHeight="1" x14ac:dyDescent="0.25">
      <c r="B19" s="502"/>
      <c r="C19" s="503"/>
      <c r="D19" s="503"/>
      <c r="E19" s="503"/>
      <c r="F19" s="491"/>
      <c r="G19" s="492"/>
      <c r="H19" s="496"/>
      <c r="I19" s="497"/>
      <c r="J19" s="502"/>
      <c r="K19" s="434"/>
      <c r="L19" s="434"/>
      <c r="M19" s="502"/>
      <c r="N19" s="502"/>
      <c r="O19" s="434"/>
      <c r="P19" s="434"/>
      <c r="Q19" s="502"/>
      <c r="R19" s="429"/>
      <c r="S19" s="429"/>
      <c r="T19" s="429"/>
      <c r="U19" s="429"/>
      <c r="V19" s="432"/>
      <c r="W19" s="429"/>
      <c r="X19" s="429"/>
      <c r="Y19" s="429"/>
      <c r="Z19" s="429"/>
      <c r="AA19" s="432"/>
      <c r="AB19" s="512"/>
      <c r="AC19" s="513"/>
      <c r="AD19" s="514"/>
      <c r="AE19" s="162"/>
      <c r="AI19" s="171"/>
    </row>
    <row r="20" spans="2:35" ht="45" customHeight="1" x14ac:dyDescent="0.25">
      <c r="B20" s="502">
        <v>3</v>
      </c>
      <c r="C20" s="503" t="s">
        <v>25</v>
      </c>
      <c r="D20" s="503"/>
      <c r="E20" s="503"/>
      <c r="F20" s="487"/>
      <c r="G20" s="488"/>
      <c r="H20" s="493"/>
      <c r="I20" s="494"/>
      <c r="J20" s="504"/>
      <c r="K20" s="434"/>
      <c r="L20" s="434"/>
      <c r="M20" s="504"/>
      <c r="N20" s="502"/>
      <c r="O20" s="434"/>
      <c r="P20" s="434"/>
      <c r="Q20" s="502"/>
      <c r="R20" s="427"/>
      <c r="S20" s="427"/>
      <c r="T20" s="427" t="str">
        <f t="shared" ref="T20" si="4">IF(S20="","",S20-R20)</f>
        <v/>
      </c>
      <c r="U20" s="427" t="str">
        <f t="shared" ref="U20" si="5">IF(S20="","",((R20+S20)/2))</f>
        <v/>
      </c>
      <c r="V20" s="430"/>
      <c r="W20" s="427"/>
      <c r="X20" s="427"/>
      <c r="Y20" s="427" t="str">
        <f t="shared" ref="Y20" si="6">IF(X20="","",X20-W20)</f>
        <v/>
      </c>
      <c r="Z20" s="427" t="str">
        <f t="shared" ref="Z20" si="7">IF(X20="","",((W20+X20)/2))</f>
        <v/>
      </c>
      <c r="AA20" s="430"/>
      <c r="AB20" s="493"/>
      <c r="AC20" s="501"/>
      <c r="AD20" s="494"/>
      <c r="AE20" s="162"/>
      <c r="AI20" s="171"/>
    </row>
    <row r="21" spans="2:35" ht="45" customHeight="1" x14ac:dyDescent="0.25">
      <c r="B21" s="502"/>
      <c r="C21" s="503"/>
      <c r="D21" s="503"/>
      <c r="E21" s="503"/>
      <c r="F21" s="489"/>
      <c r="G21" s="490"/>
      <c r="H21" s="495"/>
      <c r="I21" s="447"/>
      <c r="J21" s="504"/>
      <c r="K21" s="434"/>
      <c r="L21" s="434"/>
      <c r="M21" s="504"/>
      <c r="N21" s="502"/>
      <c r="O21" s="434"/>
      <c r="P21" s="434"/>
      <c r="Q21" s="502"/>
      <c r="R21" s="428"/>
      <c r="S21" s="428"/>
      <c r="T21" s="428"/>
      <c r="U21" s="428"/>
      <c r="V21" s="431"/>
      <c r="W21" s="428"/>
      <c r="X21" s="428"/>
      <c r="Y21" s="428"/>
      <c r="Z21" s="428"/>
      <c r="AA21" s="431"/>
      <c r="AB21" s="495"/>
      <c r="AC21" s="446"/>
      <c r="AD21" s="447"/>
      <c r="AE21" s="162"/>
      <c r="AI21" s="171"/>
    </row>
    <row r="22" spans="2:35" ht="45" customHeight="1" x14ac:dyDescent="0.25">
      <c r="B22" s="502"/>
      <c r="C22" s="503"/>
      <c r="D22" s="503"/>
      <c r="E22" s="503"/>
      <c r="F22" s="491"/>
      <c r="G22" s="492"/>
      <c r="H22" s="496"/>
      <c r="I22" s="497"/>
      <c r="J22" s="504"/>
      <c r="K22" s="434"/>
      <c r="L22" s="434"/>
      <c r="M22" s="504"/>
      <c r="N22" s="502"/>
      <c r="O22" s="434"/>
      <c r="P22" s="434"/>
      <c r="Q22" s="502"/>
      <c r="R22" s="429"/>
      <c r="S22" s="429"/>
      <c r="T22" s="429"/>
      <c r="U22" s="429"/>
      <c r="V22" s="432"/>
      <c r="W22" s="429"/>
      <c r="X22" s="429"/>
      <c r="Y22" s="429"/>
      <c r="Z22" s="429"/>
      <c r="AA22" s="432"/>
      <c r="AB22" s="496"/>
      <c r="AC22" s="437"/>
      <c r="AD22" s="497"/>
      <c r="AE22" s="162"/>
      <c r="AI22" s="171"/>
    </row>
    <row r="23" spans="2:35" ht="45" customHeight="1" x14ac:dyDescent="0.25">
      <c r="B23" s="502">
        <v>4</v>
      </c>
      <c r="C23" s="503" t="s">
        <v>39</v>
      </c>
      <c r="D23" s="503"/>
      <c r="E23" s="503"/>
      <c r="F23" s="487"/>
      <c r="G23" s="488"/>
      <c r="H23" s="493"/>
      <c r="I23" s="494"/>
      <c r="J23" s="504"/>
      <c r="K23" s="505"/>
      <c r="L23" s="505"/>
      <c r="M23" s="504"/>
      <c r="N23" s="484"/>
      <c r="O23" s="434"/>
      <c r="P23" s="434"/>
      <c r="Q23" s="484"/>
      <c r="R23" s="427"/>
      <c r="S23" s="427"/>
      <c r="T23" s="427" t="str">
        <f t="shared" ref="T23" si="8">IF(S23="","",S23-R23)</f>
        <v/>
      </c>
      <c r="U23" s="427" t="str">
        <f t="shared" ref="U23" si="9">IF(S23="","",((R23+S23)/2))</f>
        <v/>
      </c>
      <c r="V23" s="430"/>
      <c r="W23" s="427"/>
      <c r="X23" s="427"/>
      <c r="Y23" s="427" t="str">
        <f t="shared" ref="Y23" si="10">IF(X23="","",X23-W23)</f>
        <v/>
      </c>
      <c r="Z23" s="427" t="str">
        <f t="shared" ref="Z23" si="11">IF(X23="","",((W23+X23)/2))</f>
        <v/>
      </c>
      <c r="AA23" s="430"/>
      <c r="AB23" s="493"/>
      <c r="AC23" s="501"/>
      <c r="AD23" s="494"/>
      <c r="AE23" s="162"/>
      <c r="AI23" s="171"/>
    </row>
    <row r="24" spans="2:35" ht="45" customHeight="1" x14ac:dyDescent="0.25">
      <c r="B24" s="502"/>
      <c r="C24" s="503"/>
      <c r="D24" s="503"/>
      <c r="E24" s="503"/>
      <c r="F24" s="489"/>
      <c r="G24" s="490"/>
      <c r="H24" s="495"/>
      <c r="I24" s="447"/>
      <c r="J24" s="504"/>
      <c r="K24" s="505"/>
      <c r="L24" s="505"/>
      <c r="M24" s="504"/>
      <c r="N24" s="484"/>
      <c r="O24" s="434"/>
      <c r="P24" s="434"/>
      <c r="Q24" s="484"/>
      <c r="R24" s="428"/>
      <c r="S24" s="428"/>
      <c r="T24" s="428"/>
      <c r="U24" s="428"/>
      <c r="V24" s="431"/>
      <c r="W24" s="428"/>
      <c r="X24" s="428"/>
      <c r="Y24" s="428"/>
      <c r="Z24" s="428"/>
      <c r="AA24" s="431"/>
      <c r="AB24" s="495"/>
      <c r="AC24" s="446"/>
      <c r="AD24" s="447"/>
      <c r="AE24" s="162"/>
      <c r="AI24" s="171"/>
    </row>
    <row r="25" spans="2:35" ht="45" customHeight="1" x14ac:dyDescent="0.25">
      <c r="B25" s="502"/>
      <c r="C25" s="503"/>
      <c r="D25" s="503"/>
      <c r="E25" s="503"/>
      <c r="F25" s="491"/>
      <c r="G25" s="492"/>
      <c r="H25" s="496"/>
      <c r="I25" s="497"/>
      <c r="J25" s="504"/>
      <c r="K25" s="505"/>
      <c r="L25" s="505"/>
      <c r="M25" s="504"/>
      <c r="N25" s="484"/>
      <c r="O25" s="434"/>
      <c r="P25" s="434"/>
      <c r="Q25" s="484"/>
      <c r="R25" s="429"/>
      <c r="S25" s="429"/>
      <c r="T25" s="429"/>
      <c r="U25" s="429"/>
      <c r="V25" s="432"/>
      <c r="W25" s="429"/>
      <c r="X25" s="429"/>
      <c r="Y25" s="429"/>
      <c r="Z25" s="429"/>
      <c r="AA25" s="432"/>
      <c r="AB25" s="496"/>
      <c r="AC25" s="437"/>
      <c r="AD25" s="497"/>
      <c r="AE25" s="162"/>
      <c r="AI25" s="171"/>
    </row>
    <row r="26" spans="2:35" ht="45" customHeight="1" x14ac:dyDescent="0.25">
      <c r="B26" s="434">
        <v>5</v>
      </c>
      <c r="C26" s="484" t="s">
        <v>151</v>
      </c>
      <c r="D26" s="484"/>
      <c r="E26" s="484"/>
      <c r="F26" s="487"/>
      <c r="G26" s="488"/>
      <c r="H26" s="493"/>
      <c r="I26" s="494"/>
      <c r="J26" s="498"/>
      <c r="K26" s="500"/>
      <c r="L26" s="500"/>
      <c r="M26" s="478"/>
      <c r="N26" s="480"/>
      <c r="O26" s="482"/>
      <c r="P26" s="483"/>
      <c r="Q26" s="195"/>
      <c r="R26" s="427"/>
      <c r="S26" s="427"/>
      <c r="T26" s="427" t="str">
        <f t="shared" ref="T26" si="12">IF(S26="","",S26-R26)</f>
        <v/>
      </c>
      <c r="U26" s="427" t="str">
        <f t="shared" ref="U26" si="13">IF(S26="","",((R26+S26)/2))</f>
        <v/>
      </c>
      <c r="V26" s="430"/>
      <c r="W26" s="427"/>
      <c r="X26" s="427"/>
      <c r="Y26" s="427" t="str">
        <f t="shared" ref="Y26" si="14">IF(X26="","",X26-W26)</f>
        <v/>
      </c>
      <c r="Z26" s="427" t="str">
        <f t="shared" ref="Z26" si="15">IF(X26="","",((W26+X26)/2))</f>
        <v/>
      </c>
      <c r="AA26" s="430"/>
      <c r="AB26" s="466"/>
      <c r="AC26" s="466"/>
      <c r="AD26" s="466"/>
      <c r="AE26" s="162"/>
      <c r="AI26" s="171"/>
    </row>
    <row r="27" spans="2:35" ht="45" customHeight="1" x14ac:dyDescent="0.25">
      <c r="B27" s="434"/>
      <c r="C27" s="484"/>
      <c r="D27" s="484"/>
      <c r="E27" s="484"/>
      <c r="F27" s="489"/>
      <c r="G27" s="490"/>
      <c r="H27" s="495"/>
      <c r="I27" s="447"/>
      <c r="J27" s="498"/>
      <c r="K27" s="434"/>
      <c r="L27" s="434"/>
      <c r="M27" s="478"/>
      <c r="N27" s="481"/>
      <c r="O27" s="482"/>
      <c r="P27" s="483"/>
      <c r="Q27" s="196"/>
      <c r="R27" s="428"/>
      <c r="S27" s="428"/>
      <c r="T27" s="428"/>
      <c r="U27" s="428"/>
      <c r="V27" s="431"/>
      <c r="W27" s="428"/>
      <c r="X27" s="428"/>
      <c r="Y27" s="428"/>
      <c r="Z27" s="428"/>
      <c r="AA27" s="431"/>
      <c r="AB27" s="466"/>
      <c r="AC27" s="466"/>
      <c r="AD27" s="466"/>
      <c r="AE27" s="162"/>
      <c r="AI27" s="171"/>
    </row>
    <row r="28" spans="2:35" ht="45" customHeight="1" x14ac:dyDescent="0.25">
      <c r="B28" s="434"/>
      <c r="C28" s="484"/>
      <c r="D28" s="484"/>
      <c r="E28" s="484"/>
      <c r="F28" s="491"/>
      <c r="G28" s="492"/>
      <c r="H28" s="496"/>
      <c r="I28" s="497"/>
      <c r="J28" s="499"/>
      <c r="K28" s="434"/>
      <c r="L28" s="434"/>
      <c r="M28" s="479"/>
      <c r="N28" s="481"/>
      <c r="O28" s="482"/>
      <c r="P28" s="483"/>
      <c r="Q28" s="196"/>
      <c r="R28" s="429"/>
      <c r="S28" s="429"/>
      <c r="T28" s="429"/>
      <c r="U28" s="429"/>
      <c r="V28" s="432"/>
      <c r="W28" s="429"/>
      <c r="X28" s="429"/>
      <c r="Y28" s="429"/>
      <c r="Z28" s="429"/>
      <c r="AA28" s="432"/>
      <c r="AB28" s="466"/>
      <c r="AC28" s="466"/>
      <c r="AD28" s="466"/>
      <c r="AE28" s="162"/>
      <c r="AI28" s="171"/>
    </row>
    <row r="29" spans="2:35" ht="30" customHeight="1" x14ac:dyDescent="0.25">
      <c r="B29" s="182"/>
      <c r="C29" s="194"/>
      <c r="D29" s="194"/>
      <c r="E29" s="194"/>
      <c r="G29" s="183"/>
      <c r="H29" s="183"/>
      <c r="I29" s="197"/>
      <c r="J29" s="198"/>
      <c r="K29" s="198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  <c r="Y29" s="194"/>
      <c r="Z29" s="194"/>
      <c r="AA29" s="194"/>
      <c r="AB29" s="194"/>
      <c r="AD29" s="171"/>
      <c r="AE29" s="162"/>
      <c r="AI29" s="171"/>
    </row>
    <row r="30" spans="2:35" ht="47.25" customHeight="1" x14ac:dyDescent="0.25">
      <c r="B30" s="467" t="s">
        <v>30</v>
      </c>
      <c r="C30" s="468"/>
      <c r="D30" s="468"/>
      <c r="E30" s="468"/>
      <c r="F30" s="469" t="s">
        <v>31</v>
      </c>
      <c r="G30" s="469"/>
      <c r="H30" s="469"/>
      <c r="I30" s="469"/>
      <c r="J30" s="469"/>
      <c r="K30" s="469"/>
      <c r="L30" s="469"/>
      <c r="M30" s="469"/>
      <c r="N30" s="469"/>
      <c r="O30" s="469"/>
      <c r="P30" s="469"/>
      <c r="Q30" s="469"/>
      <c r="R30" s="469"/>
      <c r="S30" s="469"/>
      <c r="T30" s="469"/>
      <c r="U30" s="469"/>
      <c r="V30" s="469"/>
      <c r="W30" s="469"/>
      <c r="X30" s="469"/>
      <c r="Y30" s="469"/>
      <c r="Z30" s="469"/>
      <c r="AA30" s="469"/>
      <c r="AB30" s="469"/>
      <c r="AC30" s="469"/>
      <c r="AD30" s="469"/>
      <c r="AE30" s="162"/>
      <c r="AI30" s="171"/>
    </row>
    <row r="31" spans="2:35" ht="54" customHeight="1" x14ac:dyDescent="0.25">
      <c r="B31" s="470" t="s">
        <v>152</v>
      </c>
      <c r="C31" s="472" t="s">
        <v>153</v>
      </c>
      <c r="D31" s="473"/>
      <c r="E31" s="422"/>
      <c r="F31" s="412" t="s">
        <v>154</v>
      </c>
      <c r="G31" s="412"/>
      <c r="H31" s="412"/>
      <c r="I31" s="412"/>
      <c r="J31" s="412"/>
      <c r="K31" s="199"/>
      <c r="L31" s="477" t="s">
        <v>155</v>
      </c>
      <c r="M31" s="477"/>
      <c r="N31" s="477"/>
      <c r="O31" s="477"/>
      <c r="P31" s="477"/>
      <c r="Q31" s="200"/>
      <c r="R31" s="412" t="s">
        <v>156</v>
      </c>
      <c r="S31" s="412"/>
      <c r="T31" s="412"/>
      <c r="U31" s="412"/>
      <c r="V31" s="412"/>
      <c r="W31" s="201"/>
      <c r="X31" s="477" t="s">
        <v>157</v>
      </c>
      <c r="Y31" s="477"/>
      <c r="Z31" s="477"/>
      <c r="AA31" s="477"/>
      <c r="AB31" s="477"/>
      <c r="AC31" s="485" t="s">
        <v>13</v>
      </c>
      <c r="AD31" s="486"/>
      <c r="AE31" s="162"/>
      <c r="AI31" s="171"/>
    </row>
    <row r="32" spans="2:35" ht="88.5" customHeight="1" x14ac:dyDescent="0.25">
      <c r="B32" s="471"/>
      <c r="C32" s="474"/>
      <c r="D32" s="475"/>
      <c r="E32" s="476"/>
      <c r="F32" s="164" t="s">
        <v>145</v>
      </c>
      <c r="G32" s="164" t="s">
        <v>150</v>
      </c>
      <c r="H32" s="164" t="s">
        <v>147</v>
      </c>
      <c r="I32" s="164" t="s">
        <v>148</v>
      </c>
      <c r="J32" s="192" t="s">
        <v>144</v>
      </c>
      <c r="K32" s="202"/>
      <c r="L32" s="275" t="s">
        <v>145</v>
      </c>
      <c r="M32" s="275" t="s">
        <v>150</v>
      </c>
      <c r="N32" s="275" t="s">
        <v>147</v>
      </c>
      <c r="O32" s="275" t="s">
        <v>148</v>
      </c>
      <c r="P32" s="276" t="s">
        <v>144</v>
      </c>
      <c r="Q32" s="203"/>
      <c r="R32" s="164" t="s">
        <v>145</v>
      </c>
      <c r="S32" s="164" t="s">
        <v>150</v>
      </c>
      <c r="T32" s="164" t="s">
        <v>147</v>
      </c>
      <c r="U32" s="164" t="s">
        <v>148</v>
      </c>
      <c r="V32" s="192" t="s">
        <v>144</v>
      </c>
      <c r="W32" s="204"/>
      <c r="X32" s="275" t="s">
        <v>145</v>
      </c>
      <c r="Y32" s="275" t="s">
        <v>150</v>
      </c>
      <c r="Z32" s="275" t="s">
        <v>147</v>
      </c>
      <c r="AA32" s="275" t="s">
        <v>148</v>
      </c>
      <c r="AB32" s="276" t="s">
        <v>144</v>
      </c>
      <c r="AC32" s="409"/>
      <c r="AD32" s="410"/>
      <c r="AE32" s="162"/>
      <c r="AI32" s="171"/>
    </row>
    <row r="33" spans="2:35" ht="46.5" customHeight="1" x14ac:dyDescent="0.25">
      <c r="B33" s="454">
        <v>1</v>
      </c>
      <c r="C33" s="456" t="s">
        <v>23</v>
      </c>
      <c r="D33" s="457"/>
      <c r="E33" s="458"/>
      <c r="F33" s="427"/>
      <c r="G33" s="427"/>
      <c r="H33" s="427" t="str">
        <f>IF(G33="","",G33-F33)</f>
        <v/>
      </c>
      <c r="I33" s="427" t="str">
        <f>IF(G33="","",((F33+G33)/2))</f>
        <v/>
      </c>
      <c r="J33" s="430"/>
      <c r="K33" s="451"/>
      <c r="L33" s="427"/>
      <c r="M33" s="427"/>
      <c r="N33" s="427" t="str">
        <f>IF(M33="","",M33-L33)</f>
        <v/>
      </c>
      <c r="O33" s="427" t="str">
        <f>IF(M33="","",((L33+M33)/2))</f>
        <v/>
      </c>
      <c r="P33" s="430"/>
      <c r="Q33" s="438"/>
      <c r="R33" s="427"/>
      <c r="S33" s="427"/>
      <c r="T33" s="427" t="str">
        <f>IF(S33="","",S33-R33)</f>
        <v/>
      </c>
      <c r="U33" s="427" t="str">
        <f>IF(S33="","",((R33+S33)/2))</f>
        <v/>
      </c>
      <c r="V33" s="430"/>
      <c r="W33" s="205"/>
      <c r="X33" s="427"/>
      <c r="Y33" s="427"/>
      <c r="Z33" s="427" t="str">
        <f>IF(Y33="","",Y33-X33)</f>
        <v/>
      </c>
      <c r="AA33" s="427" t="str">
        <f>IF(Y33="","",((X33+Y33)/2))</f>
        <v/>
      </c>
      <c r="AB33" s="430"/>
      <c r="AC33" s="433"/>
      <c r="AD33" s="434"/>
      <c r="AE33" s="162"/>
      <c r="AI33" s="171"/>
    </row>
    <row r="34" spans="2:35" ht="46.5" customHeight="1" x14ac:dyDescent="0.25">
      <c r="B34" s="455"/>
      <c r="C34" s="459"/>
      <c r="D34" s="460"/>
      <c r="E34" s="461"/>
      <c r="F34" s="428"/>
      <c r="G34" s="428"/>
      <c r="H34" s="428"/>
      <c r="I34" s="428"/>
      <c r="J34" s="431"/>
      <c r="K34" s="452"/>
      <c r="L34" s="428"/>
      <c r="M34" s="428"/>
      <c r="N34" s="428"/>
      <c r="O34" s="428"/>
      <c r="P34" s="431"/>
      <c r="Q34" s="438"/>
      <c r="R34" s="428"/>
      <c r="S34" s="428"/>
      <c r="T34" s="428"/>
      <c r="U34" s="428"/>
      <c r="V34" s="431"/>
      <c r="W34" s="206"/>
      <c r="X34" s="428"/>
      <c r="Y34" s="428"/>
      <c r="Z34" s="428"/>
      <c r="AA34" s="428"/>
      <c r="AB34" s="431"/>
      <c r="AC34" s="433"/>
      <c r="AD34" s="434"/>
      <c r="AE34" s="162"/>
      <c r="AI34" s="171"/>
    </row>
    <row r="35" spans="2:35" ht="46.5" customHeight="1" x14ac:dyDescent="0.25">
      <c r="B35" s="455"/>
      <c r="C35" s="462"/>
      <c r="D35" s="463"/>
      <c r="E35" s="464"/>
      <c r="F35" s="429"/>
      <c r="G35" s="429"/>
      <c r="H35" s="429"/>
      <c r="I35" s="429"/>
      <c r="J35" s="432"/>
      <c r="K35" s="453"/>
      <c r="L35" s="429"/>
      <c r="M35" s="429"/>
      <c r="N35" s="429"/>
      <c r="O35" s="429"/>
      <c r="P35" s="432"/>
      <c r="Q35" s="438"/>
      <c r="R35" s="429"/>
      <c r="S35" s="429"/>
      <c r="T35" s="429"/>
      <c r="U35" s="429"/>
      <c r="V35" s="432"/>
      <c r="W35" s="207"/>
      <c r="X35" s="429"/>
      <c r="Y35" s="429"/>
      <c r="Z35" s="429"/>
      <c r="AA35" s="429"/>
      <c r="AB35" s="432"/>
      <c r="AC35" s="433"/>
      <c r="AD35" s="434"/>
      <c r="AE35" s="162"/>
      <c r="AI35" s="171"/>
    </row>
    <row r="36" spans="2:35" ht="46.5" customHeight="1" x14ac:dyDescent="0.25">
      <c r="B36" s="454">
        <v>2</v>
      </c>
      <c r="C36" s="456" t="s">
        <v>24</v>
      </c>
      <c r="D36" s="457"/>
      <c r="E36" s="458"/>
      <c r="F36" s="427"/>
      <c r="G36" s="427"/>
      <c r="H36" s="427" t="str">
        <f t="shared" ref="H36" si="16">IF(G36="","",G36-F36)</f>
        <v/>
      </c>
      <c r="I36" s="427" t="str">
        <f t="shared" ref="I36" si="17">IF(G36="","",((F36+G36)/2))</f>
        <v/>
      </c>
      <c r="J36" s="430"/>
      <c r="K36" s="451"/>
      <c r="L36" s="427"/>
      <c r="M36" s="427"/>
      <c r="N36" s="427" t="str">
        <f t="shared" ref="N36" si="18">IF(M36="","",M36-L36)</f>
        <v/>
      </c>
      <c r="O36" s="427" t="str">
        <f t="shared" ref="O36" si="19">IF(M36="","",((L36+M36)/2))</f>
        <v/>
      </c>
      <c r="P36" s="430"/>
      <c r="Q36" s="438"/>
      <c r="R36" s="427"/>
      <c r="S36" s="427"/>
      <c r="T36" s="427" t="str">
        <f t="shared" ref="T36" si="20">IF(S36="","",S36-R36)</f>
        <v/>
      </c>
      <c r="U36" s="427" t="str">
        <f t="shared" ref="U36" si="21">IF(S36="","",((R36+S36)/2))</f>
        <v/>
      </c>
      <c r="V36" s="430"/>
      <c r="W36" s="205"/>
      <c r="X36" s="427"/>
      <c r="Y36" s="427"/>
      <c r="Z36" s="427" t="str">
        <f t="shared" ref="Z36" si="22">IF(Y36="","",Y36-X36)</f>
        <v/>
      </c>
      <c r="AA36" s="427" t="str">
        <f t="shared" ref="AA36" si="23">IF(Y36="","",((X36+Y36)/2))</f>
        <v/>
      </c>
      <c r="AB36" s="430"/>
      <c r="AC36" s="433"/>
      <c r="AD36" s="434"/>
      <c r="AE36" s="162"/>
      <c r="AI36" s="171"/>
    </row>
    <row r="37" spans="2:35" ht="46.5" customHeight="1" x14ac:dyDescent="0.25">
      <c r="B37" s="455"/>
      <c r="C37" s="459"/>
      <c r="D37" s="460"/>
      <c r="E37" s="461"/>
      <c r="F37" s="428"/>
      <c r="G37" s="428"/>
      <c r="H37" s="428"/>
      <c r="I37" s="428"/>
      <c r="J37" s="431"/>
      <c r="K37" s="452"/>
      <c r="L37" s="428"/>
      <c r="M37" s="428"/>
      <c r="N37" s="428"/>
      <c r="O37" s="428"/>
      <c r="P37" s="431"/>
      <c r="Q37" s="438"/>
      <c r="R37" s="428"/>
      <c r="S37" s="428"/>
      <c r="T37" s="428"/>
      <c r="U37" s="428"/>
      <c r="V37" s="431"/>
      <c r="W37" s="206"/>
      <c r="X37" s="428"/>
      <c r="Y37" s="428"/>
      <c r="Z37" s="428"/>
      <c r="AA37" s="428"/>
      <c r="AB37" s="431"/>
      <c r="AC37" s="433"/>
      <c r="AD37" s="434"/>
      <c r="AE37" s="162"/>
      <c r="AI37" s="171"/>
    </row>
    <row r="38" spans="2:35" ht="46.5" customHeight="1" x14ac:dyDescent="0.25">
      <c r="B38" s="465"/>
      <c r="C38" s="462"/>
      <c r="D38" s="463"/>
      <c r="E38" s="464"/>
      <c r="F38" s="429"/>
      <c r="G38" s="429"/>
      <c r="H38" s="429"/>
      <c r="I38" s="429"/>
      <c r="J38" s="432"/>
      <c r="K38" s="453"/>
      <c r="L38" s="429"/>
      <c r="M38" s="429"/>
      <c r="N38" s="429"/>
      <c r="O38" s="429"/>
      <c r="P38" s="432"/>
      <c r="Q38" s="438"/>
      <c r="R38" s="429"/>
      <c r="S38" s="429"/>
      <c r="T38" s="429"/>
      <c r="U38" s="429"/>
      <c r="V38" s="432"/>
      <c r="W38" s="207"/>
      <c r="X38" s="429"/>
      <c r="Y38" s="429"/>
      <c r="Z38" s="429"/>
      <c r="AA38" s="429"/>
      <c r="AB38" s="432"/>
      <c r="AC38" s="433"/>
      <c r="AD38" s="434"/>
      <c r="AE38" s="162"/>
      <c r="AI38" s="171"/>
    </row>
    <row r="39" spans="2:35" ht="46.5" customHeight="1" x14ac:dyDescent="0.25">
      <c r="B39" s="454">
        <v>3</v>
      </c>
      <c r="C39" s="456" t="s">
        <v>25</v>
      </c>
      <c r="D39" s="457"/>
      <c r="E39" s="458"/>
      <c r="F39" s="427"/>
      <c r="G39" s="427"/>
      <c r="H39" s="427" t="str">
        <f t="shared" ref="H39" si="24">IF(G39="","",G39-F39)</f>
        <v/>
      </c>
      <c r="I39" s="427" t="str">
        <f t="shared" ref="I39" si="25">IF(G39="","",((F39+G39)/2))</f>
        <v/>
      </c>
      <c r="J39" s="430"/>
      <c r="K39" s="451"/>
      <c r="L39" s="427"/>
      <c r="M39" s="427"/>
      <c r="N39" s="427" t="str">
        <f t="shared" ref="N39" si="26">IF(M39="","",M39-L39)</f>
        <v/>
      </c>
      <c r="O39" s="427" t="str">
        <f t="shared" ref="O39" si="27">IF(M39="","",((L39+M39)/2))</f>
        <v/>
      </c>
      <c r="P39" s="430"/>
      <c r="Q39" s="438"/>
      <c r="R39" s="427"/>
      <c r="S39" s="427"/>
      <c r="T39" s="427" t="str">
        <f t="shared" ref="T39" si="28">IF(S39="","",S39-R39)</f>
        <v/>
      </c>
      <c r="U39" s="427" t="str">
        <f t="shared" ref="U39" si="29">IF(S39="","",((R39+S39)/2))</f>
        <v/>
      </c>
      <c r="V39" s="430"/>
      <c r="W39" s="205"/>
      <c r="X39" s="427"/>
      <c r="Y39" s="427"/>
      <c r="Z39" s="427" t="str">
        <f t="shared" ref="Z39" si="30">IF(Y39="","",Y39-X39)</f>
        <v/>
      </c>
      <c r="AA39" s="427" t="str">
        <f t="shared" ref="AA39" si="31">IF(Y39="","",((X39+Y39)/2))</f>
        <v/>
      </c>
      <c r="AB39" s="430"/>
      <c r="AC39" s="433"/>
      <c r="AD39" s="434"/>
      <c r="AE39" s="162"/>
      <c r="AI39" s="171"/>
    </row>
    <row r="40" spans="2:35" ht="46.5" customHeight="1" x14ac:dyDescent="0.25">
      <c r="B40" s="455"/>
      <c r="C40" s="459"/>
      <c r="D40" s="460"/>
      <c r="E40" s="461"/>
      <c r="F40" s="428"/>
      <c r="G40" s="428"/>
      <c r="H40" s="428"/>
      <c r="I40" s="428"/>
      <c r="J40" s="431"/>
      <c r="K40" s="452"/>
      <c r="L40" s="428"/>
      <c r="M40" s="428"/>
      <c r="N40" s="428"/>
      <c r="O40" s="428"/>
      <c r="P40" s="431"/>
      <c r="Q40" s="438"/>
      <c r="R40" s="428"/>
      <c r="S40" s="428"/>
      <c r="T40" s="428"/>
      <c r="U40" s="428"/>
      <c r="V40" s="431"/>
      <c r="W40" s="206"/>
      <c r="X40" s="428"/>
      <c r="Y40" s="428"/>
      <c r="Z40" s="428"/>
      <c r="AA40" s="428"/>
      <c r="AB40" s="431"/>
      <c r="AC40" s="433"/>
      <c r="AD40" s="434"/>
      <c r="AE40" s="162"/>
      <c r="AI40" s="171"/>
    </row>
    <row r="41" spans="2:35" ht="46.5" customHeight="1" x14ac:dyDescent="0.25">
      <c r="B41" s="455"/>
      <c r="C41" s="462"/>
      <c r="D41" s="463"/>
      <c r="E41" s="464"/>
      <c r="F41" s="429"/>
      <c r="G41" s="429"/>
      <c r="H41" s="429"/>
      <c r="I41" s="429"/>
      <c r="J41" s="432"/>
      <c r="K41" s="453"/>
      <c r="L41" s="429"/>
      <c r="M41" s="429"/>
      <c r="N41" s="429"/>
      <c r="O41" s="429"/>
      <c r="P41" s="432"/>
      <c r="Q41" s="438"/>
      <c r="R41" s="429"/>
      <c r="S41" s="429"/>
      <c r="T41" s="429"/>
      <c r="U41" s="429"/>
      <c r="V41" s="432"/>
      <c r="W41" s="207"/>
      <c r="X41" s="429"/>
      <c r="Y41" s="429"/>
      <c r="Z41" s="429"/>
      <c r="AA41" s="429"/>
      <c r="AB41" s="432"/>
      <c r="AC41" s="433"/>
      <c r="AD41" s="434"/>
      <c r="AE41" s="162"/>
      <c r="AI41" s="171"/>
    </row>
    <row r="42" spans="2:35" ht="46.5" customHeight="1" x14ac:dyDescent="0.25">
      <c r="B42" s="454">
        <v>4</v>
      </c>
      <c r="C42" s="456" t="s">
        <v>40</v>
      </c>
      <c r="D42" s="457"/>
      <c r="E42" s="458"/>
      <c r="F42" s="427"/>
      <c r="G42" s="427"/>
      <c r="H42" s="427" t="str">
        <f t="shared" ref="H42" si="32">IF(G42="","",G42-F42)</f>
        <v/>
      </c>
      <c r="I42" s="427" t="str">
        <f t="shared" ref="I42" si="33">IF(G42="","",((F42+G42)/2))</f>
        <v/>
      </c>
      <c r="J42" s="430"/>
      <c r="K42" s="451"/>
      <c r="L42" s="427"/>
      <c r="M42" s="427"/>
      <c r="N42" s="427" t="str">
        <f t="shared" ref="N42" si="34">IF(M42="","",M42-L42)</f>
        <v/>
      </c>
      <c r="O42" s="427" t="str">
        <f t="shared" ref="O42" si="35">IF(M42="","",((L42+M42)/2))</f>
        <v/>
      </c>
      <c r="P42" s="430"/>
      <c r="Q42" s="438"/>
      <c r="R42" s="427"/>
      <c r="S42" s="427"/>
      <c r="T42" s="427" t="str">
        <f t="shared" ref="T42" si="36">IF(S42="","",S42-R42)</f>
        <v/>
      </c>
      <c r="U42" s="427" t="str">
        <f t="shared" ref="U42" si="37">IF(S42="","",((R42+S42)/2))</f>
        <v/>
      </c>
      <c r="V42" s="430"/>
      <c r="W42" s="205"/>
      <c r="X42" s="427"/>
      <c r="Y42" s="427"/>
      <c r="Z42" s="427" t="str">
        <f t="shared" ref="Z42" si="38">IF(Y42="","",Y42-X42)</f>
        <v/>
      </c>
      <c r="AA42" s="427" t="str">
        <f t="shared" ref="AA42" si="39">IF(Y42="","",((X42+Y42)/2))</f>
        <v/>
      </c>
      <c r="AB42" s="430"/>
      <c r="AC42" s="433"/>
      <c r="AD42" s="434"/>
      <c r="AE42" s="162"/>
      <c r="AI42" s="171"/>
    </row>
    <row r="43" spans="2:35" ht="46.5" customHeight="1" x14ac:dyDescent="0.25">
      <c r="B43" s="455"/>
      <c r="C43" s="459"/>
      <c r="D43" s="460"/>
      <c r="E43" s="461"/>
      <c r="F43" s="428"/>
      <c r="G43" s="428"/>
      <c r="H43" s="428"/>
      <c r="I43" s="428"/>
      <c r="J43" s="431"/>
      <c r="K43" s="452"/>
      <c r="L43" s="428"/>
      <c r="M43" s="428"/>
      <c r="N43" s="428"/>
      <c r="O43" s="428"/>
      <c r="P43" s="431"/>
      <c r="Q43" s="438"/>
      <c r="R43" s="428"/>
      <c r="S43" s="428"/>
      <c r="T43" s="428"/>
      <c r="U43" s="428"/>
      <c r="V43" s="431"/>
      <c r="W43" s="206"/>
      <c r="X43" s="428"/>
      <c r="Y43" s="428"/>
      <c r="Z43" s="428"/>
      <c r="AA43" s="428"/>
      <c r="AB43" s="431"/>
      <c r="AC43" s="433"/>
      <c r="AD43" s="434"/>
      <c r="AE43" s="162"/>
      <c r="AI43" s="171"/>
    </row>
    <row r="44" spans="2:35" ht="46.5" customHeight="1" x14ac:dyDescent="0.25">
      <c r="B44" s="455"/>
      <c r="C44" s="462"/>
      <c r="D44" s="463"/>
      <c r="E44" s="464"/>
      <c r="F44" s="429"/>
      <c r="G44" s="429"/>
      <c r="H44" s="429"/>
      <c r="I44" s="429"/>
      <c r="J44" s="432"/>
      <c r="K44" s="453"/>
      <c r="L44" s="429"/>
      <c r="M44" s="429"/>
      <c r="N44" s="429"/>
      <c r="O44" s="429"/>
      <c r="P44" s="432"/>
      <c r="Q44" s="438"/>
      <c r="R44" s="429"/>
      <c r="S44" s="429"/>
      <c r="T44" s="429"/>
      <c r="U44" s="429"/>
      <c r="V44" s="432"/>
      <c r="W44" s="207"/>
      <c r="X44" s="429"/>
      <c r="Y44" s="429"/>
      <c r="Z44" s="429"/>
      <c r="AA44" s="429"/>
      <c r="AB44" s="432"/>
      <c r="AC44" s="433"/>
      <c r="AD44" s="434"/>
      <c r="AE44" s="162"/>
      <c r="AI44" s="171"/>
    </row>
    <row r="45" spans="2:35" ht="46.5" customHeight="1" x14ac:dyDescent="0.25">
      <c r="B45" s="439">
        <v>5</v>
      </c>
      <c r="C45" s="442" t="s">
        <v>26</v>
      </c>
      <c r="D45" s="443"/>
      <c r="E45" s="444"/>
      <c r="F45" s="427"/>
      <c r="G45" s="427"/>
      <c r="H45" s="427" t="str">
        <f t="shared" ref="H45" si="40">IF(G45="","",G45-F45)</f>
        <v/>
      </c>
      <c r="I45" s="427" t="str">
        <f t="shared" ref="I45" si="41">IF(G45="","",((F45+G45)/2))</f>
        <v/>
      </c>
      <c r="J45" s="430"/>
      <c r="K45" s="451"/>
      <c r="L45" s="427"/>
      <c r="M45" s="427"/>
      <c r="N45" s="427" t="str">
        <f t="shared" ref="N45" si="42">IF(M45="","",M45-L45)</f>
        <v/>
      </c>
      <c r="O45" s="427" t="str">
        <f t="shared" ref="O45" si="43">IF(M45="","",((L45+M45)/2))</f>
        <v/>
      </c>
      <c r="P45" s="430"/>
      <c r="Q45" s="438"/>
      <c r="R45" s="427"/>
      <c r="S45" s="427"/>
      <c r="T45" s="427" t="str">
        <f t="shared" ref="T45" si="44">IF(S45="","",S45-R45)</f>
        <v/>
      </c>
      <c r="U45" s="427" t="str">
        <f t="shared" ref="U45" si="45">IF(S45="","",((R45+S45)/2))</f>
        <v/>
      </c>
      <c r="V45" s="430"/>
      <c r="W45" s="290"/>
      <c r="X45" s="427"/>
      <c r="Y45" s="427"/>
      <c r="Z45" s="427" t="str">
        <f t="shared" ref="Z45" si="46">IF(Y45="","",Y45-X45)</f>
        <v/>
      </c>
      <c r="AA45" s="427" t="str">
        <f t="shared" ref="AA45" si="47">IF(Y45="","",((X45+Y45)/2))</f>
        <v/>
      </c>
      <c r="AB45" s="430"/>
      <c r="AC45" s="433"/>
      <c r="AD45" s="434"/>
      <c r="AE45" s="162"/>
      <c r="AI45" s="171"/>
    </row>
    <row r="46" spans="2:35" ht="46.5" customHeight="1" x14ac:dyDescent="0.25">
      <c r="B46" s="440"/>
      <c r="C46" s="445"/>
      <c r="D46" s="446"/>
      <c r="E46" s="447"/>
      <c r="F46" s="428"/>
      <c r="G46" s="428"/>
      <c r="H46" s="428"/>
      <c r="I46" s="428"/>
      <c r="J46" s="431"/>
      <c r="K46" s="452"/>
      <c r="L46" s="428"/>
      <c r="M46" s="428"/>
      <c r="N46" s="428"/>
      <c r="O46" s="428"/>
      <c r="P46" s="431"/>
      <c r="Q46" s="438"/>
      <c r="R46" s="428"/>
      <c r="S46" s="428"/>
      <c r="T46" s="428"/>
      <c r="U46" s="428"/>
      <c r="V46" s="431"/>
      <c r="W46" s="290"/>
      <c r="X46" s="428"/>
      <c r="Y46" s="428"/>
      <c r="Z46" s="428"/>
      <c r="AA46" s="428"/>
      <c r="AB46" s="431"/>
      <c r="AC46" s="433"/>
      <c r="AD46" s="434"/>
      <c r="AE46" s="162"/>
      <c r="AI46" s="171"/>
    </row>
    <row r="47" spans="2:35" ht="46.5" customHeight="1" x14ac:dyDescent="0.25">
      <c r="B47" s="441"/>
      <c r="C47" s="448"/>
      <c r="D47" s="449"/>
      <c r="E47" s="450"/>
      <c r="F47" s="429"/>
      <c r="G47" s="429"/>
      <c r="H47" s="429"/>
      <c r="I47" s="429"/>
      <c r="J47" s="432"/>
      <c r="K47" s="453"/>
      <c r="L47" s="429"/>
      <c r="M47" s="429"/>
      <c r="N47" s="429"/>
      <c r="O47" s="429"/>
      <c r="P47" s="432"/>
      <c r="Q47" s="438"/>
      <c r="R47" s="429"/>
      <c r="S47" s="429"/>
      <c r="T47" s="429"/>
      <c r="U47" s="429"/>
      <c r="V47" s="432"/>
      <c r="W47" s="290"/>
      <c r="X47" s="429"/>
      <c r="Y47" s="429"/>
      <c r="Z47" s="429"/>
      <c r="AA47" s="429"/>
      <c r="AB47" s="432"/>
      <c r="AC47" s="433"/>
      <c r="AD47" s="434"/>
      <c r="AE47" s="162"/>
      <c r="AI47" s="171"/>
    </row>
    <row r="48" spans="2:35" ht="30" customHeight="1" x14ac:dyDescent="0.25">
      <c r="B48" s="182"/>
      <c r="C48" s="194"/>
      <c r="D48" s="197"/>
      <c r="E48" s="197"/>
      <c r="F48" s="194"/>
      <c r="G48" s="194"/>
      <c r="H48" s="194"/>
      <c r="I48" s="194"/>
      <c r="J48" s="194"/>
      <c r="K48" s="197"/>
      <c r="L48" s="194"/>
      <c r="M48" s="194"/>
      <c r="N48" s="194"/>
      <c r="O48" s="194"/>
      <c r="P48" s="194"/>
      <c r="Q48" s="197"/>
      <c r="R48" s="194"/>
      <c r="S48" s="194"/>
      <c r="T48" s="194"/>
      <c r="U48" s="194"/>
      <c r="V48" s="194"/>
      <c r="W48" s="194"/>
      <c r="X48" s="194"/>
      <c r="Y48" s="194"/>
      <c r="Z48" s="194"/>
      <c r="AA48" s="194"/>
      <c r="AB48" s="194"/>
      <c r="AD48" s="171"/>
      <c r="AE48" s="162"/>
      <c r="AI48" s="171"/>
    </row>
    <row r="49" spans="1:37" ht="60" customHeight="1" x14ac:dyDescent="0.25">
      <c r="B49" s="435" t="s">
        <v>158</v>
      </c>
      <c r="C49" s="435"/>
      <c r="D49" s="435"/>
      <c r="E49" s="435"/>
      <c r="F49" s="435"/>
      <c r="G49" s="435"/>
      <c r="H49" s="435"/>
      <c r="I49" s="435"/>
      <c r="J49" s="435"/>
      <c r="K49" s="436"/>
      <c r="L49" s="436"/>
      <c r="M49" s="436"/>
      <c r="N49" s="436"/>
      <c r="O49" s="436"/>
      <c r="P49" s="436"/>
      <c r="Q49" s="436"/>
      <c r="R49" s="436"/>
      <c r="S49" s="436"/>
      <c r="T49" s="436"/>
      <c r="U49" s="436"/>
      <c r="V49" s="436"/>
      <c r="W49" s="436"/>
      <c r="X49" s="436"/>
      <c r="Y49" s="436"/>
      <c r="Z49" s="436"/>
      <c r="AA49" s="436"/>
      <c r="AB49" s="436"/>
      <c r="AC49" s="436"/>
      <c r="AD49" s="436"/>
      <c r="AE49" s="191"/>
      <c r="AI49" s="171"/>
    </row>
    <row r="50" spans="1:37" ht="45" customHeight="1" x14ac:dyDescent="0.25">
      <c r="B50" s="208"/>
      <c r="C50" s="178"/>
      <c r="D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83"/>
      <c r="S50" s="183"/>
      <c r="T50" s="183"/>
      <c r="U50" s="183"/>
      <c r="V50" s="183"/>
      <c r="W50" s="183"/>
      <c r="X50" s="183"/>
      <c r="Y50" s="183"/>
      <c r="Z50" s="183"/>
      <c r="AA50" s="183"/>
      <c r="AB50" s="183"/>
      <c r="AC50" s="183"/>
      <c r="AD50" s="209"/>
      <c r="AE50" s="191"/>
      <c r="AI50" s="171"/>
    </row>
    <row r="51" spans="1:37" ht="79.5" customHeight="1" x14ac:dyDescent="0.25">
      <c r="B51" s="172" t="s">
        <v>159</v>
      </c>
      <c r="C51" s="210"/>
      <c r="D51" s="437"/>
      <c r="E51" s="437"/>
      <c r="F51" s="437"/>
      <c r="G51" s="194"/>
      <c r="H51" s="194"/>
      <c r="I51" s="194"/>
      <c r="J51" s="194"/>
      <c r="K51" s="194"/>
      <c r="L51" s="194"/>
      <c r="M51" s="194"/>
      <c r="N51" s="194"/>
      <c r="O51" s="194"/>
      <c r="P51" s="194"/>
      <c r="Q51" s="194"/>
      <c r="R51" s="183"/>
      <c r="X51" s="183"/>
      <c r="AC51" s="183"/>
      <c r="AD51" s="209"/>
      <c r="AE51" s="191"/>
      <c r="AI51" s="171"/>
    </row>
    <row r="52" spans="1:37" ht="79.5" customHeight="1" x14ac:dyDescent="0.25">
      <c r="B52" s="172" t="s">
        <v>160</v>
      </c>
      <c r="C52" s="173"/>
      <c r="D52" s="425"/>
      <c r="E52" s="425"/>
      <c r="F52" s="425"/>
      <c r="G52" s="194"/>
      <c r="H52" s="194"/>
      <c r="I52" s="194"/>
      <c r="J52" s="194"/>
      <c r="K52" s="194"/>
      <c r="L52" s="194"/>
      <c r="M52" s="194"/>
      <c r="N52" s="194"/>
      <c r="O52" s="194"/>
      <c r="P52" s="194"/>
      <c r="Q52" s="194"/>
      <c r="R52" s="183"/>
      <c r="X52" s="183"/>
      <c r="AC52" s="183"/>
      <c r="AD52" s="209"/>
      <c r="AE52" s="191"/>
      <c r="AI52" s="171"/>
    </row>
    <row r="53" spans="1:37" ht="79.5" customHeight="1" x14ac:dyDescent="0.25">
      <c r="B53" s="172" t="s">
        <v>161</v>
      </c>
      <c r="C53" s="210"/>
      <c r="D53" s="426"/>
      <c r="E53" s="426"/>
      <c r="F53" s="426"/>
      <c r="G53" s="194"/>
      <c r="H53" s="194"/>
      <c r="I53" s="194"/>
      <c r="J53" s="194"/>
      <c r="K53" s="194"/>
      <c r="L53" s="194"/>
      <c r="M53" s="194"/>
      <c r="N53" s="194"/>
      <c r="O53" s="194"/>
      <c r="P53" s="194"/>
      <c r="Q53" s="194"/>
      <c r="R53" s="183"/>
      <c r="X53" s="183"/>
      <c r="AC53" s="183"/>
      <c r="AD53" s="209"/>
      <c r="AE53" s="191"/>
      <c r="AI53" s="171"/>
    </row>
    <row r="54" spans="1:37" ht="79.5" customHeight="1" x14ac:dyDescent="0.25">
      <c r="B54" s="172" t="s">
        <v>162</v>
      </c>
      <c r="C54" s="210"/>
      <c r="D54" s="426"/>
      <c r="E54" s="426"/>
      <c r="F54" s="426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83"/>
      <c r="X54" s="183"/>
      <c r="AC54" s="183"/>
      <c r="AD54" s="209"/>
      <c r="AE54" s="191"/>
      <c r="AI54" s="171"/>
    </row>
    <row r="55" spans="1:37" ht="39.75" customHeight="1" x14ac:dyDescent="0.25">
      <c r="B55" s="208"/>
      <c r="D55" s="166"/>
      <c r="E55" s="166"/>
      <c r="F55" s="166"/>
      <c r="G55" s="194"/>
      <c r="H55" s="194"/>
      <c r="I55" s="194"/>
      <c r="J55" s="194"/>
      <c r="K55" s="194"/>
      <c r="L55" s="194"/>
      <c r="M55" s="194"/>
      <c r="N55" s="194"/>
      <c r="O55" s="194"/>
      <c r="P55" s="194"/>
      <c r="Q55" s="194"/>
      <c r="R55" s="183"/>
      <c r="X55" s="183"/>
      <c r="AC55" s="183"/>
      <c r="AD55" s="209"/>
      <c r="AE55" s="191"/>
    </row>
    <row r="56" spans="1:37" s="165" customFormat="1" ht="81" customHeight="1" x14ac:dyDescent="0.35">
      <c r="A56" s="162"/>
      <c r="B56" s="416" t="s">
        <v>163</v>
      </c>
      <c r="C56" s="416"/>
      <c r="D56" s="413" t="s">
        <v>164</v>
      </c>
      <c r="E56" s="415"/>
      <c r="F56" s="211" t="s">
        <v>165</v>
      </c>
      <c r="G56" s="211" t="s">
        <v>166</v>
      </c>
      <c r="H56" s="211" t="s">
        <v>167</v>
      </c>
      <c r="I56" s="211" t="s">
        <v>168</v>
      </c>
      <c r="J56" s="211" t="s">
        <v>169</v>
      </c>
      <c r="K56" s="211" t="s">
        <v>170</v>
      </c>
      <c r="L56" s="211" t="s">
        <v>171</v>
      </c>
      <c r="M56" s="211" t="s">
        <v>172</v>
      </c>
      <c r="N56" s="211" t="s">
        <v>173</v>
      </c>
      <c r="O56" s="211" t="s">
        <v>174</v>
      </c>
      <c r="P56" s="163"/>
      <c r="Q56" s="212"/>
      <c r="R56" s="212"/>
      <c r="S56" s="212"/>
      <c r="T56" s="212"/>
      <c r="U56" s="212"/>
      <c r="V56" s="212"/>
      <c r="W56" s="212"/>
      <c r="X56" s="212"/>
      <c r="Y56" s="212"/>
      <c r="Z56" s="212"/>
      <c r="AA56" s="212"/>
      <c r="AB56" s="212"/>
      <c r="AC56" s="212"/>
      <c r="AD56" s="213"/>
      <c r="AE56" s="212"/>
      <c r="AF56" s="212"/>
      <c r="AG56" s="212"/>
      <c r="AH56" s="212"/>
      <c r="AJ56" s="214"/>
      <c r="AK56" s="214"/>
    </row>
    <row r="57" spans="1:37" s="165" customFormat="1" ht="81" customHeight="1" x14ac:dyDescent="0.35">
      <c r="A57" s="162"/>
      <c r="B57" s="416" t="s">
        <v>140</v>
      </c>
      <c r="C57" s="416"/>
      <c r="D57" s="417"/>
      <c r="E57" s="418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162"/>
      <c r="AD57" s="217"/>
      <c r="AJ57" s="214"/>
      <c r="AK57" s="214"/>
    </row>
    <row r="58" spans="1:37" s="165" customFormat="1" ht="81" customHeight="1" x14ac:dyDescent="0.35">
      <c r="A58" s="162"/>
      <c r="B58" s="416" t="s">
        <v>175</v>
      </c>
      <c r="C58" s="416"/>
      <c r="D58" s="417"/>
      <c r="E58" s="418"/>
      <c r="F58" s="215"/>
      <c r="G58" s="216"/>
      <c r="H58" s="216"/>
      <c r="I58" s="216"/>
      <c r="J58" s="216"/>
      <c r="K58" s="216"/>
      <c r="L58" s="216"/>
      <c r="M58" s="216"/>
      <c r="N58" s="216"/>
      <c r="O58" s="216"/>
      <c r="P58" s="162"/>
      <c r="AD58" s="217"/>
      <c r="AJ58" s="214"/>
      <c r="AK58" s="214"/>
    </row>
    <row r="59" spans="1:37" ht="39.75" customHeight="1" x14ac:dyDescent="0.25">
      <c r="B59" s="218"/>
      <c r="C59" s="166"/>
      <c r="D59" s="194"/>
      <c r="E59" s="178"/>
      <c r="F59" s="166"/>
      <c r="G59" s="194"/>
      <c r="H59" s="194"/>
      <c r="I59" s="194"/>
      <c r="J59" s="194"/>
      <c r="K59" s="194"/>
      <c r="L59" s="194"/>
      <c r="M59" s="194"/>
      <c r="N59" s="194"/>
      <c r="O59" s="194"/>
      <c r="P59" s="194"/>
      <c r="Q59" s="194"/>
      <c r="R59" s="183"/>
      <c r="S59" s="183"/>
      <c r="T59" s="183"/>
      <c r="U59" s="183"/>
      <c r="V59" s="183"/>
      <c r="W59" s="183"/>
      <c r="X59" s="183"/>
      <c r="Y59" s="183"/>
      <c r="Z59" s="183"/>
      <c r="AA59" s="183"/>
      <c r="AB59" s="183"/>
      <c r="AC59" s="183"/>
      <c r="AD59" s="209"/>
      <c r="AE59" s="191"/>
      <c r="AI59" s="171"/>
    </row>
    <row r="60" spans="1:37" ht="57" customHeight="1" x14ac:dyDescent="0.25">
      <c r="B60" s="419" t="s">
        <v>152</v>
      </c>
      <c r="C60" s="407" t="s">
        <v>32</v>
      </c>
      <c r="D60" s="421" t="s">
        <v>140</v>
      </c>
      <c r="E60" s="422"/>
      <c r="F60" s="411" t="s">
        <v>175</v>
      </c>
      <c r="G60" s="411" t="s">
        <v>145</v>
      </c>
      <c r="H60" s="411" t="s">
        <v>150</v>
      </c>
      <c r="I60" s="411" t="s">
        <v>147</v>
      </c>
      <c r="J60" s="411" t="s">
        <v>148</v>
      </c>
      <c r="K60" s="411" t="s">
        <v>144</v>
      </c>
      <c r="L60" s="413" t="s">
        <v>176</v>
      </c>
      <c r="M60" s="414"/>
      <c r="N60" s="414"/>
      <c r="O60" s="415"/>
      <c r="P60" s="407" t="s">
        <v>13</v>
      </c>
      <c r="Q60" s="408"/>
      <c r="S60" s="163"/>
      <c r="T60" s="163"/>
      <c r="U60" s="163"/>
      <c r="V60" s="163"/>
      <c r="W60" s="163"/>
      <c r="Y60" s="163"/>
      <c r="Z60" s="163"/>
      <c r="AA60" s="163"/>
      <c r="AB60" s="163"/>
      <c r="AD60" s="171"/>
      <c r="AE60" s="162"/>
      <c r="AF60" s="166"/>
      <c r="AI60" s="171"/>
    </row>
    <row r="61" spans="1:37" ht="63" customHeight="1" x14ac:dyDescent="0.25">
      <c r="B61" s="420"/>
      <c r="C61" s="409"/>
      <c r="D61" s="423"/>
      <c r="E61" s="424"/>
      <c r="F61" s="412"/>
      <c r="G61" s="412"/>
      <c r="H61" s="412"/>
      <c r="I61" s="412"/>
      <c r="J61" s="412"/>
      <c r="K61" s="412"/>
      <c r="L61" s="211" t="s">
        <v>177</v>
      </c>
      <c r="M61" s="211" t="s">
        <v>178</v>
      </c>
      <c r="N61" s="193" t="s">
        <v>179</v>
      </c>
      <c r="O61" s="193" t="s">
        <v>180</v>
      </c>
      <c r="P61" s="409"/>
      <c r="Q61" s="410"/>
      <c r="S61" s="163"/>
      <c r="T61" s="163"/>
      <c r="U61" s="163"/>
      <c r="V61" s="163"/>
      <c r="W61" s="163"/>
      <c r="Y61" s="163"/>
      <c r="Z61" s="163"/>
      <c r="AA61" s="163"/>
      <c r="AB61" s="163"/>
      <c r="AD61" s="171"/>
      <c r="AE61" s="162"/>
      <c r="AF61" s="166"/>
      <c r="AI61" s="171"/>
    </row>
    <row r="62" spans="1:37" s="219" customFormat="1" ht="57" customHeight="1" x14ac:dyDescent="0.25">
      <c r="B62" s="397" t="s">
        <v>33</v>
      </c>
      <c r="C62" s="385"/>
      <c r="D62" s="387"/>
      <c r="E62" s="388"/>
      <c r="F62" s="385"/>
      <c r="G62" s="400"/>
      <c r="H62" s="400"/>
      <c r="I62" s="391"/>
      <c r="J62" s="393"/>
      <c r="K62" s="395"/>
      <c r="L62" s="395"/>
      <c r="M62" s="385"/>
      <c r="N62" s="385"/>
      <c r="O62" s="385"/>
      <c r="P62" s="387"/>
      <c r="Q62" s="388"/>
      <c r="R62" s="220"/>
      <c r="S62" s="221"/>
      <c r="T62" s="221"/>
      <c r="U62" s="221"/>
      <c r="V62" s="221"/>
      <c r="W62" s="221"/>
      <c r="X62" s="220"/>
      <c r="Y62" s="221"/>
      <c r="Z62" s="221"/>
      <c r="AA62" s="221"/>
      <c r="AB62" s="221"/>
      <c r="AC62" s="222"/>
      <c r="AD62" s="223"/>
      <c r="AE62" s="224"/>
      <c r="AI62" s="225"/>
    </row>
    <row r="63" spans="1:37" s="219" customFormat="1" ht="57" customHeight="1" x14ac:dyDescent="0.25">
      <c r="B63" s="398"/>
      <c r="C63" s="386"/>
      <c r="D63" s="389"/>
      <c r="E63" s="390"/>
      <c r="F63" s="404"/>
      <c r="G63" s="401"/>
      <c r="H63" s="401"/>
      <c r="I63" s="392"/>
      <c r="J63" s="394"/>
      <c r="K63" s="396"/>
      <c r="L63" s="396"/>
      <c r="M63" s="386"/>
      <c r="N63" s="386"/>
      <c r="O63" s="386"/>
      <c r="P63" s="389"/>
      <c r="Q63" s="390"/>
      <c r="R63" s="220"/>
      <c r="S63" s="221"/>
      <c r="T63" s="221"/>
      <c r="U63" s="221"/>
      <c r="V63" s="221"/>
      <c r="W63" s="221"/>
      <c r="X63" s="220"/>
      <c r="Y63" s="221"/>
      <c r="Z63" s="221"/>
      <c r="AA63" s="221"/>
      <c r="AB63" s="221"/>
      <c r="AC63" s="222"/>
      <c r="AD63" s="223"/>
      <c r="AE63" s="224"/>
      <c r="AI63" s="225"/>
    </row>
    <row r="64" spans="1:37" s="219" customFormat="1" ht="57" customHeight="1" x14ac:dyDescent="0.25">
      <c r="B64" s="397" t="s">
        <v>34</v>
      </c>
      <c r="C64" s="385"/>
      <c r="D64" s="387"/>
      <c r="E64" s="388"/>
      <c r="F64" s="385"/>
      <c r="G64" s="400"/>
      <c r="H64" s="400"/>
      <c r="I64" s="391"/>
      <c r="J64" s="393"/>
      <c r="K64" s="395"/>
      <c r="L64" s="395"/>
      <c r="M64" s="385"/>
      <c r="N64" s="385"/>
      <c r="O64" s="385"/>
      <c r="P64" s="387"/>
      <c r="Q64" s="388"/>
      <c r="R64" s="220"/>
      <c r="S64" s="221"/>
      <c r="T64" s="221"/>
      <c r="U64" s="221"/>
      <c r="V64" s="221"/>
      <c r="W64" s="221"/>
      <c r="X64" s="220"/>
      <c r="Y64" s="221"/>
      <c r="Z64" s="221"/>
      <c r="AA64" s="221"/>
      <c r="AB64" s="221"/>
      <c r="AC64" s="222"/>
      <c r="AD64" s="223"/>
      <c r="AE64" s="224"/>
      <c r="AI64" s="225"/>
    </row>
    <row r="65" spans="2:35" s="219" customFormat="1" ht="57" customHeight="1" x14ac:dyDescent="0.25">
      <c r="B65" s="398"/>
      <c r="C65" s="386"/>
      <c r="D65" s="389"/>
      <c r="E65" s="390"/>
      <c r="F65" s="404"/>
      <c r="G65" s="401"/>
      <c r="H65" s="401"/>
      <c r="I65" s="392"/>
      <c r="J65" s="394"/>
      <c r="K65" s="396"/>
      <c r="L65" s="396"/>
      <c r="M65" s="386"/>
      <c r="N65" s="386"/>
      <c r="O65" s="386"/>
      <c r="P65" s="389"/>
      <c r="Q65" s="390"/>
      <c r="R65" s="220"/>
      <c r="S65" s="406" t="s">
        <v>181</v>
      </c>
      <c r="T65" s="406"/>
      <c r="U65" s="406"/>
      <c r="V65" s="406"/>
      <c r="W65" s="226"/>
      <c r="X65" s="220"/>
      <c r="Y65" s="405"/>
      <c r="Z65" s="405"/>
      <c r="AA65" s="405"/>
      <c r="AB65" s="405"/>
      <c r="AC65" s="222"/>
      <c r="AD65" s="223"/>
      <c r="AE65" s="224"/>
      <c r="AI65" s="225"/>
    </row>
    <row r="66" spans="2:35" s="219" customFormat="1" ht="57" customHeight="1" x14ac:dyDescent="0.25">
      <c r="B66" s="397" t="s">
        <v>35</v>
      </c>
      <c r="C66" s="385"/>
      <c r="D66" s="387"/>
      <c r="E66" s="388"/>
      <c r="F66" s="385"/>
      <c r="G66" s="400"/>
      <c r="H66" s="400"/>
      <c r="I66" s="391"/>
      <c r="J66" s="393"/>
      <c r="K66" s="395"/>
      <c r="L66" s="395"/>
      <c r="M66" s="385"/>
      <c r="N66" s="385"/>
      <c r="O66" s="385"/>
      <c r="P66" s="387"/>
      <c r="Q66" s="388"/>
      <c r="R66" s="220"/>
      <c r="S66" s="227" t="s">
        <v>20</v>
      </c>
      <c r="T66" s="402" t="s">
        <v>182</v>
      </c>
      <c r="U66" s="402"/>
      <c r="V66" s="402"/>
      <c r="W66" s="228"/>
      <c r="X66" s="220"/>
      <c r="Y66" s="229"/>
      <c r="Z66" s="403"/>
      <c r="AA66" s="403"/>
      <c r="AB66" s="403"/>
      <c r="AC66" s="222"/>
      <c r="AD66" s="223"/>
      <c r="AE66" s="224"/>
      <c r="AI66" s="225"/>
    </row>
    <row r="67" spans="2:35" s="219" customFormat="1" ht="57" customHeight="1" x14ac:dyDescent="0.25">
      <c r="B67" s="398"/>
      <c r="C67" s="386"/>
      <c r="D67" s="389"/>
      <c r="E67" s="390"/>
      <c r="F67" s="404"/>
      <c r="G67" s="401"/>
      <c r="H67" s="401"/>
      <c r="I67" s="392"/>
      <c r="J67" s="394"/>
      <c r="K67" s="396"/>
      <c r="L67" s="396"/>
      <c r="M67" s="386"/>
      <c r="N67" s="386"/>
      <c r="O67" s="386"/>
      <c r="P67" s="389"/>
      <c r="Q67" s="390"/>
      <c r="R67" s="220"/>
      <c r="S67" s="227" t="s">
        <v>183</v>
      </c>
      <c r="T67" s="402" t="s">
        <v>184</v>
      </c>
      <c r="U67" s="402"/>
      <c r="V67" s="402"/>
      <c r="W67" s="228"/>
      <c r="X67" s="220"/>
      <c r="Y67" s="229"/>
      <c r="Z67" s="403"/>
      <c r="AA67" s="403"/>
      <c r="AB67" s="403"/>
      <c r="AC67" s="222"/>
      <c r="AD67" s="223"/>
      <c r="AE67" s="224"/>
      <c r="AI67" s="225"/>
    </row>
    <row r="68" spans="2:35" s="219" customFormat="1" ht="57" customHeight="1" x14ac:dyDescent="0.25">
      <c r="B68" s="397" t="s">
        <v>36</v>
      </c>
      <c r="C68" s="385"/>
      <c r="D68" s="387"/>
      <c r="E68" s="388"/>
      <c r="F68" s="385"/>
      <c r="G68" s="400"/>
      <c r="H68" s="400"/>
      <c r="I68" s="391"/>
      <c r="J68" s="393"/>
      <c r="K68" s="395"/>
      <c r="L68" s="395"/>
      <c r="M68" s="385"/>
      <c r="N68" s="385"/>
      <c r="O68" s="385"/>
      <c r="P68" s="387"/>
      <c r="Q68" s="388"/>
      <c r="R68" s="220"/>
      <c r="S68" s="227" t="s">
        <v>185</v>
      </c>
      <c r="T68" s="402" t="s">
        <v>186</v>
      </c>
      <c r="U68" s="402"/>
      <c r="V68" s="402"/>
      <c r="W68" s="228"/>
      <c r="X68" s="220"/>
      <c r="Y68" s="229"/>
      <c r="Z68" s="403"/>
      <c r="AA68" s="403"/>
      <c r="AB68" s="403"/>
      <c r="AC68" s="222"/>
      <c r="AD68" s="223"/>
      <c r="AE68" s="224"/>
      <c r="AI68" s="225"/>
    </row>
    <row r="69" spans="2:35" s="219" customFormat="1" ht="57" customHeight="1" x14ac:dyDescent="0.25">
      <c r="B69" s="398"/>
      <c r="C69" s="386"/>
      <c r="D69" s="389"/>
      <c r="E69" s="390"/>
      <c r="F69" s="404"/>
      <c r="G69" s="401"/>
      <c r="H69" s="401"/>
      <c r="I69" s="392"/>
      <c r="J69" s="394"/>
      <c r="K69" s="396"/>
      <c r="L69" s="396"/>
      <c r="M69" s="386"/>
      <c r="N69" s="386"/>
      <c r="O69" s="386"/>
      <c r="P69" s="389"/>
      <c r="Q69" s="390"/>
      <c r="R69" s="220"/>
      <c r="S69" s="227" t="s">
        <v>187</v>
      </c>
      <c r="T69" s="402" t="s">
        <v>188</v>
      </c>
      <c r="U69" s="402"/>
      <c r="V69" s="402"/>
      <c r="W69" s="228"/>
      <c r="X69" s="220"/>
      <c r="Y69" s="229"/>
      <c r="Z69" s="403"/>
      <c r="AA69" s="403"/>
      <c r="AB69" s="403"/>
      <c r="AC69" s="222"/>
      <c r="AD69" s="223"/>
      <c r="AE69" s="224"/>
      <c r="AI69" s="225"/>
    </row>
    <row r="70" spans="2:35" s="219" customFormat="1" ht="57" customHeight="1" x14ac:dyDescent="0.25">
      <c r="B70" s="397" t="s">
        <v>37</v>
      </c>
      <c r="C70" s="385"/>
      <c r="D70" s="387"/>
      <c r="E70" s="388"/>
      <c r="F70" s="399"/>
      <c r="G70" s="400"/>
      <c r="H70" s="400"/>
      <c r="I70" s="391"/>
      <c r="J70" s="393"/>
      <c r="K70" s="395"/>
      <c r="L70" s="395"/>
      <c r="M70" s="385"/>
      <c r="N70" s="385"/>
      <c r="O70" s="385"/>
      <c r="P70" s="387"/>
      <c r="Q70" s="388"/>
      <c r="R70" s="220"/>
      <c r="S70" s="221"/>
      <c r="T70" s="221"/>
      <c r="U70" s="221"/>
      <c r="V70" s="221"/>
      <c r="W70" s="221"/>
      <c r="X70" s="220"/>
      <c r="Y70" s="221"/>
      <c r="Z70" s="221"/>
      <c r="AA70" s="221"/>
      <c r="AB70" s="221"/>
      <c r="AC70" s="230"/>
      <c r="AD70" s="231"/>
      <c r="AE70" s="230"/>
      <c r="AF70" s="230"/>
      <c r="AG70" s="230"/>
      <c r="AH70" s="230"/>
      <c r="AI70" s="231"/>
    </row>
    <row r="71" spans="2:35" s="219" customFormat="1" ht="57" customHeight="1" x14ac:dyDescent="0.25">
      <c r="B71" s="398"/>
      <c r="C71" s="386"/>
      <c r="D71" s="389"/>
      <c r="E71" s="390"/>
      <c r="F71" s="399"/>
      <c r="G71" s="401"/>
      <c r="H71" s="401"/>
      <c r="I71" s="392"/>
      <c r="J71" s="394"/>
      <c r="K71" s="396"/>
      <c r="L71" s="396"/>
      <c r="M71" s="386"/>
      <c r="N71" s="386"/>
      <c r="O71" s="386"/>
      <c r="P71" s="389"/>
      <c r="Q71" s="390"/>
      <c r="R71" s="232"/>
      <c r="S71" s="233"/>
      <c r="T71" s="233"/>
      <c r="U71" s="233"/>
      <c r="V71" s="233"/>
      <c r="W71" s="233"/>
      <c r="X71" s="232"/>
      <c r="Y71" s="233"/>
      <c r="Z71" s="233"/>
      <c r="AA71" s="233"/>
      <c r="AB71" s="233"/>
      <c r="AC71" s="234"/>
      <c r="AD71" s="235"/>
      <c r="AE71" s="224"/>
      <c r="AI71" s="225"/>
    </row>
    <row r="72" spans="2:35" ht="55.5" customHeight="1" x14ac:dyDescent="0.25">
      <c r="B72" s="236"/>
      <c r="C72" s="166"/>
      <c r="D72" s="166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R72" s="166"/>
      <c r="X72" s="166"/>
      <c r="AD72" s="171"/>
      <c r="AE72" s="162"/>
      <c r="AF72" s="166"/>
      <c r="AI72" s="171"/>
    </row>
    <row r="73" spans="2:35" ht="45" customHeight="1" x14ac:dyDescent="0.25">
      <c r="B73" s="172" t="s">
        <v>189</v>
      </c>
      <c r="C73" s="237"/>
      <c r="D73" s="237"/>
      <c r="E73" s="238"/>
      <c r="F73" s="517" t="s">
        <v>194</v>
      </c>
      <c r="G73" s="517"/>
      <c r="H73" s="170"/>
      <c r="J73" s="210"/>
      <c r="K73" s="210"/>
      <c r="L73" s="240"/>
      <c r="M73" s="241"/>
      <c r="N73" s="241"/>
      <c r="O73" s="174" t="s">
        <v>190</v>
      </c>
      <c r="P73" s="242"/>
      <c r="Q73" s="242"/>
      <c r="R73" s="517" t="s">
        <v>195</v>
      </c>
      <c r="S73" s="517"/>
      <c r="T73" s="186"/>
      <c r="U73" s="186"/>
      <c r="Y73" s="174" t="s">
        <v>191</v>
      </c>
      <c r="Z73" s="186"/>
      <c r="AA73" s="243"/>
      <c r="AB73" s="244"/>
      <c r="AC73" s="185"/>
      <c r="AD73" s="171"/>
      <c r="AE73" s="162"/>
      <c r="AF73" s="166"/>
      <c r="AI73" s="171"/>
    </row>
    <row r="74" spans="2:35" ht="45" customHeight="1" x14ac:dyDescent="0.25">
      <c r="B74" s="172"/>
      <c r="C74" s="237"/>
      <c r="D74" s="237"/>
      <c r="E74" s="245"/>
      <c r="F74" s="245"/>
      <c r="G74" s="237"/>
      <c r="H74" s="170"/>
      <c r="J74" s="210"/>
      <c r="K74" s="210"/>
      <c r="L74" s="240"/>
      <c r="M74" s="246"/>
      <c r="N74" s="246"/>
      <c r="O74" s="174"/>
      <c r="P74" s="240"/>
      <c r="Q74" s="242"/>
      <c r="R74" s="247"/>
      <c r="S74" s="247"/>
      <c r="T74" s="186"/>
      <c r="U74" s="186"/>
      <c r="Y74" s="174"/>
      <c r="Z74" s="186"/>
      <c r="AA74" s="186"/>
      <c r="AB74" s="186"/>
      <c r="AC74" s="186"/>
      <c r="AD74" s="171"/>
      <c r="AE74" s="162"/>
      <c r="AF74" s="166"/>
      <c r="AI74" s="171"/>
    </row>
    <row r="75" spans="2:35" ht="45" customHeight="1" x14ac:dyDescent="0.25">
      <c r="B75" s="172" t="s">
        <v>17</v>
      </c>
      <c r="C75" s="237"/>
      <c r="D75" s="237"/>
      <c r="E75" s="238"/>
      <c r="F75" s="239"/>
      <c r="G75" s="248"/>
      <c r="H75" s="163"/>
      <c r="J75" s="210"/>
      <c r="K75" s="210"/>
      <c r="L75" s="245"/>
      <c r="M75" s="249"/>
      <c r="N75" s="249"/>
      <c r="O75" s="174" t="s">
        <v>192</v>
      </c>
      <c r="P75" s="250"/>
      <c r="Q75" s="242"/>
      <c r="R75" s="251"/>
      <c r="S75" s="251"/>
      <c r="Y75" s="174" t="s">
        <v>192</v>
      </c>
      <c r="AB75" s="177"/>
      <c r="AC75" s="177"/>
      <c r="AD75" s="167"/>
      <c r="AE75" s="166"/>
      <c r="AF75" s="166"/>
      <c r="AH75" s="166"/>
      <c r="AI75" s="167"/>
    </row>
    <row r="76" spans="2:35" ht="34.5" x14ac:dyDescent="0.25">
      <c r="B76" s="252"/>
      <c r="C76" s="210"/>
      <c r="D76" s="210"/>
      <c r="E76" s="210"/>
      <c r="F76" s="210"/>
      <c r="G76" s="210"/>
      <c r="AD76" s="171"/>
    </row>
    <row r="77" spans="2:35" ht="34.5" x14ac:dyDescent="0.25">
      <c r="B77" s="253" t="s">
        <v>193</v>
      </c>
      <c r="C77" s="251"/>
      <c r="D77" s="251"/>
      <c r="E77" s="251"/>
      <c r="F77" s="251"/>
      <c r="G77" s="251"/>
      <c r="H77" s="177"/>
      <c r="I77" s="177"/>
      <c r="J77" s="177"/>
      <c r="K77" s="177"/>
      <c r="L77" s="177"/>
      <c r="M77" s="177"/>
      <c r="N77" s="177"/>
      <c r="O77" s="177"/>
      <c r="P77" s="177"/>
      <c r="Q77" s="177"/>
      <c r="R77" s="177"/>
      <c r="S77" s="177"/>
      <c r="T77" s="177"/>
      <c r="U77" s="177"/>
      <c r="V77" s="177"/>
      <c r="W77" s="177"/>
      <c r="X77" s="177"/>
      <c r="Y77" s="177"/>
      <c r="Z77" s="177"/>
      <c r="AA77" s="177"/>
      <c r="AB77" s="177"/>
      <c r="AC77" s="177"/>
      <c r="AD77" s="254"/>
    </row>
    <row r="87" spans="7:31" x14ac:dyDescent="0.25">
      <c r="G87" s="255"/>
      <c r="H87" s="255"/>
      <c r="AE87" s="162"/>
    </row>
  </sheetData>
  <protectedRanges>
    <protectedRange sqref="N14:N28 B10:D10 B52:C52 C49:C50 C33:E48 E51 B59:W59 D49:D51 B49:B51 B53:B58 G51:R51 D52:R55 V65:W69 AC51:AF55 X56:AF59 G49:AF50 X51:X55 AB65:AB69 G10:AF10 I29 C14:C29 D29:F29 J14:J28 D56:E58 G14:H28 G58:W58 F56:W57" name="p2e748f0fe1eb43132d456d75949f6be3"/>
    <protectedRange sqref="AF8:AF9 AD9 E9:F9 X7:X8 AA7:AA8 L7:L8 I7:I8 O7:O8 R7:R8 U7:U8" name="p547f5a980904daf0dfa79ab76f7eb7f1"/>
    <protectedRange sqref="E4:O4 D6:D7" name="p915cfce853e1a0fa81a642efe2ca8f86"/>
    <protectedRange sqref="R73:U74 Z73:AC74" name="p62f34c08bc43a732167a4cb2a22494e9"/>
    <protectedRange sqref="J29:K29 G29:H29 L14:M28 P14:Q28" name="p40ae67166de39ef3f3ec01bbdae900a3_1"/>
    <protectedRange sqref="L29:AB29 R14:AB28 F33:AB48" name="p2e748f0fe1eb43132d456d75949f6be3_1"/>
    <protectedRange sqref="E73:F75 L73:N75 P73:Q75" name="pd76f2506e825e80154285506ac3cb46a"/>
    <protectedRange sqref="B77" name="p62f34c08bc43a732167a4cb2a22494e9_1"/>
    <protectedRange sqref="AC71:AF71 AC62:AF69 B60:B71" name="p2e748f0fe1eb43132d456d75949f6be3_2"/>
    <protectedRange sqref="C60:C61 M61 P60 Q60:Q61 O60:O61 S60:W64 S70:W71 X62:X71 Y60:AB64 Y70:AB71 E60:F61 C62:E71 G62:G71 K62:M71 O62:R71" name="p40ae67166de39ef3f3ec01bbdae900a3_3_1"/>
  </protectedRanges>
  <mergeCells count="360">
    <mergeCell ref="F73:G73"/>
    <mergeCell ref="R73:S73"/>
    <mergeCell ref="W12:AA12"/>
    <mergeCell ref="K13:L13"/>
    <mergeCell ref="O13:P13"/>
    <mergeCell ref="B2:F3"/>
    <mergeCell ref="G2:AB3"/>
    <mergeCell ref="AH3:AI3"/>
    <mergeCell ref="B10:AD10"/>
    <mergeCell ref="B11:I11"/>
    <mergeCell ref="J11:Q11"/>
    <mergeCell ref="R11:AA11"/>
    <mergeCell ref="AB11:AD13"/>
    <mergeCell ref="B12:B13"/>
    <mergeCell ref="C12:E13"/>
    <mergeCell ref="S14:S16"/>
    <mergeCell ref="B14:B16"/>
    <mergeCell ref="C14:E16"/>
    <mergeCell ref="F14:G16"/>
    <mergeCell ref="H14:I16"/>
    <mergeCell ref="J14:J16"/>
    <mergeCell ref="K14:L16"/>
    <mergeCell ref="F12:G13"/>
    <mergeCell ref="H12:I13"/>
    <mergeCell ref="J12:M12"/>
    <mergeCell ref="N12:Q12"/>
    <mergeCell ref="R12:V12"/>
    <mergeCell ref="R17:R19"/>
    <mergeCell ref="S17:S19"/>
    <mergeCell ref="T17:T19"/>
    <mergeCell ref="Z14:Z16"/>
    <mergeCell ref="AA14:AA16"/>
    <mergeCell ref="AB14:AD16"/>
    <mergeCell ref="V14:V16"/>
    <mergeCell ref="W14:W16"/>
    <mergeCell ref="X14:X16"/>
    <mergeCell ref="Y14:Y16"/>
    <mergeCell ref="B17:B19"/>
    <mergeCell ref="C17:E19"/>
    <mergeCell ref="F17:G19"/>
    <mergeCell ref="H17:I19"/>
    <mergeCell ref="J17:J19"/>
    <mergeCell ref="K17:L19"/>
    <mergeCell ref="M17:M19"/>
    <mergeCell ref="T14:T16"/>
    <mergeCell ref="U14:U16"/>
    <mergeCell ref="M14:M16"/>
    <mergeCell ref="N14:N16"/>
    <mergeCell ref="O14:P16"/>
    <mergeCell ref="Q14:Q16"/>
    <mergeCell ref="R14:R16"/>
    <mergeCell ref="Q20:Q22"/>
    <mergeCell ref="R20:R22"/>
    <mergeCell ref="S20:S22"/>
    <mergeCell ref="T20:T22"/>
    <mergeCell ref="U20:U22"/>
    <mergeCell ref="AA17:AA19"/>
    <mergeCell ref="AB17:AD19"/>
    <mergeCell ref="B20:B22"/>
    <mergeCell ref="C20:E22"/>
    <mergeCell ref="F20:G22"/>
    <mergeCell ref="H20:I22"/>
    <mergeCell ref="J20:J22"/>
    <mergeCell ref="K20:L22"/>
    <mergeCell ref="M20:M22"/>
    <mergeCell ref="N20:N22"/>
    <mergeCell ref="U17:U19"/>
    <mergeCell ref="V17:V19"/>
    <mergeCell ref="W17:W19"/>
    <mergeCell ref="X17:X19"/>
    <mergeCell ref="Y17:Y19"/>
    <mergeCell ref="Z17:Z19"/>
    <mergeCell ref="N17:N19"/>
    <mergeCell ref="O17:P19"/>
    <mergeCell ref="Q17:Q19"/>
    <mergeCell ref="AB23:AD25"/>
    <mergeCell ref="Q23:Q25"/>
    <mergeCell ref="R23:R25"/>
    <mergeCell ref="S23:S25"/>
    <mergeCell ref="T23:T25"/>
    <mergeCell ref="U23:U25"/>
    <mergeCell ref="V23:V25"/>
    <mergeCell ref="AB20:AD22"/>
    <mergeCell ref="B23:B25"/>
    <mergeCell ref="C23:E25"/>
    <mergeCell ref="F23:G25"/>
    <mergeCell ref="H23:I25"/>
    <mergeCell ref="J23:J25"/>
    <mergeCell ref="K23:L25"/>
    <mergeCell ref="M23:M25"/>
    <mergeCell ref="N23:N25"/>
    <mergeCell ref="O23:P25"/>
    <mergeCell ref="V20:V22"/>
    <mergeCell ref="W20:W22"/>
    <mergeCell ref="X20:X22"/>
    <mergeCell ref="Y20:Y22"/>
    <mergeCell ref="Z20:Z22"/>
    <mergeCell ref="AA20:AA22"/>
    <mergeCell ref="O20:P22"/>
    <mergeCell ref="F26:G28"/>
    <mergeCell ref="H26:I28"/>
    <mergeCell ref="J26:J28"/>
    <mergeCell ref="K26:L28"/>
    <mergeCell ref="W23:W25"/>
    <mergeCell ref="X23:X25"/>
    <mergeCell ref="Y23:Y25"/>
    <mergeCell ref="Z23:Z25"/>
    <mergeCell ref="AA23:AA25"/>
    <mergeCell ref="AA26:AA28"/>
    <mergeCell ref="AB26:AD28"/>
    <mergeCell ref="B30:E30"/>
    <mergeCell ref="F30:AD30"/>
    <mergeCell ref="B31:B32"/>
    <mergeCell ref="C31:E32"/>
    <mergeCell ref="F31:J31"/>
    <mergeCell ref="L31:P31"/>
    <mergeCell ref="R31:V31"/>
    <mergeCell ref="X31:AB31"/>
    <mergeCell ref="U26:U28"/>
    <mergeCell ref="V26:V28"/>
    <mergeCell ref="W26:W28"/>
    <mergeCell ref="X26:X28"/>
    <mergeCell ref="Y26:Y28"/>
    <mergeCell ref="Z26:Z28"/>
    <mergeCell ref="M26:M28"/>
    <mergeCell ref="N26:N28"/>
    <mergeCell ref="O26:P28"/>
    <mergeCell ref="R26:R28"/>
    <mergeCell ref="S26:S28"/>
    <mergeCell ref="T26:T28"/>
    <mergeCell ref="B26:B28"/>
    <mergeCell ref="C26:E28"/>
    <mergeCell ref="AC31:AD32"/>
    <mergeCell ref="V33:V35"/>
    <mergeCell ref="X33:X35"/>
    <mergeCell ref="Y33:Y35"/>
    <mergeCell ref="M33:M35"/>
    <mergeCell ref="N33:N35"/>
    <mergeCell ref="O33:O35"/>
    <mergeCell ref="P33:P35"/>
    <mergeCell ref="Q33:Q35"/>
    <mergeCell ref="R33:R35"/>
    <mergeCell ref="B36:B38"/>
    <mergeCell ref="C36:E38"/>
    <mergeCell ref="F36:F38"/>
    <mergeCell ref="G36:G38"/>
    <mergeCell ref="H36:H38"/>
    <mergeCell ref="I36:I38"/>
    <mergeCell ref="S33:S35"/>
    <mergeCell ref="T33:T35"/>
    <mergeCell ref="U33:U35"/>
    <mergeCell ref="J36:J38"/>
    <mergeCell ref="K36:K38"/>
    <mergeCell ref="L36:L38"/>
    <mergeCell ref="M36:M38"/>
    <mergeCell ref="N36:N38"/>
    <mergeCell ref="B33:B35"/>
    <mergeCell ref="C33:E35"/>
    <mergeCell ref="F33:F35"/>
    <mergeCell ref="G33:G35"/>
    <mergeCell ref="H33:H35"/>
    <mergeCell ref="I33:I35"/>
    <mergeCell ref="J33:J35"/>
    <mergeCell ref="K33:K35"/>
    <mergeCell ref="L33:L35"/>
    <mergeCell ref="R36:R38"/>
    <mergeCell ref="Z33:Z35"/>
    <mergeCell ref="AA33:AA35"/>
    <mergeCell ref="AB33:AB35"/>
    <mergeCell ref="Q39:Q41"/>
    <mergeCell ref="R39:R41"/>
    <mergeCell ref="AC36:AD38"/>
    <mergeCell ref="B39:B41"/>
    <mergeCell ref="C39:E41"/>
    <mergeCell ref="F39:F41"/>
    <mergeCell ref="G39:G41"/>
    <mergeCell ref="H39:H41"/>
    <mergeCell ref="I39:I41"/>
    <mergeCell ref="J39:J41"/>
    <mergeCell ref="K39:K41"/>
    <mergeCell ref="L39:L41"/>
    <mergeCell ref="V36:V38"/>
    <mergeCell ref="X36:X38"/>
    <mergeCell ref="Y36:Y38"/>
    <mergeCell ref="Z36:Z38"/>
    <mergeCell ref="AA36:AA38"/>
    <mergeCell ref="AB36:AB38"/>
    <mergeCell ref="P36:P38"/>
    <mergeCell ref="Q36:Q38"/>
    <mergeCell ref="AC33:AD35"/>
    <mergeCell ref="S36:S38"/>
    <mergeCell ref="T36:T38"/>
    <mergeCell ref="U36:U38"/>
    <mergeCell ref="L42:L44"/>
    <mergeCell ref="M42:M44"/>
    <mergeCell ref="N42:N44"/>
    <mergeCell ref="O42:O44"/>
    <mergeCell ref="Z39:Z41"/>
    <mergeCell ref="O36:O38"/>
    <mergeCell ref="AA39:AA41"/>
    <mergeCell ref="AB39:AB41"/>
    <mergeCell ref="AC39:AD41"/>
    <mergeCell ref="B42:B44"/>
    <mergeCell ref="C42:E44"/>
    <mergeCell ref="F42:F44"/>
    <mergeCell ref="G42:G44"/>
    <mergeCell ref="H42:H44"/>
    <mergeCell ref="I42:I44"/>
    <mergeCell ref="S39:S41"/>
    <mergeCell ref="T39:T41"/>
    <mergeCell ref="U39:U41"/>
    <mergeCell ref="V39:V41"/>
    <mergeCell ref="X39:X41"/>
    <mergeCell ref="Y39:Y41"/>
    <mergeCell ref="M39:M41"/>
    <mergeCell ref="N39:N41"/>
    <mergeCell ref="O39:O41"/>
    <mergeCell ref="P39:P41"/>
    <mergeCell ref="AC42:AD44"/>
    <mergeCell ref="V42:V44"/>
    <mergeCell ref="X42:X44"/>
    <mergeCell ref="Y42:Y44"/>
    <mergeCell ref="Z42:Z44"/>
    <mergeCell ref="AA42:AA44"/>
    <mergeCell ref="AB42:AB44"/>
    <mergeCell ref="P42:P44"/>
    <mergeCell ref="Q42:Q44"/>
    <mergeCell ref="R42:R44"/>
    <mergeCell ref="S42:S44"/>
    <mergeCell ref="T42:T44"/>
    <mergeCell ref="U42:U44"/>
    <mergeCell ref="J42:J44"/>
    <mergeCell ref="K42:K44"/>
    <mergeCell ref="AB45:AB47"/>
    <mergeCell ref="AC45:AD47"/>
    <mergeCell ref="B49:AD49"/>
    <mergeCell ref="D51:F51"/>
    <mergeCell ref="S45:S47"/>
    <mergeCell ref="T45:T47"/>
    <mergeCell ref="U45:U47"/>
    <mergeCell ref="V45:V47"/>
    <mergeCell ref="X45:X47"/>
    <mergeCell ref="Y45:Y47"/>
    <mergeCell ref="M45:M47"/>
    <mergeCell ref="N45:N47"/>
    <mergeCell ref="O45:O47"/>
    <mergeCell ref="P45:P47"/>
    <mergeCell ref="Q45:Q47"/>
    <mergeCell ref="R45:R47"/>
    <mergeCell ref="B45:B47"/>
    <mergeCell ref="C45:E47"/>
    <mergeCell ref="F45:F47"/>
    <mergeCell ref="G45:G47"/>
    <mergeCell ref="H45:H47"/>
    <mergeCell ref="I45:I47"/>
    <mergeCell ref="J45:J47"/>
    <mergeCell ref="K45:K47"/>
    <mergeCell ref="D52:F52"/>
    <mergeCell ref="D53:F53"/>
    <mergeCell ref="D54:F54"/>
    <mergeCell ref="B56:C56"/>
    <mergeCell ref="D56:E56"/>
    <mergeCell ref="B57:C57"/>
    <mergeCell ref="D57:E57"/>
    <mergeCell ref="Z45:Z47"/>
    <mergeCell ref="AA45:AA47"/>
    <mergeCell ref="L45:L47"/>
    <mergeCell ref="M62:M63"/>
    <mergeCell ref="N62:N63"/>
    <mergeCell ref="O62:O63"/>
    <mergeCell ref="P62:Q63"/>
    <mergeCell ref="B58:C58"/>
    <mergeCell ref="D58:E58"/>
    <mergeCell ref="B60:B61"/>
    <mergeCell ref="C60:C61"/>
    <mergeCell ref="D60:E61"/>
    <mergeCell ref="F60:F61"/>
    <mergeCell ref="D64:E65"/>
    <mergeCell ref="F64:F65"/>
    <mergeCell ref="G64:G65"/>
    <mergeCell ref="N64:N65"/>
    <mergeCell ref="O64:O65"/>
    <mergeCell ref="P64:Q65"/>
    <mergeCell ref="S65:V65"/>
    <mergeCell ref="P60:Q61"/>
    <mergeCell ref="B62:B63"/>
    <mergeCell ref="C62:C63"/>
    <mergeCell ref="D62:E63"/>
    <mergeCell ref="F62:F63"/>
    <mergeCell ref="G62:G63"/>
    <mergeCell ref="H62:H63"/>
    <mergeCell ref="I62:I63"/>
    <mergeCell ref="J62:J63"/>
    <mergeCell ref="K62:K63"/>
    <mergeCell ref="G60:G61"/>
    <mergeCell ref="H60:H61"/>
    <mergeCell ref="I60:I61"/>
    <mergeCell ref="J60:J61"/>
    <mergeCell ref="K60:K61"/>
    <mergeCell ref="L60:O60"/>
    <mergeCell ref="L62:L63"/>
    <mergeCell ref="Y65:AB65"/>
    <mergeCell ref="B66:B67"/>
    <mergeCell ref="C66:C67"/>
    <mergeCell ref="D66:E67"/>
    <mergeCell ref="F66:F67"/>
    <mergeCell ref="G66:G67"/>
    <mergeCell ref="H64:H65"/>
    <mergeCell ref="I64:I65"/>
    <mergeCell ref="J64:J65"/>
    <mergeCell ref="K64:K65"/>
    <mergeCell ref="L64:L65"/>
    <mergeCell ref="M64:M65"/>
    <mergeCell ref="T66:V66"/>
    <mergeCell ref="Z66:AB66"/>
    <mergeCell ref="T67:V67"/>
    <mergeCell ref="Z67:AB67"/>
    <mergeCell ref="H66:H67"/>
    <mergeCell ref="I66:I67"/>
    <mergeCell ref="J66:J67"/>
    <mergeCell ref="K66:K67"/>
    <mergeCell ref="L66:L67"/>
    <mergeCell ref="M66:M67"/>
    <mergeCell ref="B64:B65"/>
    <mergeCell ref="C64:C65"/>
    <mergeCell ref="B68:B69"/>
    <mergeCell ref="C68:C69"/>
    <mergeCell ref="D68:E69"/>
    <mergeCell ref="F68:F69"/>
    <mergeCell ref="G68:G69"/>
    <mergeCell ref="H68:H69"/>
    <mergeCell ref="N66:N67"/>
    <mergeCell ref="O66:O67"/>
    <mergeCell ref="P66:Q67"/>
    <mergeCell ref="O68:O69"/>
    <mergeCell ref="P68:Q69"/>
    <mergeCell ref="T68:V68"/>
    <mergeCell ref="Z68:AB68"/>
    <mergeCell ref="T69:V69"/>
    <mergeCell ref="Z69:AB69"/>
    <mergeCell ref="I68:I69"/>
    <mergeCell ref="J68:J69"/>
    <mergeCell ref="K68:K69"/>
    <mergeCell ref="L68:L69"/>
    <mergeCell ref="M68:M69"/>
    <mergeCell ref="N68:N69"/>
    <mergeCell ref="O70:O71"/>
    <mergeCell ref="P70:Q71"/>
    <mergeCell ref="I70:I71"/>
    <mergeCell ref="J70:J71"/>
    <mergeCell ref="K70:K71"/>
    <mergeCell ref="L70:L71"/>
    <mergeCell ref="M70:M71"/>
    <mergeCell ref="N70:N71"/>
    <mergeCell ref="B70:B71"/>
    <mergeCell ref="C70:C71"/>
    <mergeCell ref="D70:E71"/>
    <mergeCell ref="F70:F71"/>
    <mergeCell ref="G70:G71"/>
    <mergeCell ref="H70:H71"/>
  </mergeCells>
  <dataValidations count="7">
    <dataValidation type="list" allowBlank="1" showInputMessage="1" sqref="H14:I28" xr:uid="{DF8466E8-ED94-4DC0-B660-99E740494230}">
      <formula1>"XLPE,PILC,N/A,NOT ACCESSIBLE"</formula1>
    </dataValidation>
    <dataValidation type="list" allowBlank="1" showInputMessage="1" showErrorMessage="1" sqref="D51:F51" xr:uid="{F1EF28CA-11C4-4F99-AE62-30B7EE18CE01}">
      <formula1>"1600A,1000A,800A"</formula1>
    </dataValidation>
    <dataValidation type="list" allowBlank="1" showInputMessage="1" showErrorMessage="1" sqref="D53:F53" xr:uid="{83EECB69-5F3D-4147-A9B9-A210F630BD18}">
      <formula1>"J-SLOTTED,DIN TYPE"</formula1>
    </dataValidation>
    <dataValidation type="list" allowBlank="1" showInputMessage="1" sqref="D57:O57" xr:uid="{441D492D-1C31-4473-9DD1-4A90DD8DCD43}">
      <formula1>"XLPE,PILC,ABC"</formula1>
    </dataValidation>
    <dataValidation type="list" allowBlank="1" showInputMessage="1" sqref="L8 I8 O8 R8" xr:uid="{1BDDB906-D45A-410D-95E2-6AA91895C205}">
      <formula1>"30MVA,15MVA,10MVA,5MVA"</formula1>
    </dataValidation>
    <dataValidation type="list" allowBlank="1" showInputMessage="1" sqref="U8" xr:uid="{34B1A070-B433-45EC-AF4D-40E7AE854215}">
      <formula1>"1000kVA,750kVA,500kVA,300kVA,100kVA"</formula1>
    </dataValidation>
    <dataValidation type="list" allowBlank="1" showInputMessage="1" showErrorMessage="1" sqref="AD4" xr:uid="{8E95D230-AAF0-41D6-8541-ABC6BC905FFD}">
      <formula1>"NORMAL,DEFECT,MONITOR"</formula1>
    </dataValidation>
  </dataValidations>
  <printOptions horizontalCentered="1" verticalCentered="1"/>
  <pageMargins left="0" right="0.39370078740157483" top="0" bottom="0" header="0" footer="0"/>
  <pageSetup paperSize="124" scale="50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AH89"/>
  <sheetViews>
    <sheetView view="pageBreakPreview" zoomScaleNormal="100" zoomScaleSheetLayoutView="100" workbookViewId="0">
      <selection activeCell="D4" sqref="D4:I4"/>
    </sheetView>
  </sheetViews>
  <sheetFormatPr defaultRowHeight="12.75" x14ac:dyDescent="0.2"/>
  <cols>
    <col min="1" max="1" width="6.140625" style="42" bestFit="1" customWidth="1"/>
    <col min="2" max="2" width="10.7109375" style="35" customWidth="1"/>
    <col min="3" max="3" width="14.42578125" style="35" customWidth="1"/>
    <col min="4" max="6" width="9.140625" style="35"/>
    <col min="7" max="7" width="15" style="35" customWidth="1"/>
    <col min="8" max="10" width="6.7109375" style="35" customWidth="1"/>
    <col min="11" max="11" width="5.42578125" style="35" customWidth="1"/>
    <col min="12" max="16384" width="9.140625" style="35"/>
  </cols>
  <sheetData>
    <row r="1" spans="1:34" ht="45.75" customHeight="1" x14ac:dyDescent="0.2">
      <c r="A1" s="319"/>
      <c r="B1" s="319"/>
      <c r="C1" s="319"/>
      <c r="D1" s="319" t="s">
        <v>42</v>
      </c>
      <c r="E1" s="319"/>
      <c r="F1" s="319"/>
      <c r="G1" s="319"/>
      <c r="H1" s="319"/>
      <c r="I1" s="319"/>
      <c r="J1" s="319"/>
      <c r="K1" s="319"/>
      <c r="L1" s="319"/>
      <c r="M1" s="319"/>
      <c r="N1" s="319"/>
      <c r="O1" s="319"/>
      <c r="P1" s="319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ht="12" customHeight="1" x14ac:dyDescent="0.2">
      <c r="A2" s="110"/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115"/>
    </row>
    <row r="3" spans="1:34" ht="18" customHeight="1" x14ac:dyDescent="0.2">
      <c r="A3" s="111"/>
      <c r="B3" s="71" t="s">
        <v>43</v>
      </c>
      <c r="C3" s="72"/>
      <c r="D3" s="320"/>
      <c r="E3" s="320"/>
      <c r="F3" s="320"/>
      <c r="G3" s="320"/>
      <c r="H3" s="320"/>
      <c r="I3" s="320"/>
      <c r="J3" s="73"/>
      <c r="K3" s="71"/>
      <c r="L3" s="282" t="s">
        <v>197</v>
      </c>
      <c r="M3" s="321"/>
      <c r="N3" s="321"/>
      <c r="O3" s="321"/>
      <c r="P3" s="116"/>
      <c r="Q3" s="36"/>
      <c r="R3" s="36"/>
    </row>
    <row r="4" spans="1:34" ht="18" customHeight="1" x14ac:dyDescent="0.2">
      <c r="A4" s="111"/>
      <c r="B4" s="71" t="s">
        <v>44</v>
      </c>
      <c r="C4" s="72"/>
      <c r="D4" s="322"/>
      <c r="E4" s="322"/>
      <c r="F4" s="322"/>
      <c r="G4" s="322"/>
      <c r="H4" s="322"/>
      <c r="I4" s="322"/>
      <c r="J4" s="71"/>
      <c r="K4" s="70"/>
      <c r="L4" s="70"/>
      <c r="M4" s="70"/>
      <c r="N4" s="70"/>
      <c r="O4" s="70"/>
      <c r="P4" s="115"/>
    </row>
    <row r="5" spans="1:34" ht="12" customHeight="1" x14ac:dyDescent="0.2">
      <c r="A5" s="11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115"/>
    </row>
    <row r="6" spans="1:34" ht="18" x14ac:dyDescent="0.25">
      <c r="A6" s="317" t="s">
        <v>45</v>
      </c>
      <c r="B6" s="318"/>
      <c r="C6" s="318"/>
      <c r="D6" s="318"/>
      <c r="E6" s="318"/>
      <c r="F6" s="318"/>
      <c r="G6" s="318"/>
      <c r="H6" s="318"/>
      <c r="I6" s="318"/>
      <c r="J6" s="318"/>
      <c r="K6" s="70"/>
      <c r="L6" s="74"/>
      <c r="M6" s="75"/>
      <c r="N6" s="75"/>
      <c r="O6" s="75"/>
      <c r="P6" s="117"/>
      <c r="Q6" s="37"/>
    </row>
    <row r="7" spans="1:34" ht="12" customHeight="1" x14ac:dyDescent="0.25">
      <c r="A7" s="111">
        <v>1</v>
      </c>
      <c r="B7" s="76" t="s">
        <v>46</v>
      </c>
      <c r="C7" s="77"/>
      <c r="D7" s="77"/>
      <c r="E7" s="78"/>
      <c r="F7" s="78"/>
      <c r="G7" s="77"/>
      <c r="H7" s="77"/>
      <c r="I7" s="77"/>
      <c r="J7" s="77"/>
      <c r="K7" s="70"/>
      <c r="L7" s="316" t="s">
        <v>13</v>
      </c>
      <c r="M7" s="316"/>
      <c r="N7" s="316"/>
      <c r="O7" s="316"/>
      <c r="P7" s="118"/>
      <c r="Q7" s="38"/>
    </row>
    <row r="8" spans="1:34" ht="12" customHeight="1" x14ac:dyDescent="0.25">
      <c r="A8" s="112"/>
      <c r="B8" s="80"/>
      <c r="C8" s="77"/>
      <c r="D8" s="77"/>
      <c r="E8" s="78"/>
      <c r="F8" s="78"/>
      <c r="G8" s="77"/>
      <c r="H8" s="77"/>
      <c r="I8" s="77"/>
      <c r="J8" s="77"/>
      <c r="K8" s="70"/>
      <c r="L8" s="75"/>
      <c r="M8" s="75"/>
      <c r="N8" s="75"/>
      <c r="O8" s="79"/>
      <c r="P8" s="118"/>
      <c r="Q8" s="38"/>
    </row>
    <row r="9" spans="1:34" ht="12" customHeight="1" thickBot="1" x14ac:dyDescent="0.3">
      <c r="A9" s="112"/>
      <c r="B9" s="81" t="s">
        <v>47</v>
      </c>
      <c r="C9" s="82"/>
      <c r="D9" s="82"/>
      <c r="E9" s="83"/>
      <c r="F9" s="83"/>
      <c r="G9" s="82"/>
      <c r="H9" s="84" t="s">
        <v>48</v>
      </c>
      <c r="I9" s="84" t="s">
        <v>49</v>
      </c>
      <c r="J9" s="84" t="s">
        <v>50</v>
      </c>
      <c r="K9" s="70"/>
      <c r="L9" s="283"/>
      <c r="M9" s="283"/>
      <c r="N9" s="283"/>
      <c r="O9" s="286"/>
      <c r="P9" s="118"/>
      <c r="Q9" s="38"/>
    </row>
    <row r="10" spans="1:34" ht="12" customHeight="1" x14ac:dyDescent="0.25">
      <c r="A10" s="112"/>
      <c r="B10" s="81"/>
      <c r="C10" s="82"/>
      <c r="D10" s="82"/>
      <c r="E10" s="83"/>
      <c r="F10" s="83"/>
      <c r="G10" s="82"/>
      <c r="H10" s="85"/>
      <c r="I10" s="86"/>
      <c r="J10" s="87"/>
      <c r="K10" s="70"/>
      <c r="L10" s="284"/>
      <c r="M10" s="284"/>
      <c r="N10" s="284"/>
      <c r="O10" s="287"/>
      <c r="P10" s="117"/>
      <c r="Q10" s="38"/>
    </row>
    <row r="11" spans="1:34" ht="12" customHeight="1" thickBot="1" x14ac:dyDescent="0.3">
      <c r="A11" s="112"/>
      <c r="B11" s="81" t="s">
        <v>51</v>
      </c>
      <c r="C11" s="82"/>
      <c r="D11" s="82"/>
      <c r="E11" s="83"/>
      <c r="F11" s="83"/>
      <c r="G11" s="82"/>
      <c r="H11" s="84" t="s">
        <v>48</v>
      </c>
      <c r="I11" s="84" t="s">
        <v>49</v>
      </c>
      <c r="J11" s="84" t="s">
        <v>50</v>
      </c>
      <c r="K11" s="70"/>
      <c r="L11" s="283"/>
      <c r="M11" s="283"/>
      <c r="N11" s="283"/>
      <c r="O11" s="286"/>
      <c r="P11" s="118"/>
      <c r="Q11" s="38"/>
    </row>
    <row r="12" spans="1:34" ht="12" customHeight="1" x14ac:dyDescent="0.25">
      <c r="A12" s="112"/>
      <c r="B12" s="81"/>
      <c r="C12" s="82"/>
      <c r="D12" s="82"/>
      <c r="E12" s="83"/>
      <c r="F12" s="83"/>
      <c r="G12" s="82"/>
      <c r="H12" s="85"/>
      <c r="I12" s="86"/>
      <c r="J12" s="87"/>
      <c r="K12" s="70"/>
      <c r="L12" s="284"/>
      <c r="M12" s="284"/>
      <c r="N12" s="284"/>
      <c r="O12" s="287"/>
      <c r="P12" s="118"/>
      <c r="Q12" s="38"/>
    </row>
    <row r="13" spans="1:34" ht="12" customHeight="1" thickBot="1" x14ac:dyDescent="0.3">
      <c r="A13" s="112"/>
      <c r="B13" s="88" t="s">
        <v>52</v>
      </c>
      <c r="C13" s="82"/>
      <c r="D13" s="82"/>
      <c r="E13" s="83"/>
      <c r="F13" s="83"/>
      <c r="G13" s="82"/>
      <c r="H13" s="84" t="s">
        <v>48</v>
      </c>
      <c r="I13" s="84" t="s">
        <v>49</v>
      </c>
      <c r="J13" s="84" t="s">
        <v>50</v>
      </c>
      <c r="K13" s="70"/>
      <c r="L13" s="283"/>
      <c r="M13" s="283"/>
      <c r="N13" s="283"/>
      <c r="O13" s="286"/>
      <c r="P13" s="118"/>
      <c r="Q13" s="38"/>
    </row>
    <row r="14" spans="1:34" ht="12" customHeight="1" x14ac:dyDescent="0.25">
      <c r="A14" s="112"/>
      <c r="B14" s="80"/>
      <c r="C14" s="77"/>
      <c r="D14" s="77"/>
      <c r="E14" s="78"/>
      <c r="F14" s="78"/>
      <c r="G14" s="77"/>
      <c r="H14" s="86"/>
      <c r="I14" s="86"/>
      <c r="J14" s="87"/>
      <c r="K14" s="70"/>
      <c r="L14" s="284"/>
      <c r="M14" s="284"/>
      <c r="N14" s="284"/>
      <c r="O14" s="287"/>
      <c r="P14" s="118"/>
      <c r="Q14" s="38"/>
    </row>
    <row r="15" spans="1:34" ht="12" customHeight="1" x14ac:dyDescent="0.25">
      <c r="A15" s="111">
        <v>2</v>
      </c>
      <c r="B15" s="76" t="s">
        <v>53</v>
      </c>
      <c r="C15" s="77"/>
      <c r="D15" s="77"/>
      <c r="E15" s="78"/>
      <c r="F15" s="78"/>
      <c r="G15" s="77"/>
      <c r="H15" s="86"/>
      <c r="I15" s="86"/>
      <c r="J15" s="87"/>
      <c r="K15" s="70"/>
      <c r="L15" s="284"/>
      <c r="M15" s="284"/>
      <c r="N15" s="284"/>
      <c r="O15" s="287"/>
      <c r="P15" s="118"/>
      <c r="Q15" s="38"/>
    </row>
    <row r="16" spans="1:34" ht="12" customHeight="1" x14ac:dyDescent="0.25">
      <c r="A16" s="112"/>
      <c r="B16" s="80"/>
      <c r="C16" s="77"/>
      <c r="D16" s="77"/>
      <c r="E16" s="78"/>
      <c r="F16" s="78"/>
      <c r="G16" s="77"/>
      <c r="H16" s="86"/>
      <c r="I16" s="86"/>
      <c r="J16" s="87"/>
      <c r="K16" s="70"/>
      <c r="L16" s="284"/>
      <c r="M16" s="284"/>
      <c r="N16" s="284"/>
      <c r="O16" s="287"/>
      <c r="P16" s="117"/>
      <c r="Q16" s="38"/>
    </row>
    <row r="17" spans="1:17" ht="12" customHeight="1" thickBot="1" x14ac:dyDescent="0.3">
      <c r="A17" s="112"/>
      <c r="B17" s="81" t="s">
        <v>54</v>
      </c>
      <c r="C17" s="82"/>
      <c r="D17" s="82"/>
      <c r="E17" s="83"/>
      <c r="F17" s="83"/>
      <c r="G17" s="82"/>
      <c r="H17" s="84" t="s">
        <v>48</v>
      </c>
      <c r="I17" s="84" t="s">
        <v>49</v>
      </c>
      <c r="J17" s="84" t="s">
        <v>50</v>
      </c>
      <c r="K17" s="70"/>
      <c r="L17" s="283"/>
      <c r="M17" s="283"/>
      <c r="N17" s="283"/>
      <c r="O17" s="286"/>
      <c r="P17" s="118"/>
      <c r="Q17" s="38"/>
    </row>
    <row r="18" spans="1:17" ht="12" customHeight="1" x14ac:dyDescent="0.2">
      <c r="A18" s="112"/>
      <c r="B18" s="81"/>
      <c r="C18" s="82"/>
      <c r="D18" s="82"/>
      <c r="E18" s="83"/>
      <c r="F18" s="83"/>
      <c r="G18" s="82"/>
      <c r="H18" s="85"/>
      <c r="I18" s="86"/>
      <c r="J18" s="87"/>
      <c r="K18" s="70"/>
      <c r="L18" s="285"/>
      <c r="M18" s="285"/>
      <c r="N18" s="285"/>
      <c r="O18" s="285"/>
      <c r="P18" s="115"/>
    </row>
    <row r="19" spans="1:17" ht="12" customHeight="1" thickBot="1" x14ac:dyDescent="0.25">
      <c r="A19" s="112"/>
      <c r="B19" s="81" t="s">
        <v>55</v>
      </c>
      <c r="C19" s="82"/>
      <c r="D19" s="82"/>
      <c r="E19" s="83"/>
      <c r="F19" s="83"/>
      <c r="G19" s="82"/>
      <c r="H19" s="84" t="s">
        <v>48</v>
      </c>
      <c r="I19" s="84" t="s">
        <v>49</v>
      </c>
      <c r="J19" s="84" t="s">
        <v>50</v>
      </c>
      <c r="K19" s="70"/>
      <c r="L19" s="283"/>
      <c r="M19" s="283"/>
      <c r="N19" s="283"/>
      <c r="O19" s="286"/>
      <c r="P19" s="115"/>
    </row>
    <row r="20" spans="1:17" ht="12" customHeight="1" x14ac:dyDescent="0.2">
      <c r="A20" s="112"/>
      <c r="B20" s="81"/>
      <c r="C20" s="82"/>
      <c r="D20" s="82"/>
      <c r="E20" s="83"/>
      <c r="F20" s="83"/>
      <c r="G20" s="82"/>
      <c r="H20" s="85"/>
      <c r="I20" s="86"/>
      <c r="J20" s="87"/>
      <c r="K20" s="70"/>
      <c r="L20" s="285"/>
      <c r="M20" s="285"/>
      <c r="N20" s="285"/>
      <c r="O20" s="285"/>
      <c r="P20" s="115"/>
    </row>
    <row r="21" spans="1:17" ht="12" customHeight="1" thickBot="1" x14ac:dyDescent="0.25">
      <c r="A21" s="112"/>
      <c r="B21" s="81" t="s">
        <v>56</v>
      </c>
      <c r="C21" s="82"/>
      <c r="D21" s="82"/>
      <c r="E21" s="83"/>
      <c r="F21" s="83"/>
      <c r="G21" s="82"/>
      <c r="H21" s="84" t="s">
        <v>48</v>
      </c>
      <c r="I21" s="84" t="s">
        <v>49</v>
      </c>
      <c r="J21" s="84" t="s">
        <v>50</v>
      </c>
      <c r="K21" s="70"/>
      <c r="L21" s="283"/>
      <c r="M21" s="283"/>
      <c r="N21" s="283"/>
      <c r="O21" s="286"/>
      <c r="P21" s="115"/>
    </row>
    <row r="22" spans="1:17" ht="12" customHeight="1" x14ac:dyDescent="0.2">
      <c r="A22" s="112"/>
      <c r="B22" s="81"/>
      <c r="C22" s="82"/>
      <c r="D22" s="82"/>
      <c r="E22" s="83"/>
      <c r="F22" s="83"/>
      <c r="G22" s="82"/>
      <c r="H22" s="85"/>
      <c r="I22" s="86"/>
      <c r="J22" s="87"/>
      <c r="K22" s="70"/>
      <c r="L22" s="285"/>
      <c r="M22" s="285"/>
      <c r="N22" s="285"/>
      <c r="O22" s="285"/>
      <c r="P22" s="115"/>
    </row>
    <row r="23" spans="1:17" ht="12" customHeight="1" thickBot="1" x14ac:dyDescent="0.25">
      <c r="A23" s="112"/>
      <c r="B23" s="81" t="s">
        <v>57</v>
      </c>
      <c r="C23" s="82"/>
      <c r="D23" s="82"/>
      <c r="E23" s="83"/>
      <c r="F23" s="83"/>
      <c r="G23" s="82"/>
      <c r="H23" s="84" t="s">
        <v>48</v>
      </c>
      <c r="I23" s="84" t="s">
        <v>49</v>
      </c>
      <c r="J23" s="84" t="s">
        <v>50</v>
      </c>
      <c r="K23" s="70"/>
      <c r="L23" s="283"/>
      <c r="M23" s="283"/>
      <c r="N23" s="283"/>
      <c r="O23" s="286"/>
      <c r="P23" s="115"/>
    </row>
    <row r="24" spans="1:17" ht="12" customHeight="1" x14ac:dyDescent="0.2">
      <c r="A24" s="110"/>
      <c r="B24" s="89"/>
      <c r="C24" s="89"/>
      <c r="D24" s="90"/>
      <c r="E24" s="91"/>
      <c r="F24" s="91"/>
      <c r="G24" s="90"/>
      <c r="H24" s="92"/>
      <c r="I24" s="92"/>
      <c r="J24" s="87"/>
      <c r="K24" s="70"/>
      <c r="L24" s="285"/>
      <c r="M24" s="285"/>
      <c r="N24" s="285"/>
      <c r="O24" s="285"/>
      <c r="P24" s="115"/>
    </row>
    <row r="25" spans="1:17" ht="12" customHeight="1" x14ac:dyDescent="0.2">
      <c r="A25" s="111">
        <v>3</v>
      </c>
      <c r="B25" s="71" t="s">
        <v>58</v>
      </c>
      <c r="C25" s="89"/>
      <c r="D25" s="90"/>
      <c r="E25" s="91"/>
      <c r="F25" s="91"/>
      <c r="G25" s="90"/>
      <c r="H25" s="92"/>
      <c r="I25" s="92"/>
      <c r="J25" s="87"/>
      <c r="K25" s="70"/>
      <c r="L25" s="285"/>
      <c r="M25" s="285"/>
      <c r="N25" s="285"/>
      <c r="O25" s="285"/>
      <c r="P25" s="115"/>
    </row>
    <row r="26" spans="1:17" ht="12" customHeight="1" x14ac:dyDescent="0.2">
      <c r="A26" s="112"/>
      <c r="B26" s="89"/>
      <c r="C26" s="89"/>
      <c r="D26" s="90"/>
      <c r="E26" s="91"/>
      <c r="F26" s="91"/>
      <c r="G26" s="90"/>
      <c r="H26" s="92"/>
      <c r="I26" s="92"/>
      <c r="J26" s="87"/>
      <c r="K26" s="70"/>
      <c r="L26" s="285"/>
      <c r="M26" s="285"/>
      <c r="N26" s="285"/>
      <c r="O26" s="285"/>
      <c r="P26" s="115"/>
    </row>
    <row r="27" spans="1:17" ht="12" customHeight="1" thickBot="1" x14ac:dyDescent="0.25">
      <c r="A27" s="112"/>
      <c r="B27" s="88" t="s">
        <v>59</v>
      </c>
      <c r="C27" s="88"/>
      <c r="D27" s="93"/>
      <c r="E27" s="94"/>
      <c r="F27" s="94"/>
      <c r="G27" s="93"/>
      <c r="H27" s="84" t="s">
        <v>48</v>
      </c>
      <c r="I27" s="84" t="s">
        <v>49</v>
      </c>
      <c r="J27" s="84" t="s">
        <v>50</v>
      </c>
      <c r="K27" s="70"/>
      <c r="L27" s="283"/>
      <c r="M27" s="283"/>
      <c r="N27" s="283"/>
      <c r="O27" s="286"/>
      <c r="P27" s="115"/>
    </row>
    <row r="28" spans="1:17" ht="12" customHeight="1" x14ac:dyDescent="0.2">
      <c r="A28" s="112"/>
      <c r="B28" s="88"/>
      <c r="C28" s="88"/>
      <c r="D28" s="93"/>
      <c r="E28" s="94"/>
      <c r="F28" s="94"/>
      <c r="G28" s="93"/>
      <c r="H28" s="95"/>
      <c r="I28" s="95"/>
      <c r="J28" s="87"/>
      <c r="K28" s="70"/>
      <c r="L28" s="285"/>
      <c r="M28" s="285"/>
      <c r="N28" s="285"/>
      <c r="O28" s="285"/>
      <c r="P28" s="115"/>
    </row>
    <row r="29" spans="1:17" ht="12" customHeight="1" thickBot="1" x14ac:dyDescent="0.25">
      <c r="A29" s="112"/>
      <c r="B29" s="88" t="s">
        <v>60</v>
      </c>
      <c r="C29" s="88"/>
      <c r="D29" s="93"/>
      <c r="E29" s="94"/>
      <c r="F29" s="94"/>
      <c r="G29" s="93"/>
      <c r="H29" s="84" t="s">
        <v>48</v>
      </c>
      <c r="I29" s="84" t="s">
        <v>49</v>
      </c>
      <c r="J29" s="84" t="s">
        <v>50</v>
      </c>
      <c r="K29" s="70"/>
      <c r="L29" s="283"/>
      <c r="M29" s="283"/>
      <c r="N29" s="283"/>
      <c r="O29" s="286"/>
      <c r="P29" s="115"/>
    </row>
    <row r="30" spans="1:17" ht="12" customHeight="1" x14ac:dyDescent="0.2">
      <c r="A30" s="112"/>
      <c r="B30" s="88"/>
      <c r="C30" s="88"/>
      <c r="D30" s="93"/>
      <c r="E30" s="94"/>
      <c r="F30" s="94"/>
      <c r="G30" s="93"/>
      <c r="H30" s="95"/>
      <c r="I30" s="95"/>
      <c r="J30" s="87"/>
      <c r="K30" s="70"/>
      <c r="L30" s="285"/>
      <c r="M30" s="285"/>
      <c r="N30" s="285"/>
      <c r="O30" s="285"/>
      <c r="P30" s="115"/>
    </row>
    <row r="31" spans="1:17" ht="12" customHeight="1" thickBot="1" x14ac:dyDescent="0.25">
      <c r="A31" s="113"/>
      <c r="B31" s="310" t="s">
        <v>61</v>
      </c>
      <c r="C31" s="310"/>
      <c r="D31" s="310"/>
      <c r="E31" s="310"/>
      <c r="F31" s="310"/>
      <c r="G31" s="94"/>
      <c r="H31" s="84" t="s">
        <v>48</v>
      </c>
      <c r="I31" s="84" t="s">
        <v>49</v>
      </c>
      <c r="J31" s="84" t="s">
        <v>50</v>
      </c>
      <c r="K31" s="70"/>
      <c r="L31" s="283"/>
      <c r="M31" s="283"/>
      <c r="N31" s="283"/>
      <c r="O31" s="286"/>
      <c r="P31" s="115"/>
    </row>
    <row r="32" spans="1:17" ht="12" customHeight="1" x14ac:dyDescent="0.2">
      <c r="A32" s="113"/>
      <c r="B32" s="310"/>
      <c r="C32" s="310"/>
      <c r="D32" s="310"/>
      <c r="E32" s="310"/>
      <c r="F32" s="310"/>
      <c r="G32" s="94"/>
      <c r="H32" s="96"/>
      <c r="I32" s="96"/>
      <c r="J32" s="87"/>
      <c r="K32" s="70"/>
      <c r="L32" s="285"/>
      <c r="M32" s="285"/>
      <c r="N32" s="285"/>
      <c r="O32" s="285"/>
      <c r="P32" s="115"/>
    </row>
    <row r="33" spans="1:17" ht="12" customHeight="1" x14ac:dyDescent="0.2">
      <c r="A33" s="112"/>
      <c r="B33" s="80"/>
      <c r="C33" s="77"/>
      <c r="D33" s="77"/>
      <c r="E33" s="78"/>
      <c r="F33" s="78"/>
      <c r="G33" s="77"/>
      <c r="H33" s="86"/>
      <c r="I33" s="86"/>
      <c r="J33" s="87"/>
      <c r="K33" s="70"/>
      <c r="L33" s="285"/>
      <c r="M33" s="285"/>
      <c r="N33" s="285"/>
      <c r="O33" s="285"/>
      <c r="P33" s="115"/>
    </row>
    <row r="34" spans="1:17" ht="12" customHeight="1" x14ac:dyDescent="0.2">
      <c r="A34" s="111">
        <v>4</v>
      </c>
      <c r="B34" s="76" t="s">
        <v>62</v>
      </c>
      <c r="C34" s="77"/>
      <c r="D34" s="77"/>
      <c r="E34" s="78"/>
      <c r="F34" s="78"/>
      <c r="G34" s="77"/>
      <c r="H34" s="86"/>
      <c r="I34" s="86"/>
      <c r="J34" s="87"/>
      <c r="K34" s="70"/>
      <c r="L34" s="285"/>
      <c r="M34" s="285"/>
      <c r="N34" s="285"/>
      <c r="O34" s="285"/>
      <c r="P34" s="115"/>
    </row>
    <row r="35" spans="1:17" ht="12" customHeight="1" x14ac:dyDescent="0.2">
      <c r="A35" s="112"/>
      <c r="B35" s="80"/>
      <c r="C35" s="77"/>
      <c r="D35" s="77"/>
      <c r="E35" s="78"/>
      <c r="F35" s="78"/>
      <c r="G35" s="77"/>
      <c r="H35" s="86"/>
      <c r="I35" s="86"/>
      <c r="J35" s="87"/>
      <c r="K35" s="70"/>
      <c r="L35" s="285"/>
      <c r="M35" s="285"/>
      <c r="N35" s="285"/>
      <c r="O35" s="285"/>
      <c r="P35" s="115"/>
    </row>
    <row r="36" spans="1:17" ht="12" customHeight="1" thickBot="1" x14ac:dyDescent="0.25">
      <c r="A36" s="112"/>
      <c r="B36" s="81" t="s">
        <v>63</v>
      </c>
      <c r="C36" s="81"/>
      <c r="D36" s="97"/>
      <c r="E36" s="98"/>
      <c r="F36" s="98"/>
      <c r="G36" s="97"/>
      <c r="H36" s="84" t="s">
        <v>48</v>
      </c>
      <c r="I36" s="84" t="s">
        <v>49</v>
      </c>
      <c r="J36" s="84" t="s">
        <v>50</v>
      </c>
      <c r="K36" s="70"/>
      <c r="L36" s="283"/>
      <c r="M36" s="283"/>
      <c r="N36" s="283"/>
      <c r="O36" s="286"/>
      <c r="P36" s="115"/>
    </row>
    <row r="37" spans="1:17" ht="12" customHeight="1" x14ac:dyDescent="0.2">
      <c r="A37" s="112"/>
      <c r="B37" s="81"/>
      <c r="C37" s="81"/>
      <c r="D37" s="97"/>
      <c r="E37" s="98"/>
      <c r="F37" s="98"/>
      <c r="G37" s="97"/>
      <c r="H37" s="99"/>
      <c r="I37" s="99"/>
      <c r="J37" s="100"/>
      <c r="K37" s="70"/>
      <c r="L37" s="285"/>
      <c r="M37" s="285"/>
      <c r="N37" s="285"/>
      <c r="O37" s="285"/>
      <c r="P37" s="115"/>
    </row>
    <row r="38" spans="1:17" ht="12" customHeight="1" thickBot="1" x14ac:dyDescent="0.25">
      <c r="A38" s="112"/>
      <c r="B38" s="88" t="s">
        <v>64</v>
      </c>
      <c r="C38" s="97"/>
      <c r="D38" s="97"/>
      <c r="E38" s="98"/>
      <c r="F38" s="98"/>
      <c r="G38" s="97"/>
      <c r="H38" s="84" t="s">
        <v>48</v>
      </c>
      <c r="I38" s="84" t="s">
        <v>49</v>
      </c>
      <c r="J38" s="84" t="s">
        <v>50</v>
      </c>
      <c r="K38" s="70"/>
      <c r="L38" s="283"/>
      <c r="M38" s="283"/>
      <c r="N38" s="283"/>
      <c r="O38" s="286"/>
      <c r="P38" s="115"/>
    </row>
    <row r="39" spans="1:17" ht="12" customHeight="1" x14ac:dyDescent="0.2">
      <c r="A39" s="112"/>
      <c r="B39" s="81"/>
      <c r="C39" s="81"/>
      <c r="D39" s="97"/>
      <c r="E39" s="98"/>
      <c r="F39" s="98"/>
      <c r="G39" s="97"/>
      <c r="H39" s="99"/>
      <c r="I39" s="99"/>
      <c r="J39" s="100"/>
      <c r="K39" s="70"/>
      <c r="L39" s="285"/>
      <c r="M39" s="285"/>
      <c r="N39" s="285"/>
      <c r="O39" s="285"/>
      <c r="P39" s="115"/>
    </row>
    <row r="40" spans="1:17" ht="12" customHeight="1" thickBot="1" x14ac:dyDescent="0.25">
      <c r="A40" s="112"/>
      <c r="B40" s="88" t="s">
        <v>65</v>
      </c>
      <c r="C40" s="81"/>
      <c r="D40" s="97"/>
      <c r="E40" s="98"/>
      <c r="F40" s="98"/>
      <c r="G40" s="97"/>
      <c r="H40" s="84" t="s">
        <v>48</v>
      </c>
      <c r="I40" s="84" t="s">
        <v>49</v>
      </c>
      <c r="J40" s="84" t="s">
        <v>50</v>
      </c>
      <c r="K40" s="70"/>
      <c r="L40" s="283"/>
      <c r="M40" s="283"/>
      <c r="N40" s="283"/>
      <c r="O40" s="286"/>
      <c r="P40" s="115"/>
    </row>
    <row r="41" spans="1:17" ht="12" customHeight="1" x14ac:dyDescent="0.2">
      <c r="A41" s="112"/>
      <c r="B41" s="88"/>
      <c r="C41" s="81"/>
      <c r="D41" s="97"/>
      <c r="E41" s="98"/>
      <c r="F41" s="98"/>
      <c r="G41" s="97"/>
      <c r="H41" s="99"/>
      <c r="I41" s="99"/>
      <c r="J41" s="87"/>
      <c r="K41" s="70"/>
      <c r="L41" s="285"/>
      <c r="M41" s="285"/>
      <c r="N41" s="285"/>
      <c r="O41" s="285"/>
      <c r="P41" s="115"/>
    </row>
    <row r="42" spans="1:17" ht="12" customHeight="1" thickBot="1" x14ac:dyDescent="0.3">
      <c r="A42" s="112"/>
      <c r="B42" s="81" t="s">
        <v>66</v>
      </c>
      <c r="C42" s="81"/>
      <c r="D42" s="97"/>
      <c r="E42" s="98"/>
      <c r="F42" s="98"/>
      <c r="G42" s="97"/>
      <c r="H42" s="84" t="s">
        <v>48</v>
      </c>
      <c r="I42" s="84" t="s">
        <v>49</v>
      </c>
      <c r="J42" s="84" t="s">
        <v>50</v>
      </c>
      <c r="K42" s="70"/>
      <c r="L42" s="283"/>
      <c r="M42" s="283"/>
      <c r="N42" s="283"/>
      <c r="O42" s="286"/>
      <c r="P42" s="118"/>
      <c r="Q42" s="38"/>
    </row>
    <row r="43" spans="1:17" ht="12" customHeight="1" x14ac:dyDescent="0.25">
      <c r="A43" s="112"/>
      <c r="B43" s="81"/>
      <c r="C43" s="81"/>
      <c r="D43" s="97"/>
      <c r="E43" s="98"/>
      <c r="F43" s="98"/>
      <c r="G43" s="97"/>
      <c r="H43" s="99"/>
      <c r="I43" s="99"/>
      <c r="J43" s="101"/>
      <c r="K43" s="70"/>
      <c r="L43" s="284"/>
      <c r="M43" s="284"/>
      <c r="N43" s="284"/>
      <c r="O43" s="287"/>
      <c r="P43" s="118"/>
      <c r="Q43" s="38"/>
    </row>
    <row r="44" spans="1:17" ht="12" customHeight="1" x14ac:dyDescent="0.25">
      <c r="A44" s="112"/>
      <c r="B44" s="310" t="s">
        <v>123</v>
      </c>
      <c r="C44" s="310"/>
      <c r="D44" s="310"/>
      <c r="E44" s="310"/>
      <c r="F44" s="310"/>
      <c r="G44" s="97"/>
      <c r="H44" s="311" t="s">
        <v>48</v>
      </c>
      <c r="I44" s="311" t="s">
        <v>49</v>
      </c>
      <c r="J44" s="311" t="s">
        <v>50</v>
      </c>
      <c r="K44" s="70"/>
      <c r="L44" s="284"/>
      <c r="M44" s="284"/>
      <c r="N44" s="284"/>
      <c r="O44" s="287"/>
      <c r="P44" s="118"/>
      <c r="Q44" s="38"/>
    </row>
    <row r="45" spans="1:17" ht="12" customHeight="1" thickBot="1" x14ac:dyDescent="0.3">
      <c r="A45" s="112"/>
      <c r="B45" s="310"/>
      <c r="C45" s="310"/>
      <c r="D45" s="310"/>
      <c r="E45" s="310"/>
      <c r="F45" s="310"/>
      <c r="G45" s="97"/>
      <c r="H45" s="311"/>
      <c r="I45" s="311"/>
      <c r="J45" s="311"/>
      <c r="K45" s="70"/>
      <c r="L45" s="283"/>
      <c r="M45" s="283"/>
      <c r="N45" s="283"/>
      <c r="O45" s="286"/>
      <c r="P45" s="118"/>
      <c r="Q45" s="38"/>
    </row>
    <row r="46" spans="1:17" ht="12" customHeight="1" x14ac:dyDescent="0.25">
      <c r="A46" s="112"/>
      <c r="B46" s="81"/>
      <c r="C46" s="81"/>
      <c r="D46" s="97"/>
      <c r="E46" s="98"/>
      <c r="F46" s="98"/>
      <c r="G46" s="97"/>
      <c r="H46" s="99"/>
      <c r="I46" s="99"/>
      <c r="J46" s="87"/>
      <c r="K46" s="70"/>
      <c r="L46" s="284"/>
      <c r="M46" s="284"/>
      <c r="N46" s="284"/>
      <c r="O46" s="287"/>
      <c r="P46" s="118"/>
      <c r="Q46" s="38"/>
    </row>
    <row r="47" spans="1:17" ht="12" customHeight="1" thickBot="1" x14ac:dyDescent="0.3">
      <c r="A47" s="110"/>
      <c r="B47" s="88" t="s">
        <v>67</v>
      </c>
      <c r="C47" s="102"/>
      <c r="D47" s="102"/>
      <c r="E47" s="102"/>
      <c r="F47" s="102"/>
      <c r="G47" s="102"/>
      <c r="H47" s="84" t="s">
        <v>48</v>
      </c>
      <c r="I47" s="84" t="s">
        <v>49</v>
      </c>
      <c r="J47" s="84" t="s">
        <v>50</v>
      </c>
      <c r="K47" s="70"/>
      <c r="L47" s="283"/>
      <c r="M47" s="283"/>
      <c r="N47" s="283"/>
      <c r="O47" s="286"/>
      <c r="P47" s="118"/>
      <c r="Q47" s="38"/>
    </row>
    <row r="48" spans="1:17" ht="12" customHeight="1" x14ac:dyDescent="0.25">
      <c r="A48" s="112"/>
      <c r="B48" s="81"/>
      <c r="C48" s="97"/>
      <c r="D48" s="97"/>
      <c r="E48" s="98"/>
      <c r="F48" s="98"/>
      <c r="G48" s="97"/>
      <c r="H48" s="99"/>
      <c r="I48" s="99"/>
      <c r="J48" s="87"/>
      <c r="K48" s="70"/>
      <c r="L48" s="284"/>
      <c r="M48" s="284"/>
      <c r="N48" s="284"/>
      <c r="O48" s="287"/>
      <c r="P48" s="117"/>
      <c r="Q48" s="38"/>
    </row>
    <row r="49" spans="1:17" ht="12" customHeight="1" thickBot="1" x14ac:dyDescent="0.3">
      <c r="A49" s="112"/>
      <c r="B49" s="88" t="s">
        <v>68</v>
      </c>
      <c r="C49" s="97"/>
      <c r="D49" s="97"/>
      <c r="E49" s="98"/>
      <c r="F49" s="98"/>
      <c r="G49" s="97"/>
      <c r="H49" s="84" t="s">
        <v>48</v>
      </c>
      <c r="I49" s="84" t="s">
        <v>49</v>
      </c>
      <c r="J49" s="84" t="s">
        <v>50</v>
      </c>
      <c r="K49" s="70"/>
      <c r="L49" s="283"/>
      <c r="M49" s="283"/>
      <c r="N49" s="283"/>
      <c r="O49" s="286"/>
      <c r="P49" s="117"/>
      <c r="Q49" s="38"/>
    </row>
    <row r="50" spans="1:17" ht="12" customHeight="1" x14ac:dyDescent="0.25">
      <c r="A50" s="112"/>
      <c r="B50" s="88"/>
      <c r="C50" s="97"/>
      <c r="D50" s="97"/>
      <c r="E50" s="98"/>
      <c r="F50" s="98"/>
      <c r="G50" s="97"/>
      <c r="H50" s="103"/>
      <c r="I50" s="103"/>
      <c r="J50" s="103"/>
      <c r="K50" s="70"/>
      <c r="L50" s="284"/>
      <c r="M50" s="284"/>
      <c r="N50" s="284"/>
      <c r="O50" s="287"/>
      <c r="P50" s="117"/>
      <c r="Q50" s="38"/>
    </row>
    <row r="51" spans="1:17" ht="12" customHeight="1" thickBot="1" x14ac:dyDescent="0.3">
      <c r="A51" s="112"/>
      <c r="B51" s="88" t="s">
        <v>69</v>
      </c>
      <c r="C51" s="97"/>
      <c r="D51" s="97"/>
      <c r="E51" s="98"/>
      <c r="F51" s="98"/>
      <c r="G51" s="97"/>
      <c r="H51" s="84" t="s">
        <v>48</v>
      </c>
      <c r="I51" s="84" t="s">
        <v>49</v>
      </c>
      <c r="J51" s="84" t="s">
        <v>50</v>
      </c>
      <c r="K51" s="70"/>
      <c r="L51" s="283"/>
      <c r="M51" s="283"/>
      <c r="N51" s="283"/>
      <c r="O51" s="286"/>
      <c r="P51" s="119"/>
      <c r="Q51" s="39"/>
    </row>
    <row r="52" spans="1:17" ht="12" customHeight="1" x14ac:dyDescent="0.25">
      <c r="A52" s="112"/>
      <c r="B52" s="88"/>
      <c r="C52" s="97"/>
      <c r="D52" s="97"/>
      <c r="E52" s="98"/>
      <c r="F52" s="98"/>
      <c r="G52" s="97"/>
      <c r="H52" s="99"/>
      <c r="I52" s="99"/>
      <c r="J52" s="87"/>
      <c r="K52" s="70"/>
      <c r="L52" s="284"/>
      <c r="M52" s="284"/>
      <c r="N52" s="284"/>
      <c r="O52" s="287"/>
      <c r="P52" s="117"/>
      <c r="Q52" s="38"/>
    </row>
    <row r="53" spans="1:17" ht="12" customHeight="1" x14ac:dyDescent="0.2">
      <c r="A53" s="113"/>
      <c r="B53" s="310" t="s">
        <v>70</v>
      </c>
      <c r="C53" s="310"/>
      <c r="D53" s="310"/>
      <c r="E53" s="310"/>
      <c r="F53" s="310"/>
      <c r="G53" s="310"/>
      <c r="H53" s="311" t="s">
        <v>48</v>
      </c>
      <c r="I53" s="311" t="s">
        <v>49</v>
      </c>
      <c r="J53" s="311" t="s">
        <v>50</v>
      </c>
      <c r="K53" s="70"/>
      <c r="L53" s="285"/>
      <c r="M53" s="285"/>
      <c r="N53" s="285"/>
      <c r="O53" s="285"/>
      <c r="P53" s="115"/>
    </row>
    <row r="54" spans="1:17" ht="12" customHeight="1" thickBot="1" x14ac:dyDescent="0.25">
      <c r="A54" s="113"/>
      <c r="B54" s="310"/>
      <c r="C54" s="310"/>
      <c r="D54" s="310"/>
      <c r="E54" s="310"/>
      <c r="F54" s="310"/>
      <c r="G54" s="310"/>
      <c r="H54" s="311"/>
      <c r="I54" s="311"/>
      <c r="J54" s="311"/>
      <c r="K54" s="70"/>
      <c r="L54" s="283"/>
      <c r="M54" s="283"/>
      <c r="N54" s="283"/>
      <c r="O54" s="286"/>
      <c r="P54" s="115"/>
    </row>
    <row r="55" spans="1:17" ht="12" customHeight="1" x14ac:dyDescent="0.2">
      <c r="A55" s="113"/>
      <c r="B55" s="104"/>
      <c r="C55" s="104"/>
      <c r="D55" s="104"/>
      <c r="E55" s="104"/>
      <c r="F55" s="104"/>
      <c r="G55" s="104"/>
      <c r="H55" s="103"/>
      <c r="I55" s="103"/>
      <c r="J55" s="87"/>
      <c r="K55" s="70"/>
      <c r="L55" s="284"/>
      <c r="M55" s="284"/>
      <c r="N55" s="284"/>
      <c r="O55" s="287"/>
      <c r="P55" s="115"/>
    </row>
    <row r="56" spans="1:17" ht="12" customHeight="1" x14ac:dyDescent="0.25">
      <c r="A56" s="112"/>
      <c r="B56" s="88"/>
      <c r="C56" s="77"/>
      <c r="D56" s="77"/>
      <c r="E56" s="78"/>
      <c r="F56" s="78"/>
      <c r="G56" s="77"/>
      <c r="H56" s="86"/>
      <c r="I56" s="86"/>
      <c r="J56" s="87"/>
      <c r="K56" s="70"/>
      <c r="L56" s="284"/>
      <c r="M56" s="284"/>
      <c r="N56" s="284"/>
      <c r="O56" s="287"/>
      <c r="P56" s="117"/>
      <c r="Q56" s="38"/>
    </row>
    <row r="57" spans="1:17" ht="12" customHeight="1" x14ac:dyDescent="0.2">
      <c r="A57" s="111">
        <v>5</v>
      </c>
      <c r="B57" s="76" t="s">
        <v>71</v>
      </c>
      <c r="C57" s="77"/>
      <c r="D57" s="77"/>
      <c r="E57" s="78"/>
      <c r="F57" s="78"/>
      <c r="G57" s="77"/>
      <c r="H57" s="86"/>
      <c r="I57" s="86"/>
      <c r="J57" s="87"/>
      <c r="K57" s="70"/>
      <c r="L57" s="285"/>
      <c r="M57" s="285"/>
      <c r="N57" s="285"/>
      <c r="O57" s="285"/>
      <c r="P57" s="115"/>
    </row>
    <row r="58" spans="1:17" ht="12" customHeight="1" x14ac:dyDescent="0.2">
      <c r="A58" s="112"/>
      <c r="B58" s="80"/>
      <c r="C58" s="77"/>
      <c r="D58" s="77"/>
      <c r="E58" s="78"/>
      <c r="F58" s="78"/>
      <c r="G58" s="77"/>
      <c r="H58" s="86"/>
      <c r="I58" s="86"/>
      <c r="J58" s="87"/>
      <c r="K58" s="70"/>
      <c r="L58" s="285"/>
      <c r="M58" s="285"/>
      <c r="N58" s="285"/>
      <c r="O58" s="285"/>
      <c r="P58" s="115"/>
    </row>
    <row r="59" spans="1:17" ht="12" customHeight="1" thickBot="1" x14ac:dyDescent="0.25">
      <c r="A59" s="113"/>
      <c r="B59" s="81" t="s">
        <v>72</v>
      </c>
      <c r="C59" s="91"/>
      <c r="D59" s="91"/>
      <c r="E59" s="91"/>
      <c r="F59" s="91"/>
      <c r="G59" s="91"/>
      <c r="H59" s="84" t="s">
        <v>48</v>
      </c>
      <c r="I59" s="84" t="s">
        <v>49</v>
      </c>
      <c r="J59" s="84" t="s">
        <v>50</v>
      </c>
      <c r="K59" s="70"/>
      <c r="L59" s="283"/>
      <c r="M59" s="283"/>
      <c r="N59" s="283"/>
      <c r="O59" s="286"/>
      <c r="P59" s="115"/>
    </row>
    <row r="60" spans="1:17" ht="12" customHeight="1" x14ac:dyDescent="0.2">
      <c r="A60" s="112"/>
      <c r="B60" s="81"/>
      <c r="C60" s="80"/>
      <c r="D60" s="77"/>
      <c r="E60" s="78"/>
      <c r="F60" s="78"/>
      <c r="G60" s="77"/>
      <c r="H60" s="86"/>
      <c r="I60" s="86"/>
      <c r="J60" s="100"/>
      <c r="K60" s="70"/>
      <c r="L60" s="285"/>
      <c r="M60" s="285"/>
      <c r="N60" s="285"/>
      <c r="O60" s="285"/>
      <c r="P60" s="115"/>
    </row>
    <row r="61" spans="1:17" ht="12" customHeight="1" thickBot="1" x14ac:dyDescent="0.25">
      <c r="A61" s="112"/>
      <c r="B61" s="88" t="s">
        <v>73</v>
      </c>
      <c r="C61" s="77"/>
      <c r="D61" s="77"/>
      <c r="E61" s="78"/>
      <c r="F61" s="78"/>
      <c r="G61" s="77"/>
      <c r="H61" s="84" t="s">
        <v>48</v>
      </c>
      <c r="I61" s="84" t="s">
        <v>49</v>
      </c>
      <c r="J61" s="84" t="s">
        <v>50</v>
      </c>
      <c r="K61" s="70"/>
      <c r="L61" s="283"/>
      <c r="M61" s="283"/>
      <c r="N61" s="283"/>
      <c r="O61" s="286"/>
      <c r="P61" s="115"/>
    </row>
    <row r="62" spans="1:17" ht="12" customHeight="1" x14ac:dyDescent="0.25">
      <c r="A62" s="112"/>
      <c r="B62" s="81" t="s">
        <v>74</v>
      </c>
      <c r="C62" s="80"/>
      <c r="D62" s="77"/>
      <c r="E62" s="78"/>
      <c r="F62" s="78"/>
      <c r="G62" s="77"/>
      <c r="H62" s="86"/>
      <c r="I62" s="86"/>
      <c r="J62" s="87"/>
      <c r="K62" s="70"/>
      <c r="L62" s="284"/>
      <c r="M62" s="284"/>
      <c r="N62" s="284"/>
      <c r="O62" s="287"/>
      <c r="P62" s="118"/>
      <c r="Q62" s="38"/>
    </row>
    <row r="63" spans="1:17" ht="12" customHeight="1" x14ac:dyDescent="0.25">
      <c r="A63" s="112"/>
      <c r="B63" s="81"/>
      <c r="C63" s="80"/>
      <c r="D63" s="77"/>
      <c r="E63" s="78"/>
      <c r="F63" s="78"/>
      <c r="G63" s="77"/>
      <c r="H63" s="86"/>
      <c r="I63" s="86"/>
      <c r="J63" s="87"/>
      <c r="K63" s="70"/>
      <c r="L63" s="284"/>
      <c r="M63" s="284"/>
      <c r="N63" s="284"/>
      <c r="O63" s="287"/>
      <c r="P63" s="118"/>
      <c r="Q63" s="38"/>
    </row>
    <row r="64" spans="1:17" ht="12" customHeight="1" x14ac:dyDescent="0.2">
      <c r="A64" s="111">
        <v>6</v>
      </c>
      <c r="B64" s="76" t="s">
        <v>75</v>
      </c>
      <c r="C64" s="77"/>
      <c r="D64" s="77"/>
      <c r="E64" s="78"/>
      <c r="F64" s="78"/>
      <c r="G64" s="77"/>
      <c r="H64" s="86"/>
      <c r="I64" s="86"/>
      <c r="J64" s="87"/>
      <c r="K64" s="70"/>
      <c r="L64" s="285"/>
      <c r="M64" s="285"/>
      <c r="N64" s="285"/>
      <c r="O64" s="285"/>
      <c r="P64" s="115"/>
    </row>
    <row r="65" spans="1:16" ht="12" customHeight="1" x14ac:dyDescent="0.2">
      <c r="A65" s="112"/>
      <c r="B65" s="80"/>
      <c r="C65" s="77"/>
      <c r="D65" s="77"/>
      <c r="E65" s="78"/>
      <c r="F65" s="78"/>
      <c r="G65" s="77"/>
      <c r="H65" s="86"/>
      <c r="I65" s="86"/>
      <c r="J65" s="87"/>
      <c r="K65" s="70"/>
      <c r="L65" s="285"/>
      <c r="M65" s="285"/>
      <c r="N65" s="285"/>
      <c r="O65" s="285"/>
      <c r="P65" s="115"/>
    </row>
    <row r="66" spans="1:16" ht="12" customHeight="1" thickBot="1" x14ac:dyDescent="0.25">
      <c r="A66" s="112"/>
      <c r="B66" s="310" t="s">
        <v>76</v>
      </c>
      <c r="C66" s="310"/>
      <c r="D66" s="310"/>
      <c r="E66" s="310"/>
      <c r="F66" s="310"/>
      <c r="G66" s="310"/>
      <c r="H66" s="84" t="s">
        <v>48</v>
      </c>
      <c r="I66" s="84" t="s">
        <v>49</v>
      </c>
      <c r="J66" s="84" t="s">
        <v>50</v>
      </c>
      <c r="K66" s="70"/>
      <c r="L66" s="283"/>
      <c r="M66" s="283"/>
      <c r="N66" s="283"/>
      <c r="O66" s="286"/>
      <c r="P66" s="115"/>
    </row>
    <row r="67" spans="1:16" ht="12" customHeight="1" x14ac:dyDescent="0.2">
      <c r="A67" s="112"/>
      <c r="B67" s="310"/>
      <c r="C67" s="310"/>
      <c r="D67" s="310"/>
      <c r="E67" s="310"/>
      <c r="F67" s="310"/>
      <c r="G67" s="310"/>
      <c r="H67" s="86"/>
      <c r="I67" s="86"/>
      <c r="J67" s="101"/>
      <c r="K67" s="70"/>
      <c r="L67" s="285"/>
      <c r="M67" s="285"/>
      <c r="N67" s="285"/>
      <c r="O67" s="285"/>
      <c r="P67" s="115"/>
    </row>
    <row r="68" spans="1:16" ht="12" customHeight="1" x14ac:dyDescent="0.2">
      <c r="A68" s="112"/>
      <c r="B68" s="81"/>
      <c r="C68" s="80"/>
      <c r="D68" s="77"/>
      <c r="E68" s="78"/>
      <c r="F68" s="78"/>
      <c r="G68" s="77"/>
      <c r="H68" s="86"/>
      <c r="I68" s="86"/>
      <c r="J68" s="87"/>
      <c r="K68" s="70"/>
      <c r="L68" s="285"/>
      <c r="M68" s="285"/>
      <c r="N68" s="285"/>
      <c r="O68" s="285"/>
      <c r="P68" s="115"/>
    </row>
    <row r="69" spans="1:16" ht="12" customHeight="1" thickBot="1" x14ac:dyDescent="0.25">
      <c r="A69" s="112"/>
      <c r="B69" s="81" t="s">
        <v>77</v>
      </c>
      <c r="C69" s="80"/>
      <c r="D69" s="77"/>
      <c r="E69" s="78"/>
      <c r="F69" s="78"/>
      <c r="G69" s="77"/>
      <c r="H69" s="84" t="s">
        <v>48</v>
      </c>
      <c r="I69" s="84" t="s">
        <v>49</v>
      </c>
      <c r="J69" s="84" t="s">
        <v>50</v>
      </c>
      <c r="K69" s="70"/>
      <c r="L69" s="283"/>
      <c r="M69" s="283"/>
      <c r="N69" s="283"/>
      <c r="O69" s="286"/>
      <c r="P69" s="115"/>
    </row>
    <row r="70" spans="1:16" ht="12" customHeight="1" x14ac:dyDescent="0.2">
      <c r="A70" s="110"/>
      <c r="B70" s="89"/>
      <c r="C70" s="89"/>
      <c r="D70" s="90"/>
      <c r="E70" s="91"/>
      <c r="F70" s="91"/>
      <c r="G70" s="90"/>
      <c r="H70" s="90"/>
      <c r="I70" s="90"/>
      <c r="J70" s="90"/>
      <c r="K70" s="70"/>
      <c r="L70" s="285"/>
      <c r="M70" s="285"/>
      <c r="N70" s="285"/>
      <c r="O70" s="285"/>
      <c r="P70" s="115"/>
    </row>
    <row r="71" spans="1:16" ht="12" customHeight="1" x14ac:dyDescent="0.2">
      <c r="A71" s="111">
        <v>7</v>
      </c>
      <c r="B71" s="105" t="s">
        <v>78</v>
      </c>
      <c r="C71" s="89"/>
      <c r="D71" s="90"/>
      <c r="E71" s="91"/>
      <c r="F71" s="91"/>
      <c r="G71" s="90"/>
      <c r="H71" s="90"/>
      <c r="I71" s="90"/>
      <c r="J71" s="90"/>
      <c r="K71" s="70"/>
      <c r="L71" s="285"/>
      <c r="M71" s="285"/>
      <c r="N71" s="285"/>
      <c r="O71" s="285"/>
      <c r="P71" s="115"/>
    </row>
    <row r="72" spans="1:16" ht="12" customHeight="1" x14ac:dyDescent="0.2">
      <c r="A72" s="111"/>
      <c r="B72" s="105"/>
      <c r="C72" s="89"/>
      <c r="D72" s="90"/>
      <c r="E72" s="91"/>
      <c r="F72" s="91"/>
      <c r="G72" s="90"/>
      <c r="H72" s="90"/>
      <c r="I72" s="90"/>
      <c r="J72" s="90"/>
      <c r="K72" s="70"/>
      <c r="L72" s="285"/>
      <c r="M72" s="285"/>
      <c r="N72" s="285"/>
      <c r="O72" s="285"/>
      <c r="P72" s="115"/>
    </row>
    <row r="73" spans="1:16" ht="12" customHeight="1" thickBot="1" x14ac:dyDescent="0.25">
      <c r="A73" s="111"/>
      <c r="B73" s="310" t="s">
        <v>120</v>
      </c>
      <c r="C73" s="310"/>
      <c r="D73" s="310"/>
      <c r="E73" s="310"/>
      <c r="F73" s="310"/>
      <c r="G73" s="106"/>
      <c r="H73" s="84" t="s">
        <v>48</v>
      </c>
      <c r="I73" s="84" t="s">
        <v>49</v>
      </c>
      <c r="J73" s="84" t="s">
        <v>50</v>
      </c>
      <c r="K73" s="70"/>
      <c r="L73" s="283"/>
      <c r="M73" s="283"/>
      <c r="N73" s="283"/>
      <c r="O73" s="286"/>
      <c r="P73" s="115"/>
    </row>
    <row r="74" spans="1:16" ht="12" customHeight="1" x14ac:dyDescent="0.2">
      <c r="A74" s="111"/>
      <c r="B74" s="104"/>
      <c r="C74" s="104"/>
      <c r="D74" s="104"/>
      <c r="E74" s="104"/>
      <c r="F74" s="104"/>
      <c r="G74" s="106"/>
      <c r="H74" s="103"/>
      <c r="I74" s="103"/>
      <c r="J74" s="103"/>
      <c r="K74" s="70"/>
      <c r="L74" s="285"/>
      <c r="M74" s="285"/>
      <c r="N74" s="285"/>
      <c r="O74" s="285"/>
      <c r="P74" s="115"/>
    </row>
    <row r="75" spans="1:16" ht="12" customHeight="1" thickBot="1" x14ac:dyDescent="0.25">
      <c r="A75" s="111"/>
      <c r="B75" s="310" t="s">
        <v>121</v>
      </c>
      <c r="C75" s="310"/>
      <c r="D75" s="310"/>
      <c r="E75" s="310"/>
      <c r="F75" s="310"/>
      <c r="G75" s="310"/>
      <c r="H75" s="84" t="s">
        <v>48</v>
      </c>
      <c r="I75" s="84" t="s">
        <v>49</v>
      </c>
      <c r="J75" s="84" t="s">
        <v>50</v>
      </c>
      <c r="K75" s="70"/>
      <c r="L75" s="283"/>
      <c r="M75" s="283"/>
      <c r="N75" s="283"/>
      <c r="O75" s="286"/>
      <c r="P75" s="115"/>
    </row>
    <row r="76" spans="1:16" ht="12" customHeight="1" x14ac:dyDescent="0.2">
      <c r="A76" s="110"/>
      <c r="B76" s="89"/>
      <c r="C76" s="89"/>
      <c r="D76" s="90"/>
      <c r="E76" s="91"/>
      <c r="F76" s="91"/>
      <c r="G76" s="90"/>
      <c r="H76" s="90"/>
      <c r="I76" s="90"/>
      <c r="J76" s="90"/>
      <c r="K76" s="70"/>
      <c r="L76" s="70"/>
      <c r="M76" s="70"/>
      <c r="N76" s="70"/>
      <c r="O76" s="70"/>
      <c r="P76" s="115"/>
    </row>
    <row r="77" spans="1:16" s="40" customFormat="1" ht="12" customHeight="1" x14ac:dyDescent="0.2">
      <c r="A77" s="111">
        <v>8</v>
      </c>
      <c r="B77" s="312" t="s">
        <v>79</v>
      </c>
      <c r="C77" s="312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20"/>
    </row>
    <row r="78" spans="1:16" ht="15" customHeight="1" thickBot="1" x14ac:dyDescent="0.25">
      <c r="A78" s="113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  <c r="O78" s="280"/>
      <c r="P78" s="115"/>
    </row>
    <row r="79" spans="1:16" ht="18" customHeight="1" thickBot="1" x14ac:dyDescent="0.25">
      <c r="A79" s="113"/>
      <c r="B79" s="280"/>
      <c r="C79" s="280"/>
      <c r="D79" s="280"/>
      <c r="E79" s="280"/>
      <c r="F79" s="280"/>
      <c r="G79" s="280"/>
      <c r="H79" s="280"/>
      <c r="I79" s="280"/>
      <c r="J79" s="280"/>
      <c r="K79" s="280"/>
      <c r="L79" s="280"/>
      <c r="M79" s="280"/>
      <c r="N79" s="280"/>
      <c r="O79" s="280"/>
      <c r="P79" s="115"/>
    </row>
    <row r="80" spans="1:16" ht="18" customHeight="1" thickBot="1" x14ac:dyDescent="0.25">
      <c r="A80" s="113"/>
      <c r="B80" s="280"/>
      <c r="C80" s="280"/>
      <c r="D80" s="280"/>
      <c r="E80" s="280"/>
      <c r="F80" s="280"/>
      <c r="G80" s="280"/>
      <c r="H80" s="280"/>
      <c r="I80" s="280"/>
      <c r="J80" s="280"/>
      <c r="K80" s="280"/>
      <c r="L80" s="280"/>
      <c r="M80" s="280"/>
      <c r="N80" s="280"/>
      <c r="O80" s="280"/>
      <c r="P80" s="115"/>
    </row>
    <row r="81" spans="1:16" ht="18" customHeight="1" x14ac:dyDescent="0.2">
      <c r="A81" s="114"/>
      <c r="B81" s="108"/>
      <c r="C81" s="108"/>
      <c r="D81" s="108"/>
      <c r="E81" s="108"/>
      <c r="F81" s="108"/>
      <c r="G81" s="108"/>
      <c r="H81" s="108"/>
      <c r="I81" s="108"/>
      <c r="J81" s="70"/>
      <c r="K81" s="70"/>
      <c r="L81" s="70"/>
      <c r="M81" s="281" t="s">
        <v>196</v>
      </c>
      <c r="N81" s="273"/>
      <c r="O81" s="70"/>
      <c r="P81" s="115"/>
    </row>
    <row r="82" spans="1:16" ht="12" customHeight="1" x14ac:dyDescent="0.2">
      <c r="A82" s="313" t="s">
        <v>17</v>
      </c>
      <c r="B82" s="313"/>
      <c r="C82" s="313"/>
      <c r="D82" s="314" t="s">
        <v>194</v>
      </c>
      <c r="E82" s="314"/>
      <c r="F82" s="314"/>
      <c r="G82" s="314"/>
      <c r="H82" s="315" t="s">
        <v>110</v>
      </c>
      <c r="I82" s="315"/>
      <c r="J82" s="315"/>
      <c r="K82" s="315"/>
      <c r="L82" s="315"/>
      <c r="M82" s="309" t="s">
        <v>195</v>
      </c>
      <c r="N82" s="309"/>
      <c r="O82" s="309"/>
      <c r="P82" s="309"/>
    </row>
    <row r="83" spans="1:16" ht="12" customHeight="1" x14ac:dyDescent="0.2">
      <c r="A83" s="313"/>
      <c r="B83" s="313"/>
      <c r="C83" s="313"/>
      <c r="D83" s="314"/>
      <c r="E83" s="314"/>
      <c r="F83" s="314"/>
      <c r="G83" s="314"/>
      <c r="H83" s="315"/>
      <c r="I83" s="315"/>
      <c r="J83" s="315"/>
      <c r="K83" s="315"/>
      <c r="L83" s="315"/>
      <c r="M83" s="309"/>
      <c r="N83" s="309"/>
      <c r="O83" s="309"/>
      <c r="P83" s="309"/>
    </row>
    <row r="84" spans="1:16" ht="12" customHeight="1" x14ac:dyDescent="0.2">
      <c r="A84" s="313"/>
      <c r="B84" s="313"/>
      <c r="C84" s="313"/>
      <c r="D84" s="314"/>
      <c r="E84" s="314"/>
      <c r="F84" s="314"/>
      <c r="G84" s="314"/>
      <c r="H84" s="315"/>
      <c r="I84" s="315"/>
      <c r="J84" s="315"/>
      <c r="K84" s="315"/>
      <c r="L84" s="315"/>
      <c r="M84" s="309"/>
      <c r="N84" s="309"/>
      <c r="O84" s="309"/>
      <c r="P84" s="309"/>
    </row>
    <row r="85" spans="1:16" ht="12" customHeight="1" x14ac:dyDescent="0.2">
      <c r="A85" s="313"/>
      <c r="B85" s="313"/>
      <c r="C85" s="313"/>
      <c r="D85" s="314"/>
      <c r="E85" s="314"/>
      <c r="F85" s="314"/>
      <c r="G85" s="314"/>
      <c r="H85" s="315"/>
      <c r="I85" s="315"/>
      <c r="J85" s="315"/>
      <c r="K85" s="315"/>
      <c r="L85" s="315"/>
      <c r="M85" s="309"/>
      <c r="N85" s="309"/>
      <c r="O85" s="309"/>
      <c r="P85" s="309"/>
    </row>
    <row r="86" spans="1:16" ht="12" customHeight="1" x14ac:dyDescent="0.2">
      <c r="A86" s="313"/>
      <c r="B86" s="313"/>
      <c r="C86" s="313"/>
      <c r="D86" s="314"/>
      <c r="E86" s="314"/>
      <c r="F86" s="314"/>
      <c r="G86" s="314"/>
      <c r="H86" s="315"/>
      <c r="I86" s="315"/>
      <c r="J86" s="315"/>
      <c r="K86" s="315"/>
      <c r="L86" s="315"/>
      <c r="M86" s="309"/>
      <c r="N86" s="309"/>
      <c r="O86" s="309"/>
      <c r="P86" s="309"/>
    </row>
    <row r="87" spans="1:16" x14ac:dyDescent="0.2">
      <c r="A87" s="108"/>
      <c r="B87" s="70"/>
      <c r="C87" s="109"/>
      <c r="D87" s="70"/>
      <c r="E87" s="109"/>
      <c r="F87" s="109"/>
      <c r="G87" s="109"/>
      <c r="H87" s="70"/>
      <c r="I87" s="70"/>
      <c r="J87" s="70"/>
      <c r="K87" s="70"/>
      <c r="L87" s="70"/>
      <c r="M87" s="70"/>
      <c r="N87" s="70"/>
      <c r="O87" s="308" t="s">
        <v>122</v>
      </c>
      <c r="P87" s="308"/>
    </row>
    <row r="88" spans="1:16" x14ac:dyDescent="0.2">
      <c r="C88" s="41"/>
      <c r="D88" s="41"/>
    </row>
    <row r="89" spans="1:16" x14ac:dyDescent="0.2">
      <c r="H89" s="41"/>
      <c r="I89" s="41"/>
    </row>
  </sheetData>
  <protectedRanges>
    <protectedRange sqref="J20" name="p9c3ba3bd408c66d3b41cc3d16be25a6a"/>
    <protectedRange sqref="M3 D3:D4" name="p9e79b1700057c25560957afdcfa90e4b"/>
    <protectedRange sqref="J32 J15 J45 H31:J31 J41 H69:J69 H23:J23 H9:J9 H38:J38 H11:J11 H40:J40 H13:J13 H17:J17 H42:J42 H44:J44 H36:J36 H47:J47 H19:J19 H21:J21 H66:J66 H49:J51 H27:J27 H29:J29 H73:J75 H61:J61 H53:J53 H59:J59 J55" name="p9c3ba3bd408c66d3b41cc3d16be25a6a_1"/>
    <protectedRange sqref="E87:G87 C87 D82:G86" name="pd76f2506e825e80154285506ac3cb46a"/>
  </protectedRanges>
  <mergeCells count="25">
    <mergeCell ref="A6:J6"/>
    <mergeCell ref="A1:C1"/>
    <mergeCell ref="D3:I3"/>
    <mergeCell ref="M3:O3"/>
    <mergeCell ref="D4:I4"/>
    <mergeCell ref="D1:P1"/>
    <mergeCell ref="L7:O7"/>
    <mergeCell ref="B31:F32"/>
    <mergeCell ref="B44:F45"/>
    <mergeCell ref="H44:H45"/>
    <mergeCell ref="I44:I45"/>
    <mergeCell ref="J44:J45"/>
    <mergeCell ref="O87:P87"/>
    <mergeCell ref="M82:P86"/>
    <mergeCell ref="B53:G54"/>
    <mergeCell ref="H53:H54"/>
    <mergeCell ref="I53:I54"/>
    <mergeCell ref="J53:J54"/>
    <mergeCell ref="B66:G67"/>
    <mergeCell ref="B73:F73"/>
    <mergeCell ref="B75:G75"/>
    <mergeCell ref="B77:C77"/>
    <mergeCell ref="A82:C86"/>
    <mergeCell ref="D82:G86"/>
    <mergeCell ref="H82:L86"/>
  </mergeCells>
  <pageMargins left="0.7" right="0.7" top="0.75" bottom="0.75" header="0.3" footer="0.3"/>
  <pageSetup scale="62" fitToHeight="0" orientation="portrait" r:id="rId1"/>
  <rowBreaks count="1" manualBreakCount="1">
    <brk id="87" max="15" man="1"/>
  </rowBreak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72519-FFD2-429A-B2CF-90A7B1157755}">
  <dimension ref="A1:C3"/>
  <sheetViews>
    <sheetView workbookViewId="0">
      <selection sqref="A1:C3"/>
    </sheetView>
  </sheetViews>
  <sheetFormatPr defaultRowHeight="15" x14ac:dyDescent="0.25"/>
  <sheetData>
    <row r="1" spans="1:3" x14ac:dyDescent="0.25">
      <c r="B1" t="s">
        <v>126</v>
      </c>
      <c r="C1" t="s">
        <v>127</v>
      </c>
    </row>
    <row r="2" spans="1:3" x14ac:dyDescent="0.25">
      <c r="A2" t="s">
        <v>128</v>
      </c>
    </row>
    <row r="3" spans="1:3" x14ac:dyDescent="0.25">
      <c r="A3" t="s">
        <v>129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33kV (Main)</vt:lpstr>
      <vt:lpstr>33kV (Extra)</vt:lpstr>
      <vt:lpstr>33kV (Extra) (2)</vt:lpstr>
      <vt:lpstr>11kV (Main)</vt:lpstr>
      <vt:lpstr>11kV (Extra)</vt:lpstr>
      <vt:lpstr>11kV (Extra) (2)</vt:lpstr>
      <vt:lpstr>11kV (Extra) (3)</vt:lpstr>
      <vt:lpstr>TX</vt:lpstr>
      <vt:lpstr>Visual Inspection</vt:lpstr>
      <vt:lpstr>RAW DATA</vt:lpstr>
      <vt:lpstr>'Visual Inspection'!Print_Area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2026-10-11T22:01:33Z</dcterms:modified>
</cp:coreProperties>
</file>