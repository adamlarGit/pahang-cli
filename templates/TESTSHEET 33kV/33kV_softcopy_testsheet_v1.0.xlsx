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37" firstSheet="0" activeTab="1" autoFilterDateGrouping="1"/>
  </bookViews>
  <sheets>
    <sheet xmlns:r="http://schemas.openxmlformats.org/officeDocument/2006/relationships" name="33kV (Main)" sheetId="1" state="visible" r:id="rId1"/>
    <sheet xmlns:r="http://schemas.openxmlformats.org/officeDocument/2006/relationships" name="33kV (Extra)" sheetId="2" state="visible" r:id="rId2"/>
    <sheet xmlns:r="http://schemas.openxmlformats.org/officeDocument/2006/relationships" name="33kV (Extra) (2)" sheetId="3" state="visible" r:id="rId3"/>
    <sheet xmlns:r="http://schemas.openxmlformats.org/officeDocument/2006/relationships" name="11kV (Main)" sheetId="4" state="visible" r:id="rId4"/>
    <sheet xmlns:r="http://schemas.openxmlformats.org/officeDocument/2006/relationships" name="11kV (Extra)" sheetId="5" state="visible" r:id="rId5"/>
    <sheet xmlns:r="http://schemas.openxmlformats.org/officeDocument/2006/relationships" name="11kV (Extra) (2)" sheetId="6" state="visible" r:id="rId6"/>
    <sheet xmlns:r="http://schemas.openxmlformats.org/officeDocument/2006/relationships" name="11kV (Extra) (3)" sheetId="7" state="visible" r:id="rId7"/>
    <sheet xmlns:r="http://schemas.openxmlformats.org/officeDocument/2006/relationships" name="TX" sheetId="8" state="visible" r:id="rId8"/>
    <sheet xmlns:r="http://schemas.openxmlformats.org/officeDocument/2006/relationships" name="Visual Inspection" sheetId="9" state="visible" r:id="rId9"/>
    <sheet xmlns:r="http://schemas.openxmlformats.org/officeDocument/2006/relationships" name="RAW DATA" sheetId="10" state="visible" r:id="rId10"/>
  </sheets>
  <definedNames>
    <definedName name="_xlnm.Print_Area" localSheetId="8">'Visual Inspection'!$A$1:$P$87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\ \°\C"/>
    <numFmt numFmtId="165" formatCode="dd/mm/yyyy;@"/>
    <numFmt numFmtId="166" formatCode="[$-409]d\-mmm\-yy;@"/>
    <numFmt numFmtId="167" formatCode="0.0;[Red]0.0"/>
    <numFmt numFmtId="168" formatCode="0.0"/>
    <numFmt numFmtId="169" formatCode="0000"/>
    <numFmt numFmtId="170" formatCode="dd/mmmm/yyyy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Tahoma"/>
      <family val="2"/>
      <color theme="1"/>
      <sz val="36"/>
    </font>
    <font>
      <name val="Tahoma"/>
      <family val="2"/>
      <b val="1"/>
      <color theme="1"/>
      <sz val="36"/>
    </font>
    <font>
      <name val="Tahoma"/>
      <family val="2"/>
      <b val="1"/>
      <strike val="1"/>
      <color theme="1"/>
      <sz val="36"/>
    </font>
    <font>
      <name val="Tahoma"/>
      <family val="2"/>
      <b val="1"/>
      <i val="1"/>
      <color theme="1"/>
      <sz val="36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sz val="14"/>
    </font>
    <font>
      <name val="Arial"/>
      <family val="2"/>
      <sz val="14"/>
    </font>
    <font>
      <name val="Tahoma"/>
      <family val="2"/>
      <color indexed="81"/>
      <sz val="8"/>
    </font>
    <font>
      <name val="Tahoma"/>
      <family val="2"/>
      <color indexed="8"/>
      <sz val="36"/>
    </font>
    <font>
      <name val="Tahoma"/>
      <family val="2"/>
      <b val="1"/>
      <color theme="1"/>
      <sz val="30"/>
    </font>
    <font>
      <name val="Tahoma"/>
      <family val="2"/>
      <color theme="1"/>
      <sz val="3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14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b val="1"/>
      <i val="1"/>
      <color theme="1"/>
      <sz val="9"/>
    </font>
    <font>
      <name val="Tahoma"/>
      <family val="2"/>
      <color theme="0"/>
      <sz val="36"/>
    </font>
    <font>
      <name val="Tahoma"/>
      <family val="2"/>
      <sz val="22"/>
    </font>
    <font>
      <name val="Tahoma"/>
      <family val="2"/>
      <b val="1"/>
      <sz val="22"/>
    </font>
    <font>
      <name val="Tahoma"/>
      <family val="2"/>
      <b val="1"/>
      <sz val="28"/>
    </font>
    <font>
      <name val="Tahoma"/>
      <family val="2"/>
      <b val="1"/>
      <sz val="48"/>
    </font>
    <font>
      <name val="Tahoma"/>
      <family val="2"/>
      <sz val="28"/>
    </font>
    <font>
      <name val="Tahoma"/>
      <family val="2"/>
      <sz val="24"/>
    </font>
    <font>
      <name val="Tahoma"/>
      <family val="2"/>
      <strike val="1"/>
      <sz val="22"/>
    </font>
    <font>
      <name val="Tahoma"/>
      <family val="2"/>
      <b val="1"/>
      <strike val="1"/>
      <sz val="22"/>
    </font>
    <font>
      <name val="Tahoma"/>
      <family val="2"/>
      <sz val="36"/>
    </font>
    <font>
      <name val="Tahoma"/>
      <family val="2"/>
      <b val="1"/>
      <color theme="1"/>
      <sz val="28"/>
    </font>
    <font>
      <name val="Tahoma"/>
      <family val="2"/>
      <sz val="30"/>
    </font>
    <font>
      <name val="Tahoma"/>
      <family val="2"/>
      <b val="1"/>
      <sz val="30"/>
    </font>
    <font>
      <name val="Tahoma"/>
      <family val="2"/>
      <b val="1"/>
      <color theme="1"/>
      <sz val="22"/>
    </font>
    <font>
      <name val="Tahoma"/>
      <family val="2"/>
      <color theme="1"/>
      <sz val="28"/>
    </font>
    <font>
      <name val="Tahoma"/>
      <family val="2"/>
      <color theme="1"/>
      <sz val="22"/>
    </font>
    <font>
      <name val="Tahoma"/>
      <family val="2"/>
      <b val="1"/>
      <i val="1"/>
      <sz val="28"/>
    </font>
    <font>
      <name val="Tahoma"/>
      <family val="2"/>
      <color indexed="81"/>
      <sz val="18"/>
    </font>
    <font>
      <name val="Tahoma"/>
      <family val="2"/>
      <b val="1"/>
      <color indexed="81"/>
      <sz val="24"/>
    </font>
  </fonts>
  <fills count="10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0" fontId="2" fillId="0" borderId="0"/>
  </cellStyleXfs>
  <cellXfs count="578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left" vertical="center"/>
    </xf>
    <xf numFmtId="49" fontId="4" fillId="0" borderId="5" applyAlignment="1" pivotButton="0" quotePrefix="0" xfId="0">
      <alignment vertical="center"/>
    </xf>
    <xf numFmtId="49" fontId="4" fillId="0" borderId="0" applyAlignment="1" applyProtection="1" pivotButton="0" quotePrefix="0" xfId="0">
      <alignment horizontal="left" vertical="center"/>
      <protection locked="0" hidden="0"/>
    </xf>
    <xf numFmtId="49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49" fontId="3" fillId="0" borderId="5" applyAlignment="1" pivotButton="0" quotePrefix="0" xfId="0">
      <alignment horizontal="left" vertical="center"/>
    </xf>
    <xf numFmtId="49" fontId="4" fillId="0" borderId="9" applyAlignment="1" applyProtection="1" pivotButton="0" quotePrefix="0" xfId="0">
      <alignment horizontal="center" vertical="center"/>
      <protection locked="0" hidden="0"/>
    </xf>
    <xf numFmtId="164" fontId="5" fillId="0" borderId="0" applyAlignment="1" applyProtection="1" pivotButton="0" quotePrefix="0" xfId="0">
      <alignment horizontal="right" vertical="center"/>
      <protection locked="0" hidden="0"/>
    </xf>
    <xf numFmtId="0" fontId="3" fillId="0" borderId="5" applyAlignment="1" pivotButton="0" quotePrefix="0" xfId="0">
      <alignment vertical="center"/>
    </xf>
    <xf numFmtId="165" fontId="3" fillId="0" borderId="0" applyAlignment="1" applyProtection="1" pivotButton="0" quotePrefix="0" xfId="0">
      <alignment horizontal="left" vertical="center"/>
      <protection locked="0" hidden="0"/>
    </xf>
    <xf numFmtId="166" fontId="5" fillId="0" borderId="0" applyAlignment="1" applyProtection="1" pivotButton="0" quotePrefix="0" xfId="0">
      <alignment horizontal="left" vertical="center"/>
      <protection locked="0" hidden="0"/>
    </xf>
    <xf numFmtId="49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 wrapText="1"/>
    </xf>
    <xf numFmtId="0" fontId="3" fillId="5" borderId="1" applyAlignment="1" applyProtection="1" pivotButton="0" quotePrefix="0" xfId="0">
      <alignment vertical="center" wrapText="1"/>
      <protection locked="0" hidden="0"/>
    </xf>
    <xf numFmtId="0" fontId="3" fillId="5" borderId="6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1" xfId="0">
      <alignment horizontal="center" vertical="center" wrapText="1"/>
    </xf>
    <xf numFmtId="0" fontId="3" fillId="0" borderId="0" applyAlignment="1" applyProtection="1" pivotButton="0" quotePrefix="0" xfId="0">
      <alignment vertical="center" wrapText="1"/>
      <protection locked="0" hidden="0"/>
    </xf>
    <xf numFmtId="49" fontId="3" fillId="0" borderId="5" applyAlignment="1" pivotButton="0" quotePrefix="0" xfId="0">
      <alignment horizontal="right" vertical="center"/>
    </xf>
    <xf numFmtId="49" fontId="4" fillId="0" borderId="0" applyAlignment="1" pivotButton="0" quotePrefix="0" xfId="0">
      <alignment vertical="center"/>
    </xf>
    <xf numFmtId="49" fontId="4" fillId="0" borderId="9" applyAlignment="1" pivotButton="0" quotePrefix="0" xfId="0">
      <alignment vertical="center"/>
    </xf>
    <xf numFmtId="49" fontId="3" fillId="0" borderId="5" applyAlignment="1" pivotButton="0" quotePrefix="0" xfId="0">
      <alignment horizontal="right"/>
    </xf>
    <xf numFmtId="49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5" pivotButton="0" quotePrefix="0" xfId="0"/>
    <xf numFmtId="49" fontId="4" fillId="0" borderId="0" applyAlignment="1" pivotButton="0" quotePrefix="0" xfId="0">
      <alignment horizontal="center" vertical="center"/>
    </xf>
    <xf numFmtId="49" fontId="6" fillId="0" borderId="0" applyAlignment="1" applyProtection="1" pivotButton="0" quotePrefix="0" xfId="0">
      <alignment vertical="center"/>
      <protection locked="0" hidden="0"/>
    </xf>
    <xf numFmtId="0" fontId="3" fillId="5" borderId="1" applyAlignment="1" applyProtection="1" pivotButton="0" quotePrefix="0" xfId="0">
      <alignment horizontal="center" vertical="center" wrapText="1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0" fontId="3" fillId="5" borderId="6" applyAlignment="1" pivotButton="0" quotePrefix="0" xfId="0">
      <alignment horizontal="center" vertical="center" wrapText="1"/>
    </xf>
    <xf numFmtId="0" fontId="8" fillId="0" borderId="0" applyAlignment="1" pivotButton="0" quotePrefix="0" xfId="3">
      <alignment vertical="center" wrapText="1"/>
    </xf>
    <xf numFmtId="0" fontId="2" fillId="0" borderId="0" pivotButton="0" quotePrefix="0" xfId="3"/>
    <xf numFmtId="49" fontId="7" fillId="4" borderId="0" applyAlignment="1" pivotButton="0" quotePrefix="0" xfId="3">
      <alignment vertical="center"/>
    </xf>
    <xf numFmtId="0" fontId="10" fillId="0" borderId="0" applyAlignment="1" pivotButton="0" quotePrefix="0" xfId="3">
      <alignment horizontal="left"/>
    </xf>
    <xf numFmtId="0" fontId="9" fillId="0" borderId="0" applyAlignment="1" pivotButton="0" quotePrefix="0" xfId="3">
      <alignment horizontal="center"/>
    </xf>
    <xf numFmtId="0" fontId="9" fillId="0" borderId="0" applyAlignment="1" pivotButton="0" quotePrefix="0" xfId="3">
      <alignment horizontal="center"/>
    </xf>
    <xf numFmtId="0" fontId="7" fillId="0" borderId="0" pivotButton="0" quotePrefix="0" xfId="3"/>
    <xf numFmtId="49" fontId="2" fillId="0" borderId="0" pivotButton="0" quotePrefix="0" xfId="3"/>
    <xf numFmtId="167" fontId="2" fillId="0" borderId="0" pivotButton="0" quotePrefix="0" xfId="3"/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4" fillId="0" borderId="5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vertical="center"/>
      <protection locked="0" hidden="0"/>
    </xf>
    <xf numFmtId="49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164" fontId="5" fillId="0" borderId="14" applyAlignment="1" applyProtection="1" pivotButton="0" quotePrefix="0" xfId="0">
      <alignment horizontal="right" vertical="center"/>
      <protection locked="0" hidden="0"/>
    </xf>
    <xf numFmtId="165" fontId="3" fillId="0" borderId="3" applyAlignment="1" applyProtection="1" pivotButton="0" quotePrefix="0" xfId="0">
      <alignment horizontal="left" vertical="center"/>
      <protection locked="0" hidden="0"/>
    </xf>
    <xf numFmtId="49" fontId="3" fillId="0" borderId="8" applyAlignment="1" pivotButton="0" quotePrefix="0" xfId="0">
      <alignment horizontal="left" vertical="center"/>
    </xf>
    <xf numFmtId="49" fontId="3" fillId="0" borderId="0" applyAlignment="1" applyProtection="1" pivotButton="0" quotePrefix="0" xfId="0">
      <alignment vertical="center"/>
      <protection locked="0" hidden="0"/>
    </xf>
    <xf numFmtId="49" fontId="3" fillId="0" borderId="0" applyAlignment="1" applyProtection="1" pivotButton="0" quotePrefix="0" xfId="0">
      <alignment horizontal="left" vertical="center"/>
      <protection locked="0" hidden="0"/>
    </xf>
    <xf numFmtId="49" fontId="4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0" fontId="3" fillId="0" borderId="14" pivotButton="0" quotePrefix="0" xfId="0"/>
    <xf numFmtId="0" fontId="4" fillId="0" borderId="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3" fillId="0" borderId="14" applyAlignment="1" pivotButton="0" quotePrefix="0" xfId="0">
      <alignment vertical="center"/>
    </xf>
    <xf numFmtId="0" fontId="3" fillId="0" borderId="8" pivotButton="0" quotePrefix="0" xfId="0"/>
    <xf numFmtId="49" fontId="6" fillId="0" borderId="9" applyAlignment="1" applyProtection="1" pivotButton="0" quotePrefix="0" xfId="0">
      <alignment vertical="center"/>
      <protection locked="0" hidden="0"/>
    </xf>
    <xf numFmtId="49" fontId="4" fillId="0" borderId="9" applyAlignment="1" pivotButton="0" quotePrefix="0" xfId="0">
      <alignment horizontal="left"/>
    </xf>
    <xf numFmtId="49" fontId="4" fillId="0" borderId="9" applyProtection="1" pivotButton="0" quotePrefix="0" xfId="0">
      <protection locked="0" hidden="0"/>
    </xf>
    <xf numFmtId="0" fontId="4" fillId="0" borderId="9" pivotButton="0" quotePrefix="0" xfId="0"/>
    <xf numFmtId="49" fontId="4" fillId="0" borderId="9" pivotButton="0" quotePrefix="0" xfId="0"/>
    <xf numFmtId="0" fontId="3" fillId="0" borderId="9" pivotButton="0" quotePrefix="0" xfId="0"/>
    <xf numFmtId="0" fontId="17" fillId="0" borderId="0" pivotButton="0" quotePrefix="0" xfId="3"/>
    <xf numFmtId="49" fontId="15" fillId="0" borderId="0" applyAlignment="1" pivotButton="0" quotePrefix="0" xfId="3">
      <alignment horizontal="left"/>
    </xf>
    <xf numFmtId="49" fontId="15" fillId="0" borderId="0" pivotButton="0" quotePrefix="0" xfId="3"/>
    <xf numFmtId="49" fontId="15" fillId="4" borderId="0" pivotButton="0" quotePrefix="0" xfId="3"/>
    <xf numFmtId="0" fontId="18" fillId="0" borderId="0" applyAlignment="1" pivotButton="0" quotePrefix="0" xfId="3">
      <alignment horizontal="left"/>
    </xf>
    <xf numFmtId="0" fontId="19" fillId="0" borderId="0" applyAlignment="1" pivotButton="0" quotePrefix="0" xfId="3">
      <alignment horizontal="left"/>
    </xf>
    <xf numFmtId="0" fontId="15" fillId="0" borderId="0" applyAlignment="1" pivotButton="0" quotePrefix="0" xfId="3">
      <alignment horizontal="left"/>
    </xf>
    <xf numFmtId="0" fontId="17" fillId="0" borderId="0" applyAlignment="1" pivotButton="0" quotePrefix="0" xfId="3">
      <alignment horizontal="left" indent="1"/>
    </xf>
    <xf numFmtId="3" fontId="17" fillId="0" borderId="0" applyAlignment="1" pivotButton="0" quotePrefix="0" xfId="3">
      <alignment horizontal="center"/>
    </xf>
    <xf numFmtId="0" fontId="18" fillId="0" borderId="0" applyAlignment="1" pivotButton="0" quotePrefix="0" xfId="3">
      <alignment horizontal="center"/>
    </xf>
    <xf numFmtId="0" fontId="17" fillId="0" borderId="0" applyAlignment="1" pivotButton="0" quotePrefix="0" xfId="3">
      <alignment horizontal="left"/>
    </xf>
    <xf numFmtId="0" fontId="20" fillId="0" borderId="0" applyAlignment="1" pivotButton="0" quotePrefix="0" xfId="3">
      <alignment horizontal="left"/>
    </xf>
    <xf numFmtId="0" fontId="21" fillId="0" borderId="0" applyAlignment="1" pivotButton="0" quotePrefix="0" xfId="3">
      <alignment horizontal="left" indent="1"/>
    </xf>
    <xf numFmtId="3" fontId="21" fillId="0" borderId="0" applyAlignment="1" pivotButton="0" quotePrefix="0" xfId="3">
      <alignment horizontal="center"/>
    </xf>
    <xf numFmtId="49" fontId="21" fillId="0" borderId="1" applyAlignment="1" pivotButton="0" quotePrefix="0" xfId="3">
      <alignment horizontal="center" vertical="center"/>
    </xf>
    <xf numFmtId="0" fontId="21" fillId="0" borderId="0" applyAlignment="1" pivotButton="0" quotePrefix="0" xfId="3">
      <alignment horizontal="left" vertical="center"/>
    </xf>
    <xf numFmtId="0" fontId="17" fillId="0" borderId="0" applyAlignment="1" pivotButton="0" quotePrefix="0" xfId="3">
      <alignment horizontal="left" vertical="center"/>
    </xf>
    <xf numFmtId="49" fontId="17" fillId="0" borderId="0" applyAlignment="1" pivotButton="0" quotePrefix="0" xfId="3">
      <alignment horizontal="center" vertical="center"/>
    </xf>
    <xf numFmtId="49" fontId="20" fillId="0" borderId="0" applyAlignment="1" pivotButton="0" quotePrefix="0" xfId="3">
      <alignment horizontal="left"/>
    </xf>
    <xf numFmtId="49" fontId="17" fillId="0" borderId="0" applyAlignment="1" pivotButton="0" quotePrefix="0" xfId="3">
      <alignment horizontal="left"/>
    </xf>
    <xf numFmtId="49" fontId="17" fillId="0" borderId="0" applyAlignment="1" pivotButton="0" quotePrefix="0" xfId="3">
      <alignment horizontal="left" indent="1"/>
    </xf>
    <xf numFmtId="49" fontId="17" fillId="0" borderId="0" applyAlignment="1" pivotButton="0" quotePrefix="0" xfId="3">
      <alignment horizontal="center"/>
    </xf>
    <xf numFmtId="49" fontId="17" fillId="0" borderId="0" applyAlignment="1" pivotButton="0" quotePrefix="0" xfId="3">
      <alignment horizontal="left" vertical="center"/>
    </xf>
    <xf numFmtId="49" fontId="20" fillId="0" borderId="0" applyAlignment="1" pivotButton="0" quotePrefix="0" xfId="3">
      <alignment horizontal="left" indent="1"/>
    </xf>
    <xf numFmtId="49" fontId="20" fillId="0" borderId="0" applyAlignment="1" pivotButton="0" quotePrefix="0" xfId="3">
      <alignment horizontal="center"/>
    </xf>
    <xf numFmtId="49" fontId="20" fillId="0" borderId="0" applyAlignment="1" pivotButton="0" quotePrefix="0" xfId="3">
      <alignment horizontal="left" vertical="center"/>
    </xf>
    <xf numFmtId="49" fontId="20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left" indent="1"/>
    </xf>
    <xf numFmtId="3" fontId="20" fillId="0" borderId="0" applyAlignment="1" pivotButton="0" quotePrefix="0" xfId="3">
      <alignment horizontal="center"/>
    </xf>
    <xf numFmtId="0" fontId="20" fillId="0" borderId="0" applyAlignment="1" pivotButton="0" quotePrefix="0" xfId="3">
      <alignment horizontal="left" vertical="center"/>
    </xf>
    <xf numFmtId="49" fontId="17" fillId="0" borderId="19" applyAlignment="1" pivotButton="0" quotePrefix="0" xfId="3">
      <alignment horizontal="center" vertical="center"/>
    </xf>
    <xf numFmtId="49" fontId="17" fillId="0" borderId="18" applyAlignment="1" pivotButton="0" quotePrefix="0" xfId="3">
      <alignment horizontal="center" vertical="center"/>
    </xf>
    <xf numFmtId="0" fontId="20" fillId="0" borderId="0" pivotButton="0" quotePrefix="0" xfId="3"/>
    <xf numFmtId="49" fontId="21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left" vertical="center" wrapText="1"/>
    </xf>
    <xf numFmtId="167" fontId="15" fillId="0" borderId="0" applyAlignment="1" pivotButton="0" quotePrefix="0" xfId="3">
      <alignment horizontal="left"/>
    </xf>
    <xf numFmtId="0" fontId="20" fillId="0" borderId="0" applyAlignment="1" pivotButton="0" quotePrefix="0" xfId="3">
      <alignment vertical="center" wrapText="1"/>
    </xf>
    <xf numFmtId="0" fontId="15" fillId="0" borderId="0" pivotButton="0" quotePrefix="0" xfId="3"/>
    <xf numFmtId="49" fontId="17" fillId="0" borderId="0" pivotButton="0" quotePrefix="0" xfId="3"/>
    <xf numFmtId="49" fontId="17" fillId="0" borderId="0" applyProtection="1" pivotButton="0" quotePrefix="0" xfId="3">
      <protection locked="0" hidden="0"/>
    </xf>
    <xf numFmtId="167" fontId="17" fillId="0" borderId="5" pivotButton="0" quotePrefix="0" xfId="3"/>
    <xf numFmtId="167" fontId="15" fillId="0" borderId="5" applyAlignment="1" pivotButton="0" quotePrefix="0" xfId="3">
      <alignment horizontal="right"/>
    </xf>
    <xf numFmtId="167" fontId="17" fillId="0" borderId="5" applyAlignment="1" pivotButton="0" quotePrefix="0" xfId="3">
      <alignment horizontal="right"/>
    </xf>
    <xf numFmtId="0" fontId="17" fillId="0" borderId="5" pivotButton="0" quotePrefix="0" xfId="3"/>
    <xf numFmtId="49" fontId="17" fillId="0" borderId="5" pivotButton="0" quotePrefix="0" xfId="3"/>
    <xf numFmtId="0" fontId="17" fillId="0" borderId="14" pivotButton="0" quotePrefix="0" xfId="3"/>
    <xf numFmtId="49" fontId="15" fillId="4" borderId="14" applyAlignment="1" pivotButton="0" quotePrefix="0" xfId="3">
      <alignment vertical="center"/>
    </xf>
    <xf numFmtId="0" fontId="19" fillId="0" borderId="14" applyAlignment="1" pivotButton="0" quotePrefix="0" xfId="3">
      <alignment horizontal="left"/>
    </xf>
    <xf numFmtId="0" fontId="18" fillId="0" borderId="14" applyAlignment="1" pivotButton="0" quotePrefix="0" xfId="3">
      <alignment horizontal="center"/>
    </xf>
    <xf numFmtId="0" fontId="19" fillId="0" borderId="14" applyAlignment="1" pivotButton="0" quotePrefix="0" xfId="3">
      <alignment horizontal="left"/>
    </xf>
    <xf numFmtId="0" fontId="15" fillId="0" borderId="14" pivotButton="0" quotePrefix="0" xfId="3"/>
    <xf numFmtId="0" fontId="3" fillId="0" borderId="6" applyAlignment="1" applyProtection="1" pivotButton="0" quotePrefix="0" xfId="0">
      <alignment horizontal="center" vertical="center" wrapText="1"/>
      <protection locked="0" hidden="0"/>
    </xf>
    <xf numFmtId="0" fontId="3" fillId="4" borderId="5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3" fillId="4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3" fillId="8" borderId="0" applyAlignment="1" pivotButton="0" quotePrefix="0" xfId="0">
      <alignment horizontal="center" vertical="center" wrapText="1"/>
    </xf>
    <xf numFmtId="0" fontId="3" fillId="8" borderId="0" applyAlignment="1" applyProtection="1" pivotButton="0" quotePrefix="0" xfId="0">
      <alignment horizontal="center" vertical="center" wrapText="1"/>
      <protection locked="0" hidden="0"/>
    </xf>
    <xf numFmtId="0" fontId="23" fillId="0" borderId="16" applyAlignment="1" applyProtection="1" pivotButton="0" quotePrefix="0" xfId="0">
      <alignment horizontal="center" vertical="center" wrapText="1"/>
      <protection locked="0" hidden="0"/>
    </xf>
    <xf numFmtId="0" fontId="23" fillId="0" borderId="16" applyAlignment="1" pivotButton="0" quotePrefix="0" xfId="0">
      <alignment horizontal="center" vertical="center" wrapText="1"/>
    </xf>
    <xf numFmtId="0" fontId="23" fillId="0" borderId="16" applyAlignment="1" pivotButton="0" quotePrefix="1" xfId="0">
      <alignment horizontal="center" vertical="center" wrapText="1"/>
    </xf>
    <xf numFmtId="0" fontId="23" fillId="0" borderId="16" applyAlignment="1" applyProtection="1" pivotButton="0" quotePrefix="0" xfId="0">
      <alignment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1" xfId="0">
      <alignment horizontal="center" vertical="center" wrapText="1"/>
    </xf>
    <xf numFmtId="0" fontId="23" fillId="0" borderId="0" applyAlignment="1" applyProtection="1" pivotButton="0" quotePrefix="0" xfId="0">
      <alignment vertical="center" wrapText="1"/>
      <protection locked="0" hidden="0"/>
    </xf>
    <xf numFmtId="0" fontId="23" fillId="0" borderId="5" applyAlignment="1" applyProtection="1" pivotButton="0" quotePrefix="0" xfId="0">
      <alignment horizontal="center" vertical="center" wrapText="1"/>
      <protection locked="0" hidden="0"/>
    </xf>
    <xf numFmtId="0" fontId="23" fillId="0" borderId="14" applyAlignment="1" applyProtection="1" pivotButton="0" quotePrefix="0" xfId="0">
      <alignment horizontal="center" vertical="center" wrapText="1"/>
      <protection locked="0" hidden="0"/>
    </xf>
    <xf numFmtId="168" fontId="3" fillId="0" borderId="1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49" fontId="24" fillId="0" borderId="0" applyAlignment="1" pivotButton="0" quotePrefix="0" xfId="0">
      <alignment horizontal="center" vertical="center"/>
    </xf>
    <xf numFmtId="49" fontId="24" fillId="0" borderId="14" applyAlignment="1" pivotButton="0" quotePrefix="0" xfId="0">
      <alignment horizontal="center" vertical="center"/>
    </xf>
    <xf numFmtId="49" fontId="24" fillId="0" borderId="5" applyAlignment="1" pivotButton="0" quotePrefix="0" xfId="0">
      <alignment horizontal="left" vertical="center"/>
    </xf>
    <xf numFmtId="49" fontId="25" fillId="0" borderId="0" applyAlignment="1" applyProtection="1" pivotButton="0" quotePrefix="0" xfId="0">
      <alignment horizontal="center" vertical="center"/>
      <protection locked="0" hidden="0"/>
    </xf>
    <xf numFmtId="49" fontId="25" fillId="0" borderId="0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49" fontId="26" fillId="0" borderId="5" applyAlignment="1" pivotButton="0" quotePrefix="0" xfId="0">
      <alignment horizontal="left" vertical="center"/>
    </xf>
    <xf numFmtId="49" fontId="28" fillId="0" borderId="0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center"/>
    </xf>
    <xf numFmtId="49" fontId="28" fillId="0" borderId="5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 wrapText="1"/>
    </xf>
    <xf numFmtId="0" fontId="24" fillId="0" borderId="9" applyAlignment="1" pivotButton="0" quotePrefix="0" xfId="0">
      <alignment horizontal="center" vertical="center"/>
    </xf>
    <xf numFmtId="49" fontId="25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49" fontId="28" fillId="0" borderId="0" applyAlignment="1" pivotButton="0" quotePrefix="0" xfId="0">
      <alignment horizontal="left" vertical="center"/>
    </xf>
    <xf numFmtId="0" fontId="24" fillId="0" borderId="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49" fontId="29" fillId="0" borderId="3" applyAlignment="1" applyProtection="1" pivotButton="0" quotePrefix="0" xfId="0">
      <alignment horizontal="center" vertical="center"/>
      <protection locked="0" hidden="0"/>
    </xf>
    <xf numFmtId="49" fontId="24" fillId="0" borderId="9" applyAlignment="1" applyProtection="1" pivotButton="0" quotePrefix="0" xfId="0">
      <alignment horizontal="center" vertical="center"/>
      <protection locked="0" hidden="0"/>
    </xf>
    <xf numFmtId="49" fontId="24" fillId="0" borderId="0" applyAlignment="1" applyProtection="1" pivotButton="0" quotePrefix="0" xfId="0">
      <alignment horizontal="center" vertical="center"/>
      <protection locked="0" hidden="0"/>
    </xf>
    <xf numFmtId="49" fontId="30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9" fontId="31" fillId="0" borderId="1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26" fillId="6" borderId="6" applyAlignment="1" pivotButton="0" quotePrefix="0" xfId="0">
      <alignment horizontal="center" vertical="center"/>
    </xf>
    <xf numFmtId="49" fontId="24" fillId="0" borderId="0" applyAlignment="1" pivotButton="0" quotePrefix="0" xfId="0">
      <alignment horizontal="center" vertical="center" wrapText="1"/>
    </xf>
    <xf numFmtId="0" fontId="24" fillId="5" borderId="10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49" fontId="24" fillId="8" borderId="0" applyAlignment="1" pivotButton="0" quotePrefix="0" xfId="0">
      <alignment horizontal="center" vertical="center" wrapText="1"/>
    </xf>
    <xf numFmtId="0" fontId="24" fillId="8" borderId="0" applyAlignment="1" pivotButton="0" quotePrefix="0" xfId="0">
      <alignment horizontal="center" vertical="center" wrapText="1"/>
    </xf>
    <xf numFmtId="0" fontId="26" fillId="5" borderId="8" applyAlignment="1" pivotButton="0" quotePrefix="0" xfId="0">
      <alignment vertical="center" wrapText="1"/>
    </xf>
    <xf numFmtId="0" fontId="26" fillId="5" borderId="10" applyAlignment="1" pivotButton="0" quotePrefix="0" xfId="0">
      <alignment vertical="center" wrapText="1"/>
    </xf>
    <xf numFmtId="0" fontId="26" fillId="5" borderId="10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6" fillId="5" borderId="2" applyAlignment="1" pivotButton="0" quotePrefix="0" xfId="0">
      <alignment horizontal="center" vertical="center" wrapText="1"/>
    </xf>
    <xf numFmtId="49" fontId="32" fillId="5" borderId="6" applyAlignment="1" pivotButton="0" quotePrefix="0" xfId="0">
      <alignment horizontal="center" vertical="center" wrapText="1"/>
    </xf>
    <xf numFmtId="49" fontId="32" fillId="5" borderId="7" applyAlignment="1" pivotButton="0" quotePrefix="0" xfId="0">
      <alignment horizontal="center" vertical="center" wrapText="1"/>
    </xf>
    <xf numFmtId="49" fontId="32" fillId="5" borderId="10" applyAlignment="1" pivotButton="0" quotePrefix="0" xfId="0">
      <alignment horizontal="center" vertical="center" wrapText="1"/>
    </xf>
    <xf numFmtId="49" fontId="25" fillId="0" borderId="5" applyAlignment="1" pivotButton="0" quotePrefix="0" xfId="0">
      <alignment horizontal="left" vertical="center"/>
    </xf>
    <xf numFmtId="0" fontId="24" fillId="0" borderId="1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5" fillId="0" borderId="14" applyAlignment="1" pivotButton="0" quotePrefix="0" xfId="0">
      <alignment vertical="center"/>
    </xf>
    <xf numFmtId="0" fontId="24" fillId="0" borderId="0" pivotButton="0" quotePrefix="0" xfId="0"/>
    <xf numFmtId="0" fontId="28" fillId="0" borderId="1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vertical="center"/>
    </xf>
    <xf numFmtId="49" fontId="25" fillId="0" borderId="8" applyAlignment="1" pivotButton="0" quotePrefix="0" xfId="0">
      <alignment horizontal="left" vertical="center"/>
    </xf>
    <xf numFmtId="0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 wrapText="1"/>
    </xf>
    <xf numFmtId="0" fontId="34" fillId="0" borderId="14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4" fillId="0" borderId="14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49" fontId="34" fillId="0" borderId="0" applyAlignment="1" pivotButton="0" quotePrefix="0" xfId="0">
      <alignment horizontal="center" vertical="center"/>
    </xf>
    <xf numFmtId="49" fontId="34" fillId="0" borderId="14" applyAlignment="1" pivotButton="0" quotePrefix="0" xfId="0">
      <alignment horizontal="center" vertical="center"/>
    </xf>
    <xf numFmtId="0" fontId="34" fillId="0" borderId="9" applyAlignment="1" pivotButton="0" quotePrefix="0" xfId="0">
      <alignment vertical="center"/>
    </xf>
    <xf numFmtId="0" fontId="35" fillId="0" borderId="9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center" vertical="center" wrapText="1"/>
    </xf>
    <xf numFmtId="49" fontId="24" fillId="0" borderId="5" applyAlignment="1" pivotButton="0" quotePrefix="0" xfId="0">
      <alignment horizontal="center" vertical="center"/>
    </xf>
    <xf numFmtId="49" fontId="26" fillId="0" borderId="0" applyAlignment="1" pivotButton="0" quotePrefix="0" xfId="0">
      <alignment horizontal="center" vertical="center"/>
    </xf>
    <xf numFmtId="49" fontId="26" fillId="0" borderId="0" applyAlignment="1" applyProtection="1" pivotButton="0" quotePrefix="0" xfId="0">
      <alignment vertical="center"/>
      <protection locked="0" hidden="0"/>
    </xf>
    <xf numFmtId="49" fontId="26" fillId="0" borderId="9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5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49" fontId="24" fillId="0" borderId="0" applyAlignment="1" applyProtection="1" pivotButton="0" quotePrefix="0" xfId="0">
      <alignment vertical="center"/>
      <protection locked="0" hidden="0"/>
    </xf>
    <xf numFmtId="49" fontId="24" fillId="0" borderId="9" applyAlignment="1" applyProtection="1" pivotButton="0" quotePrefix="0" xfId="0">
      <alignment vertical="center"/>
      <protection locked="0" hidden="0"/>
    </xf>
    <xf numFmtId="49" fontId="26" fillId="0" borderId="0" applyAlignment="1" applyProtection="1" pivotButton="0" quotePrefix="0" xfId="0">
      <alignment horizontal="center" vertical="center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49" fontId="28" fillId="0" borderId="0" applyAlignment="1" applyProtection="1" pivotButton="0" quotePrefix="0" xfId="0">
      <alignment horizontal="center" vertical="center"/>
      <protection locked="0" hidden="0"/>
    </xf>
    <xf numFmtId="0" fontId="26" fillId="0" borderId="9" applyAlignment="1" pivotButton="0" quotePrefix="0" xfId="0">
      <alignment horizontal="center" vertical="center"/>
    </xf>
    <xf numFmtId="15" fontId="25" fillId="0" borderId="0" applyAlignment="1" applyProtection="1" pivotButton="0" quotePrefix="0" xfId="0">
      <alignment vertical="center"/>
      <protection locked="0" hidden="0"/>
    </xf>
    <xf numFmtId="15" fontId="26" fillId="0" borderId="0" applyAlignment="1" applyProtection="1" pivotButton="0" quotePrefix="0" xfId="0">
      <alignment vertical="center"/>
      <protection locked="0" hidden="0"/>
    </xf>
    <xf numFmtId="0" fontId="28" fillId="0" borderId="9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49" fontId="39" fillId="0" borderId="8" applyAlignment="1" applyProtection="1" pivotButton="0" quotePrefix="0" xfId="0">
      <alignment vertical="center"/>
      <protection locked="0" hidden="0"/>
    </xf>
    <xf numFmtId="0" fontId="24" fillId="0" borderId="15" applyAlignment="1" pivotButton="0" quotePrefix="0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49" fontId="3" fillId="0" borderId="9" applyAlignment="1" applyProtection="1" pivotButton="0" quotePrefix="0" xfId="0">
      <alignment horizontal="left" vertical="center"/>
      <protection locked="0" hidden="0"/>
    </xf>
    <xf numFmtId="49" fontId="3" fillId="0" borderId="3" applyAlignment="1" applyProtection="1" pivotButton="0" quotePrefix="0" xfId="0">
      <alignment horizontal="left" vertical="center"/>
      <protection locked="0" hidden="0"/>
    </xf>
    <xf numFmtId="49" fontId="3" fillId="0" borderId="11" applyAlignment="1" applyProtection="1" pivotButton="0" quotePrefix="0" xfId="0">
      <alignment horizontal="left" vertical="center"/>
      <protection locked="0" hidden="0"/>
    </xf>
    <xf numFmtId="0" fontId="3" fillId="0" borderId="3" applyAlignment="1" pivotButton="0" quotePrefix="0" xfId="0">
      <alignment horizontal="left" vertical="center"/>
    </xf>
    <xf numFmtId="166" fontId="3" fillId="0" borderId="11" applyAlignment="1" applyProtection="1" pivotButton="0" quotePrefix="0" xfId="0">
      <alignment horizontal="left" vertical="center"/>
      <protection locked="0" hidden="0"/>
    </xf>
    <xf numFmtId="169" fontId="3" fillId="0" borderId="11" applyAlignment="1" applyProtection="1" pivotButton="0" quotePrefix="0" xfId="0">
      <alignment horizontal="left" vertical="center"/>
      <protection locked="0" hidden="0"/>
    </xf>
    <xf numFmtId="0" fontId="3" fillId="0" borderId="11" applyAlignment="1" applyProtection="1" pivotButton="0" quotePrefix="0" xfId="0">
      <alignment horizontal="left" vertical="center"/>
      <protection locked="0" hidden="0"/>
    </xf>
    <xf numFmtId="49" fontId="3" fillId="0" borderId="3" applyAlignment="1" applyProtection="1" pivotButton="0" quotePrefix="0" xfId="0">
      <alignment horizontal="center" vertical="center"/>
      <protection locked="0" hidden="0"/>
    </xf>
    <xf numFmtId="164" fontId="3" fillId="0" borderId="9" applyAlignment="1" applyProtection="1" pivotButton="0" quotePrefix="0" xfId="0">
      <alignment horizontal="center" vertical="center"/>
      <protection locked="0" hidden="0"/>
    </xf>
    <xf numFmtId="9" fontId="3" fillId="0" borderId="3" applyAlignment="1" applyProtection="1" pivotButton="0" quotePrefix="0" xfId="1">
      <alignment horizontal="center" vertical="center"/>
      <protection locked="0" hidden="0"/>
    </xf>
    <xf numFmtId="0" fontId="13" fillId="0" borderId="2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3" fillId="0" borderId="9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0" fontId="3" fillId="0" borderId="3" applyAlignment="1" applyProtection="1" pivotButton="0" quotePrefix="0" xfId="0">
      <alignment horizontal="left" vertical="center"/>
      <protection locked="0" hidden="0"/>
    </xf>
    <xf numFmtId="0" fontId="3" fillId="0" borderId="0" applyAlignment="1" applyProtection="1" pivotButton="0" quotePrefix="0" xfId="0">
      <alignment horizontal="left" vertical="center"/>
      <protection locked="0" hidden="0"/>
    </xf>
    <xf numFmtId="14" fontId="17" fillId="0" borderId="0" pivotButton="0" quotePrefix="0" xfId="3"/>
    <xf numFmtId="49" fontId="3" fillId="0" borderId="18" applyAlignment="1" pivotButton="0" quotePrefix="0" xfId="0">
      <alignment vertical="center"/>
    </xf>
    <xf numFmtId="0" fontId="33" fillId="6" borderId="1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49" fontId="24" fillId="0" borderId="0" applyAlignment="1" pivotButton="0" quotePrefix="0" xfId="0">
      <alignment horizontal="right" vertical="center"/>
    </xf>
    <xf numFmtId="49" fontId="24" fillId="0" borderId="9" applyAlignment="1" pivotButton="0" quotePrefix="0" xfId="0">
      <alignment horizontal="left" vertical="center"/>
    </xf>
    <xf numFmtId="49" fontId="3" fillId="0" borderId="9" applyAlignment="1" applyProtection="1" pivotButton="0" quotePrefix="0" xfId="0">
      <alignment horizontal="center" vertical="center"/>
      <protection locked="0" hidden="0"/>
    </xf>
    <xf numFmtId="0" fontId="21" fillId="0" borderId="17" pivotButton="0" quotePrefix="0" xfId="3"/>
    <xf numFmtId="0" fontId="21" fillId="0" borderId="0" applyAlignment="1" pivotButton="0" quotePrefix="0" xfId="3">
      <alignment horizontal="right"/>
    </xf>
    <xf numFmtId="49" fontId="17" fillId="0" borderId="0" applyAlignment="1" pivotButton="0" quotePrefix="0" xfId="3">
      <alignment horizontal="right" vertical="center"/>
    </xf>
    <xf numFmtId="0" fontId="21" fillId="0" borderId="17" applyAlignment="1" pivotButton="0" quotePrefix="0" xfId="3">
      <alignment horizontal="left"/>
    </xf>
    <xf numFmtId="0" fontId="21" fillId="0" borderId="0" applyAlignment="1" pivotButton="0" quotePrefix="0" xfId="3">
      <alignment horizontal="left"/>
    </xf>
    <xf numFmtId="0" fontId="21" fillId="0" borderId="0" pivotButton="0" quotePrefix="0" xfId="3"/>
    <xf numFmtId="0" fontId="21" fillId="0" borderId="17" applyAlignment="1" pivotButton="0" quotePrefix="0" xfId="3">
      <alignment horizontal="center"/>
    </xf>
    <xf numFmtId="0" fontId="21" fillId="0" borderId="0" applyAlignment="1" pivotButton="0" quotePrefix="0" xfId="3">
      <alignment horizontal="center"/>
    </xf>
    <xf numFmtId="0" fontId="28" fillId="0" borderId="10" applyAlignment="1" pivotButton="0" quotePrefix="0" xfId="0">
      <alignment horizontal="center" vertical="center" wrapText="1"/>
    </xf>
    <xf numFmtId="0" fontId="28" fillId="0" borderId="15" applyAlignment="1" pivotButton="0" quotePrefix="0" xfId="0">
      <alignment horizontal="center" vertical="center" wrapText="1"/>
    </xf>
    <xf numFmtId="49" fontId="32" fillId="5" borderId="1" applyAlignment="1" pivotButton="0" quotePrefix="0" xfId="0">
      <alignment horizontal="center" vertical="center" wrapText="1"/>
    </xf>
    <xf numFmtId="49" fontId="3" fillId="0" borderId="12" applyAlignment="1" pivotButton="0" quotePrefix="0" xfId="0">
      <alignment vertical="center"/>
    </xf>
    <xf numFmtId="49" fontId="3" fillId="0" borderId="13" applyAlignment="1" pivotButton="0" quotePrefix="0" xfId="0">
      <alignment vertical="center"/>
    </xf>
    <xf numFmtId="49" fontId="3" fillId="0" borderId="5" applyAlignment="1" pivotButton="0" quotePrefix="0" xfId="0">
      <alignment vertical="center"/>
    </xf>
    <xf numFmtId="49" fontId="3" fillId="0" borderId="8" applyAlignment="1" pivotButton="0" quotePrefix="0" xfId="0">
      <alignment vertical="center"/>
    </xf>
    <xf numFmtId="49" fontId="3" fillId="0" borderId="15" applyAlignment="1" pivotButton="0" quotePrefix="0" xfId="0">
      <alignment vertical="center"/>
    </xf>
    <xf numFmtId="0" fontId="38" fillId="0" borderId="0" applyAlignment="1" pivotButton="0" quotePrefix="0" xfId="0">
      <alignment horizontal="right" vertical="center"/>
    </xf>
    <xf numFmtId="49" fontId="29" fillId="0" borderId="9" applyAlignment="1" applyProtection="1" pivotButton="0" quotePrefix="0" xfId="0">
      <alignment horizontal="center" vertical="center"/>
      <protection locked="0" hidden="0"/>
    </xf>
    <xf numFmtId="0" fontId="24" fillId="0" borderId="9" applyAlignment="1" pivotButton="0" quotePrefix="0" xfId="0">
      <alignment horizontal="left" vertical="center"/>
    </xf>
    <xf numFmtId="49" fontId="24" fillId="0" borderId="3" applyAlignment="1" pivotButton="0" quotePrefix="0" xfId="0">
      <alignment horizontal="left" vertical="center"/>
    </xf>
    <xf numFmtId="0" fontId="24" fillId="0" borderId="20" applyAlignment="1" pivotButton="0" quotePrefix="0" xfId="0">
      <alignment horizontal="left" vertical="center"/>
    </xf>
    <xf numFmtId="0" fontId="24" fillId="0" borderId="3" applyAlignment="1" pivotButton="0" quotePrefix="0" xfId="0">
      <alignment horizontal="left" vertical="center"/>
    </xf>
    <xf numFmtId="49" fontId="24" fillId="0" borderId="9" applyAlignment="1" applyProtection="1" pivotButton="0" quotePrefix="0" xfId="0">
      <alignment horizontal="left" vertical="center"/>
      <protection locked="0" hidden="0"/>
    </xf>
    <xf numFmtId="170" fontId="3" fillId="0" borderId="11" applyAlignment="1" applyProtection="1" pivotButton="0" quotePrefix="0" xfId="0">
      <alignment horizontal="left" vertical="center"/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68" fontId="3" fillId="5" borderId="1" applyAlignment="1" pivotButton="0" quotePrefix="0" xfId="0">
      <alignment horizontal="center" vertical="center" wrapText="1"/>
    </xf>
    <xf numFmtId="168" fontId="3" fillId="5" borderId="1" applyAlignment="1" applyProtection="1" pivotButton="0" quotePrefix="0" xfId="0">
      <alignment horizontal="center" vertical="center" wrapText="1"/>
      <protection locked="0" hidden="0"/>
    </xf>
    <xf numFmtId="0" fontId="38" fillId="0" borderId="4" applyAlignment="1" pivotButton="0" quotePrefix="0" xfId="0">
      <alignment horizontal="center" vertical="center"/>
    </xf>
    <xf numFmtId="0" fontId="20" fillId="0" borderId="16" applyAlignment="1" pivotButton="0" quotePrefix="0" xfId="3">
      <alignment horizontal="center" vertical="top"/>
    </xf>
    <xf numFmtId="0" fontId="17" fillId="0" borderId="1" applyAlignment="1" pivotButton="0" quotePrefix="0" xfId="3">
      <alignment horizontal="center" vertical="center"/>
    </xf>
    <xf numFmtId="0" fontId="20" fillId="0" borderId="0" applyAlignment="1" pivotButton="0" quotePrefix="0" xfId="3">
      <alignment horizontal="left" vertical="center" wrapText="1"/>
    </xf>
    <xf numFmtId="49" fontId="21" fillId="0" borderId="1" applyAlignment="1" pivotButton="0" quotePrefix="0" xfId="3">
      <alignment horizontal="center" vertical="center"/>
    </xf>
    <xf numFmtId="167" fontId="15" fillId="0" borderId="0" applyAlignment="1" pivotButton="0" quotePrefix="0" xfId="3">
      <alignment horizontal="left"/>
    </xf>
    <xf numFmtId="49" fontId="17" fillId="0" borderId="1" applyAlignment="1" pivotButton="0" quotePrefix="0" xfId="3">
      <alignment horizontal="center" vertical="center"/>
    </xf>
    <xf numFmtId="49" fontId="17" fillId="0" borderId="1" applyAlignment="1" applyProtection="1" pivotButton="0" quotePrefix="0" xfId="3">
      <alignment horizontal="center" vertical="center"/>
      <protection locked="0" hidden="0"/>
    </xf>
    <xf numFmtId="0" fontId="17" fillId="0" borderId="1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center"/>
    </xf>
    <xf numFmtId="49" fontId="16" fillId="0" borderId="5" applyAlignment="1" pivotButton="0" quotePrefix="0" xfId="3">
      <alignment horizontal="left"/>
    </xf>
    <xf numFmtId="49" fontId="16" fillId="0" borderId="0" applyAlignment="1" pivotButton="0" quotePrefix="0" xfId="3">
      <alignment horizontal="left"/>
    </xf>
    <xf numFmtId="0" fontId="15" fillId="0" borderId="1" applyAlignment="1" pivotButton="0" quotePrefix="0" xfId="3">
      <alignment horizontal="center" vertical="center"/>
    </xf>
    <xf numFmtId="49" fontId="17" fillId="4" borderId="1" applyAlignment="1" pivotButton="0" quotePrefix="0" xfId="3">
      <alignment horizontal="center" vertical="center"/>
    </xf>
    <xf numFmtId="49" fontId="17" fillId="4" borderId="9" applyAlignment="1" pivotButton="0" quotePrefix="0" xfId="3">
      <alignment horizontal="center" vertical="center"/>
    </xf>
    <xf numFmtId="170" fontId="17" fillId="4" borderId="1" applyAlignment="1" pivotButton="0" quotePrefix="0" xfId="3">
      <alignment horizontal="center" vertical="center"/>
    </xf>
    <xf numFmtId="49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/>
    </xf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5" applyAlignment="1" pivotButton="0" quotePrefix="0" xfId="0">
      <alignment horizontal="center" vertical="center"/>
    </xf>
    <xf numFmtId="166" fontId="3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3" fillId="4" borderId="6" applyAlignment="1" applyProtection="1" pivotButton="0" quotePrefix="0" xfId="0">
      <alignment horizontal="center" vertical="center" wrapText="1"/>
      <protection locked="0" hidden="0"/>
    </xf>
    <xf numFmtId="0" fontId="3" fillId="4" borderId="7" applyAlignment="1" applyProtection="1" pivotButton="0" quotePrefix="0" xfId="0">
      <alignment horizontal="center" vertical="center" wrapText="1"/>
      <protection locked="0" hidden="0"/>
    </xf>
    <xf numFmtId="0" fontId="3" fillId="4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3" fillId="0" borderId="5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49" fontId="3" fillId="0" borderId="9" applyAlignment="1" applyProtection="1" pivotButton="0" quotePrefix="0" xfId="0">
      <alignment horizontal="center" vertical="center"/>
      <protection locked="0" hidden="0"/>
    </xf>
    <xf numFmtId="0" fontId="3" fillId="4" borderId="12" applyAlignment="1" applyProtection="1" pivotButton="0" quotePrefix="0" xfId="0">
      <alignment horizontal="center" vertical="center" wrapText="1"/>
      <protection locked="0" hidden="0"/>
    </xf>
    <xf numFmtId="0" fontId="3" fillId="4" borderId="16" applyAlignment="1" applyProtection="1" pivotButton="0" quotePrefix="0" xfId="0">
      <alignment horizontal="center" vertical="center" wrapText="1"/>
      <protection locked="0" hidden="0"/>
    </xf>
    <xf numFmtId="0" fontId="3" fillId="4" borderId="13" applyAlignment="1" applyProtection="1" pivotButton="0" quotePrefix="0" xfId="0">
      <alignment horizontal="center" vertical="center" wrapText="1"/>
      <protection locked="0" hidden="0"/>
    </xf>
    <xf numFmtId="0" fontId="3" fillId="4" borderId="5" applyAlignment="1" applyProtection="1" pivotButton="0" quotePrefix="0" xfId="0">
      <alignment horizontal="center" vertical="center" wrapText="1"/>
      <protection locked="0" hidden="0"/>
    </xf>
    <xf numFmtId="0" fontId="3" fillId="4" borderId="0" applyAlignment="1" applyProtection="1" pivotButton="0" quotePrefix="0" xfId="0">
      <alignment horizontal="center" vertical="center" wrapText="1"/>
      <protection locked="0" hidden="0"/>
    </xf>
    <xf numFmtId="0" fontId="3" fillId="4" borderId="14" applyAlignment="1" applyProtection="1" pivotButton="0" quotePrefix="0" xfId="0">
      <alignment horizontal="center" vertical="center" wrapText="1"/>
      <protection locked="0" hidden="0"/>
    </xf>
    <xf numFmtId="0" fontId="3" fillId="4" borderId="8" applyAlignment="1" applyProtection="1" pivotButton="0" quotePrefix="0" xfId="0">
      <alignment horizontal="center" vertical="center" wrapText="1"/>
      <protection locked="0" hidden="0"/>
    </xf>
    <xf numFmtId="0" fontId="3" fillId="4" borderId="9" applyAlignment="1" applyProtection="1" pivotButton="0" quotePrefix="0" xfId="0">
      <alignment horizontal="center" vertical="center" wrapText="1"/>
      <protection locked="0" hidden="0"/>
    </xf>
    <xf numFmtId="0" fontId="3" fillId="4" borderId="15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applyProtection="1" pivotButton="0" quotePrefix="0" xfId="0">
      <alignment horizontal="center" vertical="center" wrapText="1"/>
      <protection locked="0" hidden="0"/>
    </xf>
    <xf numFmtId="0" fontId="3" fillId="0" borderId="7" applyAlignment="1" applyProtection="1" pivotButton="0" quotePrefix="0" xfId="0">
      <alignment horizontal="center" vertical="center" wrapText="1"/>
      <protection locked="0" hidden="0"/>
    </xf>
    <xf numFmtId="0" fontId="3" fillId="0" borderId="10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3" fillId="0" borderId="5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16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3" fillId="0" borderId="14" applyAlignment="1" applyProtection="1" pivotButton="0" quotePrefix="0" xfId="0">
      <alignment horizontal="center" vertical="center" wrapText="1"/>
      <protection locked="0" hidden="0"/>
    </xf>
    <xf numFmtId="49" fontId="4" fillId="0" borderId="9" applyAlignment="1" pivotButton="0" quotePrefix="0" xfId="0">
      <alignment horizontal="center" vertical="center"/>
    </xf>
    <xf numFmtId="0" fontId="4" fillId="0" borderId="9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center" vertical="center"/>
      <protection locked="0" hidden="0"/>
    </xf>
    <xf numFmtId="0" fontId="23" fillId="0" borderId="16" applyAlignment="1" applyProtection="1" pivotButton="0" quotePrefix="0" xfId="0">
      <alignment horizontal="center" vertical="center" wrapText="1"/>
      <protection locked="0" hidden="0"/>
    </xf>
    <xf numFmtId="0" fontId="23" fillId="0" borderId="13" applyAlignment="1" applyProtection="1" pivotButton="0" quotePrefix="0" xfId="0">
      <alignment horizontal="center" vertical="center" wrapText="1"/>
      <protection locked="0" hidden="0"/>
    </xf>
    <xf numFmtId="0" fontId="23" fillId="0" borderId="12" applyAlignment="1" applyProtection="1" pivotButton="0" quotePrefix="0" xfId="0">
      <alignment horizontal="center" vertical="center" wrapText="1"/>
      <protection locked="0" hidden="0"/>
    </xf>
    <xf numFmtId="0" fontId="34" fillId="0" borderId="6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68" fontId="25" fillId="0" borderId="6" applyAlignment="1" pivotButton="0" quotePrefix="0" xfId="0">
      <alignment horizontal="center" vertical="center" wrapText="1"/>
    </xf>
    <xf numFmtId="168" fontId="25" fillId="0" borderId="10" applyAlignment="1" pivotButton="0" quotePrefix="0" xfId="0">
      <alignment horizontal="center" vertical="center" wrapText="1"/>
    </xf>
    <xf numFmtId="168" fontId="34" fillId="0" borderId="6" applyAlignment="1" pivotButton="0" quotePrefix="0" xfId="0">
      <alignment horizontal="center" vertical="center"/>
    </xf>
    <xf numFmtId="168" fontId="34" fillId="0" borderId="10" applyAlignment="1" pivotButton="0" quotePrefix="0" xfId="0">
      <alignment horizontal="center" vertical="center"/>
    </xf>
    <xf numFmtId="0" fontId="34" fillId="0" borderId="6" applyAlignment="1" pivotButton="0" quotePrefix="1" xfId="0">
      <alignment horizontal="center" vertical="center"/>
    </xf>
    <xf numFmtId="0" fontId="34" fillId="0" borderId="10" applyAlignment="1" pivotButton="0" quotePrefix="1" xfId="0">
      <alignment horizontal="center" vertical="center"/>
    </xf>
    <xf numFmtId="49" fontId="28" fillId="0" borderId="6" applyAlignment="1" pivotButton="0" quotePrefix="0" xfId="0">
      <alignment horizontal="center" vertical="center" wrapText="1"/>
    </xf>
    <xf numFmtId="49" fontId="28" fillId="0" borderId="10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168" fontId="34" fillId="0" borderId="6" applyAlignment="1" pivotButton="0" quotePrefix="0" xfId="0">
      <alignment horizontal="center" vertical="center" wrapText="1"/>
    </xf>
    <xf numFmtId="168" fontId="34" fillId="0" borderId="10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26" fillId="6" borderId="12" applyAlignment="1" pivotButton="0" quotePrefix="0" xfId="0">
      <alignment horizontal="center" vertical="center"/>
    </xf>
    <xf numFmtId="0" fontId="26" fillId="6" borderId="13" applyAlignment="1" pivotButton="0" quotePrefix="0" xfId="0">
      <alignment horizontal="center" vertical="center"/>
    </xf>
    <xf numFmtId="0" fontId="26" fillId="6" borderId="8" applyAlignment="1" pivotButton="0" quotePrefix="0" xfId="0">
      <alignment horizontal="center" vertical="center"/>
    </xf>
    <xf numFmtId="0" fontId="26" fillId="6" borderId="15" applyAlignment="1" pivotButton="0" quotePrefix="0" xfId="0">
      <alignment horizontal="center" vertical="center"/>
    </xf>
    <xf numFmtId="0" fontId="26" fillId="6" borderId="6" applyAlignment="1" pivotButton="0" quotePrefix="0" xfId="0">
      <alignment horizontal="center" vertical="center" wrapText="1"/>
    </xf>
    <xf numFmtId="0" fontId="26" fillId="6" borderId="10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6" fillId="6" borderId="4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49" fontId="26" fillId="6" borderId="6" applyAlignment="1" pivotButton="0" quotePrefix="0" xfId="0">
      <alignment horizontal="center" vertical="center"/>
    </xf>
    <xf numFmtId="49" fontId="26" fillId="6" borderId="10" applyAlignment="1" pivotButton="0" quotePrefix="0" xfId="0">
      <alignment horizontal="center" vertical="center"/>
    </xf>
    <xf numFmtId="0" fontId="26" fillId="6" borderId="12" applyAlignment="1" pivotButton="0" quotePrefix="0" xfId="0">
      <alignment horizontal="center" vertical="center" wrapText="1"/>
    </xf>
    <xf numFmtId="0" fontId="26" fillId="6" borderId="13" applyAlignment="1" pivotButton="0" quotePrefix="0" xfId="0">
      <alignment horizontal="center" vertical="center" wrapText="1"/>
    </xf>
    <xf numFmtId="0" fontId="26" fillId="6" borderId="8" applyAlignment="1" pivotButton="0" quotePrefix="0" xfId="0">
      <alignment horizontal="center" vertical="center" wrapText="1"/>
    </xf>
    <xf numFmtId="0" fontId="26" fillId="6" borderId="15" applyAlignment="1" pivotButton="0" quotePrefix="0" xfId="0">
      <alignment horizontal="center" vertical="center" wrapText="1"/>
    </xf>
    <xf numFmtId="49" fontId="32" fillId="0" borderId="3" applyAlignment="1" pivotButton="0" quotePrefix="0" xfId="0">
      <alignment horizontal="center" vertical="center" wrapText="1"/>
    </xf>
    <xf numFmtId="49" fontId="32" fillId="0" borderId="3" applyAlignment="1" pivotButton="0" quotePrefix="0" xfId="0">
      <alignment horizontal="center" vertical="center"/>
    </xf>
    <xf numFmtId="168" fontId="32" fillId="0" borderId="6" applyAlignment="1" pivotButton="0" quotePrefix="0" xfId="0">
      <alignment horizontal="center" vertical="center" wrapText="1"/>
    </xf>
    <xf numFmtId="168" fontId="32" fillId="0" borderId="7" applyAlignment="1" pivotButton="0" quotePrefix="0" xfId="0">
      <alignment horizontal="center" vertical="center" wrapText="1"/>
    </xf>
    <xf numFmtId="168" fontId="32" fillId="0" borderId="10" applyAlignment="1" pivotButton="0" quotePrefix="0" xfId="0">
      <alignment horizontal="center" vertical="center" wrapText="1"/>
    </xf>
    <xf numFmtId="49" fontId="32" fillId="0" borderId="6" applyAlignment="1" pivotButton="0" quotePrefix="0" xfId="0">
      <alignment horizontal="center" vertical="center" wrapText="1"/>
    </xf>
    <xf numFmtId="49" fontId="32" fillId="0" borderId="7" applyAlignment="1" pivotButton="0" quotePrefix="0" xfId="0">
      <alignment horizontal="center" vertical="center" wrapText="1"/>
    </xf>
    <xf numFmtId="49" fontId="32" fillId="0" borderId="10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25" fillId="9" borderId="10" applyAlignment="1" pivotButton="0" quotePrefix="0" xfId="0">
      <alignment horizontal="center" vertical="center"/>
    </xf>
    <xf numFmtId="49" fontId="25" fillId="9" borderId="1" applyAlignment="1" pivotButton="0" quotePrefix="0" xfId="0">
      <alignment horizontal="center" vertical="center"/>
    </xf>
    <xf numFmtId="49" fontId="32" fillId="0" borderId="9" applyAlignment="1" pivotButton="0" quotePrefix="0" xfId="0">
      <alignment horizontal="center" vertical="center" wrapText="1"/>
    </xf>
    <xf numFmtId="49" fontId="32" fillId="5" borderId="2" applyAlignment="1" pivotButton="0" quotePrefix="0" xfId="0">
      <alignment horizontal="center" vertical="center" wrapText="1"/>
    </xf>
    <xf numFmtId="0" fontId="32" fillId="0" borderId="26" applyAlignment="1" pivotButton="0" quotePrefix="0" xfId="0">
      <alignment horizontal="center" vertical="center"/>
    </xf>
    <xf numFmtId="0" fontId="32" fillId="0" borderId="21" applyAlignment="1" pivotButton="0" quotePrefix="0" xfId="0">
      <alignment horizontal="center" vertical="center"/>
    </xf>
    <xf numFmtId="0" fontId="32" fillId="0" borderId="23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 wrapText="1"/>
    </xf>
    <xf numFmtId="49" fontId="32" fillId="0" borderId="18" applyAlignment="1" pivotButton="0" quotePrefix="0" xfId="0">
      <alignment horizontal="center" vertical="center" wrapText="1"/>
    </xf>
    <xf numFmtId="49" fontId="32" fillId="0" borderId="28" applyAlignment="1" pivotButton="0" quotePrefix="0" xfId="0">
      <alignment horizontal="center" vertical="center" wrapText="1"/>
    </xf>
    <xf numFmtId="49" fontId="32" fillId="0" borderId="29" applyAlignment="1" pivotButton="0" quotePrefix="0" xfId="0">
      <alignment horizontal="center" vertical="center" wrapText="1"/>
    </xf>
    <xf numFmtId="49" fontId="32" fillId="0" borderId="0" applyAlignment="1" pivotButton="0" quotePrefix="0" xfId="0">
      <alignment horizontal="center" vertical="center" wrapText="1"/>
    </xf>
    <xf numFmtId="49" fontId="32" fillId="0" borderId="14" applyAlignment="1" pivotButton="0" quotePrefix="0" xfId="0">
      <alignment horizontal="center" vertical="center" wrapText="1"/>
    </xf>
    <xf numFmtId="49" fontId="32" fillId="0" borderId="24" applyAlignment="1" pivotButton="0" quotePrefix="0" xfId="0">
      <alignment horizontal="center" vertical="center" wrapText="1"/>
    </xf>
    <xf numFmtId="49" fontId="32" fillId="0" borderId="11" applyAlignment="1" pivotButton="0" quotePrefix="0" xfId="0">
      <alignment horizontal="center" vertical="center" wrapText="1"/>
    </xf>
    <xf numFmtId="49" fontId="32" fillId="0" borderId="25" applyAlignment="1" pivotButton="0" quotePrefix="0" xfId="0">
      <alignment horizontal="center" vertical="center" wrapText="1"/>
    </xf>
    <xf numFmtId="49" fontId="32" fillId="5" borderId="6" applyAlignment="1" pivotButton="0" quotePrefix="0" xfId="0">
      <alignment horizontal="center" vertical="center" wrapText="1"/>
    </xf>
    <xf numFmtId="49" fontId="32" fillId="5" borderId="7" applyAlignment="1" pivotButton="0" quotePrefix="0" xfId="0">
      <alignment horizontal="center" vertical="center" wrapText="1"/>
    </xf>
    <xf numFmtId="49" fontId="32" fillId="5" borderId="10" applyAlignment="1" pivotButton="0" quotePrefix="0" xfId="0">
      <alignment horizontal="center" vertical="center" wrapText="1"/>
    </xf>
    <xf numFmtId="0" fontId="32" fillId="0" borderId="26" applyAlignment="1" pivotButton="0" quotePrefix="0" xfId="0">
      <alignment horizontal="center" vertical="center" wrapText="1"/>
    </xf>
    <xf numFmtId="0" fontId="32" fillId="0" borderId="21" applyAlignment="1" pivotButton="0" quotePrefix="0" xfId="0">
      <alignment horizontal="center" vertical="center" wrapText="1"/>
    </xf>
    <xf numFmtId="49" fontId="32" fillId="4" borderId="27" applyAlignment="1" pivotButton="0" quotePrefix="0" xfId="0">
      <alignment horizontal="center" vertical="center" wrapText="1"/>
    </xf>
    <xf numFmtId="49" fontId="32" fillId="4" borderId="18" applyAlignment="1" pivotButton="0" quotePrefix="0" xfId="0">
      <alignment horizontal="center" vertical="center" wrapText="1"/>
    </xf>
    <xf numFmtId="49" fontId="32" fillId="4" borderId="28" applyAlignment="1" pivotButton="0" quotePrefix="0" xfId="0">
      <alignment horizontal="center" vertical="center" wrapText="1"/>
    </xf>
    <xf numFmtId="49" fontId="32" fillId="4" borderId="29" applyAlignment="1" pivotButton="0" quotePrefix="0" xfId="0">
      <alignment horizontal="center" vertical="center" wrapText="1"/>
    </xf>
    <xf numFmtId="49" fontId="32" fillId="4" borderId="0" applyAlignment="1" pivotButton="0" quotePrefix="0" xfId="0">
      <alignment horizontal="center" vertical="center" wrapText="1"/>
    </xf>
    <xf numFmtId="49" fontId="32" fillId="4" borderId="14" applyAlignment="1" pivotButton="0" quotePrefix="0" xfId="0">
      <alignment horizontal="center" vertical="center" wrapText="1"/>
    </xf>
    <xf numFmtId="49" fontId="32" fillId="4" borderId="24" applyAlignment="1" pivotButton="0" quotePrefix="0" xfId="0">
      <alignment horizontal="center" vertical="center" wrapText="1"/>
    </xf>
    <xf numFmtId="49" fontId="32" fillId="4" borderId="11" applyAlignment="1" pivotButton="0" quotePrefix="0" xfId="0">
      <alignment horizontal="center" vertical="center" wrapText="1"/>
    </xf>
    <xf numFmtId="49" fontId="32" fillId="4" borderId="25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49" fontId="32" fillId="0" borderId="1" applyAlignment="1" pivotButton="0" quotePrefix="1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26" fillId="6" borderId="3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6" borderId="21" applyAlignment="1" pivotButton="0" quotePrefix="0" xfId="0">
      <alignment horizontal="center" vertical="center"/>
    </xf>
    <xf numFmtId="0" fontId="26" fillId="6" borderId="23" applyAlignment="1" pivotButton="0" quotePrefix="0" xfId="0">
      <alignment horizontal="center" vertical="center"/>
    </xf>
    <xf numFmtId="0" fontId="26" fillId="6" borderId="22" applyAlignment="1" pivotButton="0" quotePrefix="0" xfId="0">
      <alignment horizontal="center" vertical="center" wrapText="1"/>
    </xf>
    <xf numFmtId="0" fontId="26" fillId="6" borderId="16" applyAlignment="1" pivotButton="0" quotePrefix="0" xfId="0">
      <alignment horizontal="center" vertical="center" wrapText="1"/>
    </xf>
    <xf numFmtId="0" fontId="26" fillId="6" borderId="24" applyAlignment="1" pivotButton="0" quotePrefix="0" xfId="0">
      <alignment horizontal="center" vertical="center" wrapText="1"/>
    </xf>
    <xf numFmtId="0" fontId="26" fillId="6" borderId="11" applyAlignment="1" pivotButton="0" quotePrefix="0" xfId="0">
      <alignment horizontal="center" vertical="center" wrapText="1"/>
    </xf>
    <xf numFmtId="0" fontId="26" fillId="6" borderId="25" applyAlignment="1" pivotButton="0" quotePrefix="0" xfId="0">
      <alignment horizontal="center" vertical="center" wrapText="1"/>
    </xf>
    <xf numFmtId="0" fontId="33" fillId="6" borderId="10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49" fontId="24" fillId="5" borderId="10" applyAlignment="1" pivotButton="0" quotePrefix="0" xfId="0">
      <alignment horizontal="center" vertical="center" wrapText="1"/>
    </xf>
    <xf numFmtId="49" fontId="24" fillId="5" borderId="1" applyAlignment="1" pivotButton="0" quotePrefix="0" xfId="0">
      <alignment horizontal="center" vertical="center" wrapText="1"/>
    </xf>
    <xf numFmtId="0" fontId="24" fillId="5" borderId="5" applyAlignment="1" pivotButton="0" quotePrefix="0" xfId="0">
      <alignment horizontal="center" vertical="center"/>
    </xf>
    <xf numFmtId="0" fontId="24" fillId="5" borderId="14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center" vertical="center"/>
    </xf>
    <xf numFmtId="0" fontId="26" fillId="6" borderId="14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32" fillId="0" borderId="14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32" fillId="0" borderId="15" applyAlignment="1" pivotButton="0" quotePrefix="0" xfId="0">
      <alignment horizontal="center" vertical="center"/>
    </xf>
    <xf numFmtId="49" fontId="32" fillId="0" borderId="12" applyAlignment="1" pivotButton="0" quotePrefix="0" xfId="0">
      <alignment horizontal="center" vertical="center" wrapText="1"/>
    </xf>
    <xf numFmtId="49" fontId="32" fillId="0" borderId="13" applyAlignment="1" pivotButton="0" quotePrefix="0" xfId="0">
      <alignment horizontal="center" vertical="center" wrapText="1"/>
    </xf>
    <xf numFmtId="49" fontId="32" fillId="0" borderId="5" applyAlignment="1" pivotButton="0" quotePrefix="0" xfId="0">
      <alignment horizontal="center" vertical="center" wrapText="1"/>
    </xf>
    <xf numFmtId="49" fontId="32" fillId="0" borderId="8" applyAlignment="1" pivotButton="0" quotePrefix="0" xfId="0">
      <alignment horizontal="center" vertical="center" wrapText="1"/>
    </xf>
    <xf numFmtId="49" fontId="32" fillId="0" borderId="15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49" fontId="32" fillId="0" borderId="16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49" fontId="32" fillId="4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49" fontId="32" fillId="0" borderId="12" applyAlignment="1" pivotButton="0" quotePrefix="1" xfId="0">
      <alignment horizontal="center" vertical="center" wrapText="1"/>
    </xf>
    <xf numFmtId="49" fontId="32" fillId="0" borderId="16" applyAlignment="1" pivotButton="0" quotePrefix="1" xfId="0">
      <alignment horizontal="center" vertical="center" wrapText="1"/>
    </xf>
    <xf numFmtId="49" fontId="32" fillId="0" borderId="13" applyAlignment="1" pivotButton="0" quotePrefix="1" xfId="0">
      <alignment horizontal="center" vertical="center" wrapText="1"/>
    </xf>
    <xf numFmtId="49" fontId="32" fillId="0" borderId="5" applyAlignment="1" pivotButton="0" quotePrefix="1" xfId="0">
      <alignment horizontal="center" vertical="center" wrapText="1"/>
    </xf>
    <xf numFmtId="49" fontId="32" fillId="0" borderId="0" applyAlignment="1" pivotButton="0" quotePrefix="1" xfId="0">
      <alignment horizontal="center" vertical="center" wrapText="1"/>
    </xf>
    <xf numFmtId="49" fontId="32" fillId="0" borderId="14" applyAlignment="1" pivotButton="0" quotePrefix="1" xfId="0">
      <alignment horizontal="center" vertical="center" wrapText="1"/>
    </xf>
    <xf numFmtId="49" fontId="32" fillId="0" borderId="8" applyAlignment="1" pivotButton="0" quotePrefix="1" xfId="0">
      <alignment horizontal="center" vertical="center" wrapText="1"/>
    </xf>
    <xf numFmtId="49" fontId="32" fillId="0" borderId="9" applyAlignment="1" pivotButton="0" quotePrefix="1" xfId="0">
      <alignment horizontal="center" vertical="center" wrapText="1"/>
    </xf>
    <xf numFmtId="49" fontId="32" fillId="0" borderId="15" applyAlignment="1" pivotButton="0" quotePrefix="1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0" fontId="26" fillId="6" borderId="4" applyAlignment="1" pivotButton="0" quotePrefix="0" xfId="0">
      <alignment horizontal="center" vertical="center" wrapText="1"/>
    </xf>
    <xf numFmtId="49" fontId="28" fillId="0" borderId="9" applyAlignment="1" applyProtection="1" pivotButton="0" quotePrefix="0" xfId="0">
      <alignment horizontal="center" vertical="center"/>
      <protection locked="0" hidden="0"/>
    </xf>
    <xf numFmtId="0" fontId="26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49" fontId="24" fillId="0" borderId="0" applyAlignment="1" pivotButton="0" quotePrefix="0" xfId="0">
      <alignment horizontal="center" vertical="center"/>
    </xf>
    <xf numFmtId="49" fontId="24" fillId="0" borderId="14" applyAlignment="1" pivotButton="0" quotePrefix="0" xfId="0">
      <alignment horizontal="center" vertical="center"/>
    </xf>
    <xf numFmtId="0" fontId="26" fillId="6" borderId="16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6" fillId="6" borderId="9" applyAlignment="1" pivotButton="0" quotePrefix="0" xfId="0">
      <alignment horizontal="center" vertical="center"/>
    </xf>
    <xf numFmtId="0" fontId="26" fillId="6" borderId="6" applyAlignment="1" pivotButton="0" quotePrefix="0" xfId="0">
      <alignment horizontal="center" vertical="center"/>
    </xf>
    <xf numFmtId="0" fontId="26" fillId="6" borderId="1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3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165" fontId="3" fillId="0" borderId="0" applyAlignment="1" applyProtection="1" pivotButton="0" quotePrefix="0" xfId="0">
      <alignment horizontal="left" vertical="center"/>
      <protection locked="0" hidden="0"/>
    </xf>
    <xf numFmtId="166" fontId="3" fillId="0" borderId="11" applyAlignment="1" applyProtection="1" pivotButton="0" quotePrefix="0" xfId="0">
      <alignment horizontal="left" vertical="center"/>
      <protection locked="0" hidden="0"/>
    </xf>
    <xf numFmtId="166" fontId="5" fillId="0" borderId="0" applyAlignment="1" applyProtection="1" pivotButton="0" quotePrefix="0" xfId="0">
      <alignment horizontal="left" vertical="center"/>
      <protection locked="0" hidden="0"/>
    </xf>
    <xf numFmtId="165" fontId="3" fillId="0" borderId="3" applyAlignment="1" applyProtection="1" pivotButton="0" quotePrefix="0" xfId="0">
      <alignment horizontal="left" vertical="center"/>
      <protection locked="0" hidden="0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4" borderId="2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6" fontId="3" fillId="0" borderId="9" applyAlignment="1" applyProtection="1" pivotButton="0" quotePrefix="0" xfId="0">
      <alignment horizontal="center" vertical="center"/>
      <protection locked="0" hidden="0"/>
    </xf>
    <xf numFmtId="166" fontId="3" fillId="0" borderId="9" applyAlignment="1" pivotButton="0" quotePrefix="0" xfId="0">
      <alignment horizontal="center" vertical="center"/>
    </xf>
    <xf numFmtId="0" fontId="0" fillId="0" borderId="14" pivotButton="0" quotePrefix="0" xfId="0"/>
    <xf numFmtId="168" fontId="3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" pivotButton="0" quotePrefix="0" xfId="0"/>
    <xf numFmtId="0" fontId="24" fillId="5" borderId="7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11" pivotButton="0" quotePrefix="0" xfId="0"/>
    <xf numFmtId="0" fontId="0" fillId="0" borderId="25" pivotButton="0" quotePrefix="0" xfId="0"/>
    <xf numFmtId="49" fontId="32" fillId="4" borderId="3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8" pivotButton="0" quotePrefix="0" xfId="0"/>
    <xf numFmtId="0" fontId="0" fillId="0" borderId="21" pivotButton="0" quotePrefix="0" xfId="0"/>
    <xf numFmtId="0" fontId="0" fillId="0" borderId="29" pivotButton="0" quotePrefix="0" xfId="0"/>
    <xf numFmtId="0" fontId="32" fillId="0" borderId="3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/>
    </xf>
    <xf numFmtId="49" fontId="32" fillId="0" borderId="32" applyAlignment="1" pivotButton="0" quotePrefix="0" xfId="0">
      <alignment horizontal="center" vertical="center" wrapText="1"/>
    </xf>
    <xf numFmtId="49" fontId="26" fillId="6" borderId="1" applyAlignment="1" pivotButton="0" quotePrefix="0" xfId="0">
      <alignment horizontal="center" vertical="center"/>
    </xf>
    <xf numFmtId="49" fontId="28" fillId="0" borderId="1" applyAlignment="1" pivotButton="0" quotePrefix="0" xfId="0">
      <alignment horizontal="center" vertical="center" wrapText="1"/>
    </xf>
    <xf numFmtId="168" fontId="34" fillId="0" borderId="1" applyAlignment="1" pivotButton="0" quotePrefix="0" xfId="0">
      <alignment horizontal="center" vertical="center" wrapText="1"/>
    </xf>
    <xf numFmtId="168" fontId="25" fillId="0" borderId="1" applyAlignment="1" pivotButton="0" quotePrefix="0" xfId="0">
      <alignment horizontal="center" vertical="center" wrapText="1"/>
    </xf>
    <xf numFmtId="168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</cellXfs>
  <cellStyles count="4">
    <cellStyle name="Normal" xfId="0" builtinId="0"/>
    <cellStyle name="Percent" xfId="1" builtinId="5"/>
    <cellStyle name="Normal 3" xfId="2"/>
    <cellStyle name="Normal 2" xfId="3"/>
  </cellStyles>
  <dxfs count="1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Author</author>
  </authors>
  <commentList>
    <comment ref="L31" authorId="0" shapeId="0">
      <text>
        <t>-Masalah ditapak-hanya pada waktu malam shj yg sesuai utk ambil Thermo.
-Jika di ambil pada waktu siang reflection.</t>
      </text>
    </comment>
    <comment ref="X31" authorId="0" shapeId="0">
      <text>
        <t>Column Tambahan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B42" authorId="0" shapeId="0">
      <text>
        <t>Tambahan pada ayat.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2000249</colOff>
      <row>1</row>
      <rowOff>67235</rowOff>
    </from>
    <to>
      <col>3</col>
      <colOff>1371600</colOff>
      <row>2</row>
      <rowOff>772942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4324" y="457760"/>
          <a:ext cx="3619501" cy="1477232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315311</colOff>
      <row>0</row>
      <rowOff>65690</rowOff>
    </from>
    <to>
      <col>2</col>
      <colOff>400708</colOff>
      <row>0</row>
      <rowOff>551460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5311" y="65690"/>
          <a:ext cx="1209347" cy="485770"/>
        </a:xfrm>
        <a:prstGeom xmlns:a="http://schemas.openxmlformats.org/drawingml/2006/main" prst="round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..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../drawings/drawing8.xml" Id="rId1"/><Relationship Type="http://schemas.openxmlformats.org/officeDocument/2006/relationships/comments" Target="/xl/comments/comment2.xml" Id="comments"/><Relationship Type="http://schemas.openxmlformats.org/officeDocument/2006/relationships/vmlDrawing" Target="../drawings/commentsDrawing2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zoomScale="25" zoomScaleNormal="25" workbookViewId="0">
      <selection activeCell="L77" sqref="L77:M77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 t="n"/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7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 t="n"/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57" t="n"/>
      <c r="M6" s="326" t="n"/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 t="n"/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 t="n"/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58" t="n"/>
      <c r="M7" s="534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 t="n"/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535" t="n"/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537" t="n"/>
      <c r="M8" s="534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 t="n"/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 t="n"/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537" t="n"/>
      <c r="M9" s="534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9" t="n"/>
      <c r="C10" s="3" t="n"/>
      <c r="D10" s="274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 t="n"/>
      <c r="M10" s="7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59" t="n"/>
      <c r="M11" s="7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1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145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145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145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145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2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30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145" t="n"/>
      <c r="N22" s="145">
        <f>IF(M22="","",M22-L22)</f>
        <v/>
      </c>
      <c r="O22" s="145">
        <f>IF(M22="","",((L22+M22)/2))</f>
        <v/>
      </c>
      <c r="P22" s="16" t="n"/>
      <c r="Q22" s="148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145" t="n"/>
      <c r="N23" s="145">
        <f>IF(M23="","",M23-L23)</f>
        <v/>
      </c>
      <c r="O23" s="145">
        <f>IF(M23="","",((L23+M23)/2))</f>
        <v/>
      </c>
      <c r="P23" s="16" t="n"/>
      <c r="Q23" s="148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145" t="n"/>
      <c r="N24" s="145">
        <f>IF(M24="","",M24-L24)</f>
        <v/>
      </c>
      <c r="O24" s="145">
        <f>IF(M24="","",((L24+M24)/2))</f>
        <v/>
      </c>
      <c r="P24" s="16" t="n"/>
      <c r="Q24" s="148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145" t="n"/>
      <c r="N25" s="145">
        <f>IF(M25="","",M25-L25)</f>
        <v/>
      </c>
      <c r="O25" s="145">
        <f>IF(M25="","",((L25+M25)/2))</f>
        <v/>
      </c>
      <c r="P25" s="16" t="n"/>
      <c r="Q25" s="148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49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3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30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145" t="n"/>
      <c r="N28" s="145">
        <f>IF(M28="","",M28-L28)</f>
        <v/>
      </c>
      <c r="O28" s="145">
        <f>IF(M28="","",((L28+M28)/2))</f>
        <v/>
      </c>
      <c r="P28" s="16" t="n"/>
      <c r="Q28" s="148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145" t="n"/>
      <c r="N29" s="145">
        <f>IF(M29="","",M29-L29)</f>
        <v/>
      </c>
      <c r="O29" s="145">
        <f>IF(M29="","",((L29+M29)/2))</f>
        <v/>
      </c>
      <c r="P29" s="16" t="n"/>
      <c r="Q29" s="148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145" t="n"/>
      <c r="N30" s="145">
        <f>IF(M30="","",M30-L30)</f>
        <v/>
      </c>
      <c r="O30" s="145">
        <f>IF(M30="","",((L30+M30)/2))</f>
        <v/>
      </c>
      <c r="P30" s="16" t="n"/>
      <c r="Q30" s="148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145" t="n"/>
      <c r="N31" s="145">
        <f>IF(M31="","",M31-L31)</f>
        <v/>
      </c>
      <c r="O31" s="145">
        <f>IF(M31="","",((L31+M31)/2))</f>
        <v/>
      </c>
      <c r="P31" s="16" t="n"/>
      <c r="Q31" s="148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49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4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30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145" t="n"/>
      <c r="N34" s="145">
        <f>IF(M34="","",M34-L34)</f>
        <v/>
      </c>
      <c r="O34" s="145">
        <f>IF(M34="","",((L34+M34)/2))</f>
        <v/>
      </c>
      <c r="P34" s="16" t="n"/>
      <c r="Q34" s="148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145" t="n"/>
      <c r="N35" s="145">
        <f>IF(M35="","",M35-L35)</f>
        <v/>
      </c>
      <c r="O35" s="145">
        <f>IF(M35="","",((L35+M35)/2))</f>
        <v/>
      </c>
      <c r="P35" s="16" t="n"/>
      <c r="Q35" s="148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145" t="n"/>
      <c r="N36" s="145">
        <f>IF(M36="","",M36-L36)</f>
        <v/>
      </c>
      <c r="O36" s="145">
        <f>IF(M36="","",((L36+M36)/2))</f>
        <v/>
      </c>
      <c r="P36" s="16" t="n"/>
      <c r="Q36" s="148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145" t="n"/>
      <c r="N37" s="145">
        <f>IF(M37="","",M37-L37)</f>
        <v/>
      </c>
      <c r="O37" s="145">
        <f>IF(M37="","",((L37+M37)/2))</f>
        <v/>
      </c>
      <c r="P37" s="16" t="n"/>
      <c r="Q37" s="148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49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5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30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145" t="n"/>
      <c r="N40" s="145">
        <f>IF(M40="","",M40-L40)</f>
        <v/>
      </c>
      <c r="O40" s="145">
        <f>IF(M40="","",((L40+M40)/2))</f>
        <v/>
      </c>
      <c r="P40" s="16" t="n"/>
      <c r="Q40" s="148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145" t="n"/>
      <c r="N41" s="145">
        <f>IF(M41="","",M41-L41)</f>
        <v/>
      </c>
      <c r="O41" s="145">
        <f>IF(M41="","",((L41+M41)/2))</f>
        <v/>
      </c>
      <c r="P41" s="16" t="n"/>
      <c r="Q41" s="148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145" t="n"/>
      <c r="N42" s="145">
        <f>IF(M42="","",M42-L42)</f>
        <v/>
      </c>
      <c r="O42" s="145">
        <f>IF(M42="","",((L42+M42)/2))</f>
        <v/>
      </c>
      <c r="P42" s="16" t="n"/>
      <c r="Q42" s="148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145" t="n"/>
      <c r="N43" s="145">
        <f>IF(M43="","",M43-L43)</f>
        <v/>
      </c>
      <c r="O43" s="145">
        <f>IF(M43="","",((L43+M43)/2))</f>
        <v/>
      </c>
      <c r="P43" s="16" t="n"/>
      <c r="Q43" s="148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49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6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30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145" t="n"/>
      <c r="N46" s="145">
        <f>IF(M46="","",M46-L46)</f>
        <v/>
      </c>
      <c r="O46" s="145">
        <f>IF(M46="","",((L46+M46)/2))</f>
        <v/>
      </c>
      <c r="P46" s="16" t="n"/>
      <c r="Q46" s="148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145" t="n"/>
      <c r="N47" s="145">
        <f>IF(M47="","",M47-L47)</f>
        <v/>
      </c>
      <c r="O47" s="145">
        <f>IF(M47="","",((L47+M47)/2))</f>
        <v/>
      </c>
      <c r="P47" s="16" t="n"/>
      <c r="Q47" s="148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145" t="n"/>
      <c r="N48" s="145">
        <f>IF(M48="","",M48-L48)</f>
        <v/>
      </c>
      <c r="O48" s="145">
        <f>IF(M48="","",((L48+M48)/2))</f>
        <v/>
      </c>
      <c r="P48" s="16" t="n"/>
      <c r="Q48" s="148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145" t="n"/>
      <c r="N49" s="145">
        <f>IF(M49="","",M49-L49)</f>
        <v/>
      </c>
      <c r="O49" s="145">
        <f>IF(M49="","",((L49+M49)/2))</f>
        <v/>
      </c>
      <c r="P49" s="16" t="n"/>
      <c r="Q49" s="148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49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7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30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145" t="n"/>
      <c r="N52" s="145">
        <f>IF(M52="","",M52-L52)</f>
        <v/>
      </c>
      <c r="O52" s="145">
        <f>IF(M52="","",((L52+M52)/2))</f>
        <v/>
      </c>
      <c r="P52" s="16" t="n"/>
      <c r="Q52" s="148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145" t="n"/>
      <c r="N53" s="145">
        <f>IF(M53="","",M53-L53)</f>
        <v/>
      </c>
      <c r="O53" s="145">
        <f>IF(M53="","",((L53+M53)/2))</f>
        <v/>
      </c>
      <c r="P53" s="16" t="n"/>
      <c r="Q53" s="148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145" t="n"/>
      <c r="N54" s="145">
        <f>IF(M54="","",M54-L54)</f>
        <v/>
      </c>
      <c r="O54" s="145">
        <f>IF(M54="","",((L54+M54)/2))</f>
        <v/>
      </c>
      <c r="P54" s="16" t="n"/>
      <c r="Q54" s="148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145" t="n"/>
      <c r="N55" s="145">
        <f>IF(M55="","",M55-L55)</f>
        <v/>
      </c>
      <c r="O55" s="145">
        <f>IF(M55="","",((L55+M55)/2))</f>
        <v/>
      </c>
      <c r="P55" s="16" t="n"/>
      <c r="Q55" s="148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49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5" t="n">
        <v>8</v>
      </c>
      <c r="C57" s="335" t="n"/>
      <c r="D57" s="541" t="n"/>
      <c r="E57" s="335" t="n"/>
      <c r="F57" s="124" t="n"/>
      <c r="G57" s="124" t="n"/>
      <c r="H57" s="124" t="n"/>
      <c r="I57" s="124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30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145" t="n"/>
      <c r="N58" s="145">
        <f>IF(M58="","",M58-L58)</f>
        <v/>
      </c>
      <c r="O58" s="145">
        <f>IF(M58="","",((L58+M58)/2))</f>
        <v/>
      </c>
      <c r="P58" s="16" t="n"/>
      <c r="Q58" s="148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145" t="n"/>
      <c r="N59" s="145">
        <f>IF(M59="","",M59-L59)</f>
        <v/>
      </c>
      <c r="O59" s="145">
        <f>IF(M59="","",((L59+M59)/2))</f>
        <v/>
      </c>
      <c r="P59" s="16" t="n"/>
      <c r="Q59" s="148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145" t="n"/>
      <c r="N60" s="145">
        <f>IF(M60="","",M60-L60)</f>
        <v/>
      </c>
      <c r="O60" s="145">
        <f>IF(M60="","",((L60+M60)/2))</f>
        <v/>
      </c>
      <c r="P60" s="16" t="n"/>
      <c r="Q60" s="148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145" t="n"/>
      <c r="N61" s="145">
        <f>IF(M61="","",M61-L61)</f>
        <v/>
      </c>
      <c r="O61" s="145">
        <f>IF(M61="","",((L61+M61)/2))</f>
        <v/>
      </c>
      <c r="P61" s="16" t="n"/>
      <c r="Q61" s="148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4" t="n"/>
      <c r="C62" s="544" t="n"/>
      <c r="D62" s="545" t="n"/>
      <c r="E62" s="544" t="n"/>
      <c r="F62" s="544" t="n"/>
      <c r="G62" s="544" t="n"/>
      <c r="H62" s="544" t="n"/>
      <c r="I62" s="544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49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35" t="inlineStr">
        <is>
          <t>A</t>
        </is>
      </c>
      <c r="C63" s="335" t="inlineStr">
        <is>
          <t>RHS PANEL (OVERVIEW)</t>
        </is>
      </c>
      <c r="D63" s="546" t="n"/>
      <c r="E63" s="546" t="n"/>
      <c r="F63" s="546" t="n"/>
      <c r="G63" s="546" t="n"/>
      <c r="H63" s="546" t="n"/>
      <c r="I63" s="546" t="n"/>
      <c r="J63" s="547" t="n"/>
      <c r="K63" s="335" t="inlineStr">
        <is>
          <t>FRONT</t>
        </is>
      </c>
      <c r="L63" s="129" t="n"/>
      <c r="M63" s="31" t="n"/>
      <c r="N63" s="31" t="n"/>
      <c r="O63" s="145">
        <f>IF(M63="","",((L63+M63)/2))</f>
        <v/>
      </c>
      <c r="P63" s="16" t="n"/>
      <c r="Q63" s="150" t="n"/>
      <c r="R63" s="17" t="n"/>
      <c r="S63" s="17" t="n"/>
      <c r="T63" s="17" t="n"/>
      <c r="U63" s="17" t="n"/>
      <c r="V63" s="160" t="n"/>
      <c r="W63" s="161" t="n"/>
    </row>
    <row r="64" ht="69.95" customHeight="1">
      <c r="A64" s="1" t="n"/>
      <c r="B64" s="542" t="n"/>
      <c r="C64" s="543" t="n"/>
      <c r="D64" s="548" t="n"/>
      <c r="E64" s="548" t="n"/>
      <c r="F64" s="548" t="n"/>
      <c r="G64" s="548" t="n"/>
      <c r="H64" s="548" t="n"/>
      <c r="I64" s="548" t="n"/>
      <c r="J64" s="549" t="n"/>
      <c r="K64" s="335" t="inlineStr">
        <is>
          <t>BACK</t>
        </is>
      </c>
      <c r="L64" s="129" t="n"/>
      <c r="M64" s="31" t="n"/>
      <c r="N64" s="31" t="n"/>
      <c r="O64" s="145">
        <f>IF(M64="","",((L64+M64)/2))</f>
        <v/>
      </c>
      <c r="P64" s="16" t="n"/>
      <c r="Q64" s="151" t="n"/>
      <c r="R64" s="17" t="n"/>
      <c r="S64" s="17" t="n"/>
      <c r="T64" s="17" t="n"/>
      <c r="U64" s="17" t="n"/>
      <c r="V64" s="156" t="n"/>
      <c r="W64" s="157" t="n"/>
    </row>
    <row r="65" ht="69.95" customHeight="1">
      <c r="A65" s="1" t="n"/>
      <c r="B65" s="542" t="n"/>
      <c r="C65" s="543" t="n"/>
      <c r="D65" s="548" t="n"/>
      <c r="E65" s="548" t="n"/>
      <c r="F65" s="548" t="n"/>
      <c r="G65" s="548" t="n"/>
      <c r="H65" s="548" t="n"/>
      <c r="I65" s="548" t="n"/>
      <c r="J65" s="549" t="n"/>
      <c r="K65" s="335" t="inlineStr">
        <is>
          <t>TOP</t>
        </is>
      </c>
      <c r="L65" s="129" t="n"/>
      <c r="M65" s="31" t="n"/>
      <c r="N65" s="31" t="n"/>
      <c r="O65" s="145">
        <f>IF(M65="","",((L65+M65)/2))</f>
        <v/>
      </c>
      <c r="P65" s="16" t="n"/>
      <c r="Q65" s="151" t="n"/>
      <c r="R65" s="17" t="n"/>
      <c r="S65" s="17" t="n"/>
      <c r="T65" s="17" t="n"/>
      <c r="U65" s="17" t="n"/>
      <c r="V65" s="156" t="n"/>
      <c r="W65" s="157" t="n"/>
    </row>
    <row r="66" ht="69.95" customHeight="1">
      <c r="A66" s="1" t="n"/>
      <c r="B66" s="542" t="n"/>
      <c r="C66" s="543" t="n"/>
      <c r="D66" s="548" t="n"/>
      <c r="E66" s="548" t="n"/>
      <c r="F66" s="548" t="n"/>
      <c r="G66" s="548" t="n"/>
      <c r="H66" s="548" t="n"/>
      <c r="I66" s="548" t="n"/>
      <c r="J66" s="549" t="n"/>
      <c r="K66" s="335" t="inlineStr">
        <is>
          <t>CABLE CELLAR</t>
        </is>
      </c>
      <c r="L66" s="129" t="n"/>
      <c r="M66" s="31" t="n"/>
      <c r="N66" s="31" t="n"/>
      <c r="O66" s="145">
        <f>IF(M66="","",((L66+M66)/2))</f>
        <v/>
      </c>
      <c r="P66" s="16" t="n"/>
      <c r="Q66" s="151" t="n"/>
      <c r="R66" s="17" t="n"/>
      <c r="S66" s="17" t="n"/>
      <c r="T66" s="17" t="n"/>
      <c r="U66" s="17" t="n"/>
      <c r="V66" s="156" t="n"/>
      <c r="W66" s="157" t="n"/>
    </row>
    <row r="67" ht="69.95" customHeight="1">
      <c r="A67" s="1" t="n"/>
      <c r="B67" s="542" t="n"/>
      <c r="C67" s="543" t="n"/>
      <c r="D67" s="548" t="n"/>
      <c r="E67" s="548" t="n"/>
      <c r="F67" s="548" t="n"/>
      <c r="G67" s="548" t="n"/>
      <c r="H67" s="548" t="n"/>
      <c r="I67" s="548" t="n"/>
      <c r="J67" s="549" t="n"/>
      <c r="K67" s="335" t="inlineStr">
        <is>
          <t>MBB</t>
        </is>
      </c>
      <c r="L67" s="145" t="n"/>
      <c r="M67" s="145" t="n"/>
      <c r="N67" s="145">
        <f>IF(M67="","",M67-L67)</f>
        <v/>
      </c>
      <c r="O67" s="145">
        <f>IF(M67="","",((L67+M67)/2))</f>
        <v/>
      </c>
      <c r="P67" s="16" t="n"/>
      <c r="Q67" s="151" t="n"/>
      <c r="R67" s="17" t="n"/>
      <c r="S67" s="17" t="n"/>
      <c r="T67" s="17" t="n"/>
      <c r="U67" s="17" t="n"/>
      <c r="V67" s="156" t="n"/>
      <c r="W67" s="157" t="n"/>
    </row>
    <row r="68" ht="69.95" customHeight="1">
      <c r="A68" s="1" t="n"/>
      <c r="B68" s="544" t="n"/>
      <c r="C68" s="545" t="n"/>
      <c r="D68" s="550" t="n"/>
      <c r="E68" s="550" t="n"/>
      <c r="F68" s="550" t="n"/>
      <c r="G68" s="550" t="n"/>
      <c r="H68" s="550" t="n"/>
      <c r="I68" s="550" t="n"/>
      <c r="J68" s="551" t="n"/>
      <c r="K68" s="335" t="inlineStr">
        <is>
          <t>RBB</t>
        </is>
      </c>
      <c r="L68" s="145" t="n"/>
      <c r="M68" s="145" t="n"/>
      <c r="N68" s="145">
        <f>IF(M68="","",M68-L68)</f>
        <v/>
      </c>
      <c r="O68" s="145">
        <f>IF(M68="","",((L68+M68)/2))</f>
        <v/>
      </c>
      <c r="P68" s="16" t="n"/>
      <c r="Q68" s="152" t="n"/>
      <c r="R68" s="17" t="n"/>
      <c r="S68" s="17" t="n"/>
      <c r="T68" s="17" t="n"/>
      <c r="U68" s="17" t="n"/>
      <c r="V68" s="158" t="n"/>
      <c r="W68" s="159" t="n"/>
    </row>
    <row r="69" ht="69.95" customHeight="1">
      <c r="A69" s="1" t="n"/>
      <c r="B69" s="335" t="inlineStr">
        <is>
          <t>B</t>
        </is>
      </c>
      <c r="C69" s="335" t="inlineStr">
        <is>
          <t>LHS PANEL (OVERVIEW)</t>
        </is>
      </c>
      <c r="D69" s="546" t="n"/>
      <c r="E69" s="546" t="n"/>
      <c r="F69" s="546" t="n"/>
      <c r="G69" s="546" t="n"/>
      <c r="H69" s="546" t="n"/>
      <c r="I69" s="546" t="n"/>
      <c r="J69" s="547" t="n"/>
      <c r="K69" s="335" t="inlineStr">
        <is>
          <t>FRONT</t>
        </is>
      </c>
      <c r="L69" s="129" t="n"/>
      <c r="M69" s="31" t="n"/>
      <c r="N69" s="31" t="n"/>
      <c r="O69" s="145">
        <f>IF(M69="","",((L69+M69)/2))</f>
        <v/>
      </c>
      <c r="P69" s="16" t="n"/>
      <c r="Q69" s="150" t="n"/>
      <c r="R69" s="17" t="n"/>
      <c r="S69" s="17" t="n"/>
      <c r="T69" s="17" t="n"/>
      <c r="U69" s="17" t="n"/>
      <c r="V69" s="160" t="n"/>
      <c r="W69" s="161" t="n"/>
    </row>
    <row r="70" ht="69.95" customHeight="1">
      <c r="A70" s="1" t="n"/>
      <c r="B70" s="542" t="n"/>
      <c r="C70" s="543" t="n"/>
      <c r="D70" s="548" t="n"/>
      <c r="E70" s="548" t="n"/>
      <c r="F70" s="548" t="n"/>
      <c r="G70" s="548" t="n"/>
      <c r="H70" s="548" t="n"/>
      <c r="I70" s="548" t="n"/>
      <c r="J70" s="549" t="n"/>
      <c r="K70" s="335" t="inlineStr">
        <is>
          <t>BACK</t>
        </is>
      </c>
      <c r="L70" s="129" t="n"/>
      <c r="M70" s="31" t="n"/>
      <c r="N70" s="31" t="n"/>
      <c r="O70" s="145">
        <f>IF(M70="","",((L70+M70)/2))</f>
        <v/>
      </c>
      <c r="P70" s="16" t="n"/>
      <c r="Q70" s="151" t="n"/>
      <c r="R70" s="17" t="n"/>
      <c r="S70" s="17" t="n"/>
      <c r="T70" s="17" t="n"/>
      <c r="U70" s="17" t="n"/>
      <c r="V70" s="156" t="n"/>
      <c r="W70" s="157" t="n"/>
    </row>
    <row r="71" ht="69.95" customHeight="1">
      <c r="A71" s="1" t="n"/>
      <c r="B71" s="542" t="n"/>
      <c r="C71" s="543" t="n"/>
      <c r="D71" s="548" t="n"/>
      <c r="E71" s="548" t="n"/>
      <c r="F71" s="548" t="n"/>
      <c r="G71" s="548" t="n"/>
      <c r="H71" s="548" t="n"/>
      <c r="I71" s="548" t="n"/>
      <c r="J71" s="549" t="n"/>
      <c r="K71" s="335" t="inlineStr">
        <is>
          <t>TOP</t>
        </is>
      </c>
      <c r="L71" s="129" t="n"/>
      <c r="M71" s="31" t="n"/>
      <c r="N71" s="31" t="n"/>
      <c r="O71" s="145">
        <f>IF(M71="","",((L71+M71)/2))</f>
        <v/>
      </c>
      <c r="P71" s="16" t="n"/>
      <c r="Q71" s="151" t="n"/>
      <c r="R71" s="17" t="n"/>
      <c r="S71" s="17" t="n"/>
      <c r="T71" s="17" t="n"/>
      <c r="U71" s="17" t="n"/>
      <c r="V71" s="156" t="n"/>
      <c r="W71" s="157" t="n"/>
    </row>
    <row r="72" ht="69.95" customHeight="1">
      <c r="A72" s="1" t="n"/>
      <c r="B72" s="542" t="n"/>
      <c r="C72" s="543" t="n"/>
      <c r="D72" s="548" t="n"/>
      <c r="E72" s="548" t="n"/>
      <c r="F72" s="548" t="n"/>
      <c r="G72" s="548" t="n"/>
      <c r="H72" s="548" t="n"/>
      <c r="I72" s="548" t="n"/>
      <c r="J72" s="549" t="n"/>
      <c r="K72" s="335" t="inlineStr">
        <is>
          <t>CABLE CELLAR</t>
        </is>
      </c>
      <c r="L72" s="129" t="n"/>
      <c r="M72" s="31" t="n"/>
      <c r="N72" s="31" t="n"/>
      <c r="O72" s="145">
        <f>IF(M72="","",((L72+M72)/2))</f>
        <v/>
      </c>
      <c r="P72" s="16" t="n"/>
      <c r="Q72" s="151" t="n"/>
      <c r="R72" s="17" t="n"/>
      <c r="S72" s="17" t="n"/>
      <c r="T72" s="17" t="n"/>
      <c r="U72" s="17" t="n"/>
      <c r="V72" s="156" t="n"/>
      <c r="W72" s="157" t="n"/>
    </row>
    <row r="73" ht="69.95" customHeight="1">
      <c r="A73" s="1" t="n"/>
      <c r="B73" s="542" t="n"/>
      <c r="C73" s="543" t="n"/>
      <c r="D73" s="548" t="n"/>
      <c r="E73" s="548" t="n"/>
      <c r="F73" s="548" t="n"/>
      <c r="G73" s="548" t="n"/>
      <c r="H73" s="548" t="n"/>
      <c r="I73" s="548" t="n"/>
      <c r="J73" s="549" t="n"/>
      <c r="K73" s="335" t="inlineStr">
        <is>
          <t>MBB</t>
        </is>
      </c>
      <c r="L73" s="145" t="n"/>
      <c r="M73" s="145" t="n"/>
      <c r="N73" s="145">
        <f>IF(M73="","",M73-L73)</f>
        <v/>
      </c>
      <c r="O73" s="145">
        <f>IF(M73="","",((L73+M73)/2))</f>
        <v/>
      </c>
      <c r="P73" s="16" t="n"/>
      <c r="Q73" s="151" t="n"/>
      <c r="R73" s="17" t="n"/>
      <c r="S73" s="17" t="n"/>
      <c r="T73" s="17" t="n"/>
      <c r="U73" s="17" t="n"/>
      <c r="V73" s="156" t="n"/>
      <c r="W73" s="157" t="n"/>
    </row>
    <row r="74" ht="69.95" customHeight="1">
      <c r="A74" s="1" t="n"/>
      <c r="B74" s="544" t="n"/>
      <c r="C74" s="545" t="n"/>
      <c r="D74" s="550" t="n"/>
      <c r="E74" s="550" t="n"/>
      <c r="F74" s="550" t="n"/>
      <c r="G74" s="550" t="n"/>
      <c r="H74" s="550" t="n"/>
      <c r="I74" s="550" t="n"/>
      <c r="J74" s="551" t="n"/>
      <c r="K74" s="335" t="inlineStr">
        <is>
          <t>RBB</t>
        </is>
      </c>
      <c r="L74" s="145" t="n"/>
      <c r="M74" s="145" t="n"/>
      <c r="N74" s="145">
        <f>IF(M74="","",M74-L74)</f>
        <v/>
      </c>
      <c r="O74" s="145">
        <f>IF(M74="","",((L74+M74)/2))</f>
        <v/>
      </c>
      <c r="P74" s="16" t="n"/>
      <c r="Q74" s="152" t="n"/>
      <c r="R74" s="17" t="n"/>
      <c r="S74" s="17" t="n"/>
      <c r="T74" s="17" t="n"/>
      <c r="U74" s="17" t="n"/>
      <c r="V74" s="158" t="n"/>
      <c r="W74" s="159" t="n"/>
    </row>
    <row r="75" ht="69.95" customHeight="1">
      <c r="A75" s="1" t="n"/>
      <c r="B75" s="342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133" t="n"/>
      <c r="M75" s="134" t="n"/>
      <c r="N75" s="134" t="n"/>
      <c r="O75" s="337" t="n"/>
      <c r="P75" s="19" t="n"/>
      <c r="Q75" s="44" t="n"/>
      <c r="R75" s="20" t="n"/>
      <c r="S75" s="20" t="n"/>
      <c r="T75" s="20" t="n"/>
      <c r="U75" s="20" t="n"/>
      <c r="V75" s="337" t="n"/>
      <c r="W75" s="127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552">
        <f>D8</f>
        <v/>
      </c>
      <c r="F79" s="550" t="n"/>
      <c r="G79" s="61" t="n"/>
      <c r="H79" s="50" t="n"/>
      <c r="I79" s="324" t="inlineStr">
        <is>
          <t>Date:</t>
        </is>
      </c>
      <c r="K79" s="1" t="n"/>
      <c r="L79" s="553">
        <f>D8</f>
        <v/>
      </c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6">
    <mergeCell ref="F57:F62"/>
    <mergeCell ref="V2:W2"/>
    <mergeCell ref="E21:E26"/>
    <mergeCell ref="G21:G26"/>
    <mergeCell ref="E39:E44"/>
    <mergeCell ref="I15:I20"/>
    <mergeCell ref="C79:D79"/>
    <mergeCell ref="E79:F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dataValidations count="8">
    <dataValidation sqref="E15:E62" showDropDown="0" showInputMessage="1" showErrorMessage="0" allowBlank="1" type="list">
      <formula1>"XLPE,PILC,N/A,NOT ACCESSIBLE"</formula1>
    </dataValidation>
    <dataValidation sqref="F15:F62" showDropDown="0" showInputMessage="1" showErrorMessage="0" allowBlank="1" type="list">
      <formula1>"SERVICE,TEST,RACK OUT,N/A"</formula1>
    </dataValidation>
    <dataValidation sqref="G15:G62" showDropDown="0" showInputMessage="1" showErrorMessage="0" allowBlank="1" type="list">
      <formula1>"CLOSE,TRIP,N/A"</formula1>
    </dataValidation>
    <dataValidation sqref="H15:H62" showDropDown="0" showInputMessage="1" showErrorMessage="0" allowBlank="1" type="list">
      <formula1>"MAIN,RESERVE,N/A"</formula1>
    </dataValidation>
    <dataValidation sqref="W4" showDropDown="0" showInputMessage="1" showErrorMessage="1" allowBlank="1" type="list">
      <formula1>"NORMAL,DEFECT,MONITOR"</formula1>
    </dataValidation>
    <dataValidation sqref="L10" showDropDown="0" showInputMessage="1" showErrorMessage="0" allowBlank="1" type="list">
      <formula1>"SBB,DBB"</formula1>
    </dataValidation>
    <dataValidation sqref="L11" showDropDown="0" showInputMessage="1" showErrorMessage="0" allowBlank="1" type="list">
      <formula1>"36kV,12kV"</formula1>
    </dataValidation>
    <dataValidation sqref="M6" showDropDown="0" showInputMessage="1" showErrorMessage="0" allowBlank="1" type="list">
      <formula1>"GIS,VCB,AIS,GCB,RMU"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tabSelected="1" zoomScale="25" zoomScaleNormal="25" workbookViewId="0">
      <selection activeCell="D6" sqref="D6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 - Page Extra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>
        <f>'33kV (Main)'!V2</f>
        <v/>
      </c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'33kV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69">
        <f>'33kV (Main)'!L6</f>
        <v/>
      </c>
      <c r="M6" s="326">
        <f>'33kV (Main)'!M6</f>
        <v/>
      </c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>
        <f>'33kV (Main)'!U6</f>
        <v/>
      </c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'33kV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71">
        <f>'33kV (Main)'!L7</f>
        <v/>
      </c>
      <c r="M7" s="272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>
        <f>'33kV (Main)'!U7</f>
        <v/>
      </c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'33kV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271">
        <f>'33kV (Main)'!L8</f>
        <v/>
      </c>
      <c r="M8" s="272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>
        <f>'33kV (Main)'!U8</f>
        <v/>
      </c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'33kV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271">
        <f>'33kV (Main)'!L9</f>
        <v/>
      </c>
      <c r="M9" s="272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>
        <f>'33kV (Main)'!L10</f>
        <v/>
      </c>
      <c r="M10" s="270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63">
        <f>'33kV (Main)'!L11</f>
        <v/>
      </c>
      <c r="M11" s="270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9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23" t="n"/>
      <c r="M15" s="123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23" t="n"/>
      <c r="M16" s="124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23" t="n"/>
      <c r="M17" s="124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23" t="n"/>
      <c r="M18" s="124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23" t="n"/>
      <c r="M19" s="124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23" t="n"/>
      <c r="M20" s="123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10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23" t="n"/>
      <c r="M21" s="123" t="n"/>
      <c r="N21" s="145">
        <f>IF(M21="","",M21-L21)</f>
        <v/>
      </c>
      <c r="O21" s="145">
        <f>IF(M21="","",((L21+M21)/2))</f>
        <v/>
      </c>
      <c r="P21" s="16" t="n"/>
      <c r="Q21" s="153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23" t="n"/>
      <c r="M22" s="124" t="n"/>
      <c r="N22" s="145">
        <f>IF(M22="","",M22-L22)</f>
        <v/>
      </c>
      <c r="O22" s="145">
        <f>IF(M22="","",((L22+M22)/2))</f>
        <v/>
      </c>
      <c r="P22" s="16" t="n"/>
      <c r="Q22" s="154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23" t="n"/>
      <c r="M23" s="124" t="n"/>
      <c r="N23" s="145">
        <f>IF(M23="","",M23-L23)</f>
        <v/>
      </c>
      <c r="O23" s="145">
        <f>IF(M23="","",((L23+M23)/2))</f>
        <v/>
      </c>
      <c r="P23" s="16" t="n"/>
      <c r="Q23" s="154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23" t="n"/>
      <c r="M24" s="124" t="n"/>
      <c r="N24" s="145">
        <f>IF(M24="","",M24-L24)</f>
        <v/>
      </c>
      <c r="O24" s="145">
        <f>IF(M24="","",((L24+M24)/2))</f>
        <v/>
      </c>
      <c r="P24" s="16" t="n"/>
      <c r="Q24" s="154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23" t="n"/>
      <c r="M25" s="124" t="n"/>
      <c r="N25" s="145">
        <f>IF(M25="","",M25-L25)</f>
        <v/>
      </c>
      <c r="O25" s="145">
        <f>IF(M25="","",((L25+M25)/2))</f>
        <v/>
      </c>
      <c r="P25" s="16" t="n"/>
      <c r="Q25" s="154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23" t="n"/>
      <c r="M26" s="123" t="n"/>
      <c r="N26" s="145">
        <f>IF(M26="","",M26-L26)</f>
        <v/>
      </c>
      <c r="O26" s="145">
        <f>IF(M26="","",((L26+M26)/2))</f>
        <v/>
      </c>
      <c r="P26" s="16" t="n"/>
      <c r="Q26" s="155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11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23" t="n"/>
      <c r="M27" s="123" t="n"/>
      <c r="N27" s="145">
        <f>IF(M27="","",M27-L27)</f>
        <v/>
      </c>
      <c r="O27" s="145">
        <f>IF(M27="","",((L27+M27)/2))</f>
        <v/>
      </c>
      <c r="P27" s="16" t="n"/>
      <c r="Q27" s="153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23" t="n"/>
      <c r="M28" s="124" t="n"/>
      <c r="N28" s="145">
        <f>IF(M28="","",M28-L28)</f>
        <v/>
      </c>
      <c r="O28" s="145">
        <f>IF(M28="","",((L28+M28)/2))</f>
        <v/>
      </c>
      <c r="P28" s="16" t="n"/>
      <c r="Q28" s="154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23" t="n"/>
      <c r="M29" s="124" t="n"/>
      <c r="N29" s="145">
        <f>IF(M29="","",M29-L29)</f>
        <v/>
      </c>
      <c r="O29" s="145">
        <f>IF(M29="","",((L29+M29)/2))</f>
        <v/>
      </c>
      <c r="P29" s="16" t="n"/>
      <c r="Q29" s="154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23" t="n"/>
      <c r="M30" s="124" t="n"/>
      <c r="N30" s="145">
        <f>IF(M30="","",M30-L30)</f>
        <v/>
      </c>
      <c r="O30" s="145">
        <f>IF(M30="","",((L30+M30)/2))</f>
        <v/>
      </c>
      <c r="P30" s="16" t="n"/>
      <c r="Q30" s="154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23" t="n"/>
      <c r="M31" s="124" t="n"/>
      <c r="N31" s="145">
        <f>IF(M31="","",M31-L31)</f>
        <v/>
      </c>
      <c r="O31" s="145">
        <f>IF(M31="","",((L31+M31)/2))</f>
        <v/>
      </c>
      <c r="P31" s="16" t="n"/>
      <c r="Q31" s="154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23" t="n"/>
      <c r="M32" s="123" t="n"/>
      <c r="N32" s="145">
        <f>IF(M32="","",M32-L32)</f>
        <v/>
      </c>
      <c r="O32" s="145">
        <f>IF(M32="","",((L32+M32)/2))</f>
        <v/>
      </c>
      <c r="P32" s="16" t="n"/>
      <c r="Q32" s="155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12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23" t="n"/>
      <c r="M33" s="123" t="n"/>
      <c r="N33" s="145">
        <f>IF(M33="","",M33-L33)</f>
        <v/>
      </c>
      <c r="O33" s="145">
        <f>IF(M33="","",((L33+M33)/2))</f>
        <v/>
      </c>
      <c r="P33" s="16" t="n"/>
      <c r="Q33" s="153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23" t="n"/>
      <c r="M34" s="124" t="n"/>
      <c r="N34" s="145">
        <f>IF(M34="","",M34-L34)</f>
        <v/>
      </c>
      <c r="O34" s="145">
        <f>IF(M34="","",((L34+M34)/2))</f>
        <v/>
      </c>
      <c r="P34" s="16" t="n"/>
      <c r="Q34" s="154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23" t="n"/>
      <c r="M35" s="124" t="n"/>
      <c r="N35" s="145">
        <f>IF(M35="","",M35-L35)</f>
        <v/>
      </c>
      <c r="O35" s="145">
        <f>IF(M35="","",((L35+M35)/2))</f>
        <v/>
      </c>
      <c r="P35" s="16" t="n"/>
      <c r="Q35" s="154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23" t="n"/>
      <c r="M36" s="124" t="n"/>
      <c r="N36" s="145">
        <f>IF(M36="","",M36-L36)</f>
        <v/>
      </c>
      <c r="O36" s="145">
        <f>IF(M36="","",((L36+M36)/2))</f>
        <v/>
      </c>
      <c r="P36" s="16" t="n"/>
      <c r="Q36" s="154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23" t="n"/>
      <c r="M37" s="124" t="n"/>
      <c r="N37" s="145">
        <f>IF(M37="","",M37-L37)</f>
        <v/>
      </c>
      <c r="O37" s="145">
        <f>IF(M37="","",((L37+M37)/2))</f>
        <v/>
      </c>
      <c r="P37" s="16" t="n"/>
      <c r="Q37" s="154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23" t="n"/>
      <c r="M38" s="123" t="n"/>
      <c r="N38" s="145">
        <f>IF(M38="","",M38-L38)</f>
        <v/>
      </c>
      <c r="O38" s="145">
        <f>IF(M38="","",((L38+M38)/2))</f>
        <v/>
      </c>
      <c r="P38" s="16" t="n"/>
      <c r="Q38" s="155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13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23" t="n"/>
      <c r="M39" s="123" t="n"/>
      <c r="N39" s="145">
        <f>IF(M39="","",M39-L39)</f>
        <v/>
      </c>
      <c r="O39" s="145">
        <f>IF(M39="","",((L39+M39)/2))</f>
        <v/>
      </c>
      <c r="P39" s="16" t="n"/>
      <c r="Q39" s="153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23" t="n"/>
      <c r="M40" s="124" t="n"/>
      <c r="N40" s="145">
        <f>IF(M40="","",M40-L40)</f>
        <v/>
      </c>
      <c r="O40" s="145">
        <f>IF(M40="","",((L40+M40)/2))</f>
        <v/>
      </c>
      <c r="P40" s="16" t="n"/>
      <c r="Q40" s="154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23" t="n"/>
      <c r="M41" s="124" t="n"/>
      <c r="N41" s="145">
        <f>IF(M41="","",M41-L41)</f>
        <v/>
      </c>
      <c r="O41" s="145">
        <f>IF(M41="","",((L41+M41)/2))</f>
        <v/>
      </c>
      <c r="P41" s="16" t="n"/>
      <c r="Q41" s="154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23" t="n"/>
      <c r="M42" s="124" t="n"/>
      <c r="N42" s="145">
        <f>IF(M42="","",M42-L42)</f>
        <v/>
      </c>
      <c r="O42" s="145">
        <f>IF(M42="","",((L42+M42)/2))</f>
        <v/>
      </c>
      <c r="P42" s="16" t="n"/>
      <c r="Q42" s="154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23" t="n"/>
      <c r="M43" s="124" t="n"/>
      <c r="N43" s="145">
        <f>IF(M43="","",M43-L43)</f>
        <v/>
      </c>
      <c r="O43" s="145">
        <f>IF(M43="","",((L43+M43)/2))</f>
        <v/>
      </c>
      <c r="P43" s="16" t="n"/>
      <c r="Q43" s="154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23" t="n"/>
      <c r="M44" s="123" t="n"/>
      <c r="N44" s="145">
        <f>IF(M44="","",M44-L44)</f>
        <v/>
      </c>
      <c r="O44" s="145">
        <f>IF(M44="","",((L44+M44)/2))</f>
        <v/>
      </c>
      <c r="P44" s="16" t="n"/>
      <c r="Q44" s="155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14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23" t="n"/>
      <c r="M45" s="123" t="n"/>
      <c r="N45" s="145">
        <f>IF(M45="","",M45-L45)</f>
        <v/>
      </c>
      <c r="O45" s="145">
        <f>IF(M45="","",((L45+M45)/2))</f>
        <v/>
      </c>
      <c r="P45" s="16" t="n"/>
      <c r="Q45" s="153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23" t="n"/>
      <c r="M46" s="124" t="n"/>
      <c r="N46" s="145">
        <f>IF(M46="","",M46-L46)</f>
        <v/>
      </c>
      <c r="O46" s="145">
        <f>IF(M46="","",((L46+M46)/2))</f>
        <v/>
      </c>
      <c r="P46" s="16" t="n"/>
      <c r="Q46" s="154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23" t="n"/>
      <c r="M47" s="124" t="n"/>
      <c r="N47" s="145">
        <f>IF(M47="","",M47-L47)</f>
        <v/>
      </c>
      <c r="O47" s="145">
        <f>IF(M47="","",((L47+M47)/2))</f>
        <v/>
      </c>
      <c r="P47" s="16" t="n"/>
      <c r="Q47" s="154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23" t="n"/>
      <c r="M48" s="124" t="n"/>
      <c r="N48" s="145">
        <f>IF(M48="","",M48-L48)</f>
        <v/>
      </c>
      <c r="O48" s="145">
        <f>IF(M48="","",((L48+M48)/2))</f>
        <v/>
      </c>
      <c r="P48" s="16" t="n"/>
      <c r="Q48" s="154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23" t="n"/>
      <c r="M49" s="124" t="n"/>
      <c r="N49" s="145">
        <f>IF(M49="","",M49-L49)</f>
        <v/>
      </c>
      <c r="O49" s="145">
        <f>IF(M49="","",((L49+M49)/2))</f>
        <v/>
      </c>
      <c r="P49" s="16" t="n"/>
      <c r="Q49" s="154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23" t="n"/>
      <c r="M50" s="123" t="n"/>
      <c r="N50" s="145">
        <f>IF(M50="","",M50-L50)</f>
        <v/>
      </c>
      <c r="O50" s="145">
        <f>IF(M50="","",((L50+M50)/2))</f>
        <v/>
      </c>
      <c r="P50" s="16" t="n"/>
      <c r="Q50" s="155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15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23" t="n"/>
      <c r="M51" s="123" t="n"/>
      <c r="N51" s="145">
        <f>IF(M51="","",M51-L51)</f>
        <v/>
      </c>
      <c r="O51" s="145">
        <f>IF(M51="","",((L51+M51)/2))</f>
        <v/>
      </c>
      <c r="P51" s="16" t="n"/>
      <c r="Q51" s="153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23" t="n"/>
      <c r="M52" s="124" t="n"/>
      <c r="N52" s="145">
        <f>IF(M52="","",M52-L52)</f>
        <v/>
      </c>
      <c r="O52" s="145">
        <f>IF(M52="","",((L52+M52)/2))</f>
        <v/>
      </c>
      <c r="P52" s="16" t="n"/>
      <c r="Q52" s="154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23" t="n"/>
      <c r="M53" s="124" t="n"/>
      <c r="N53" s="145">
        <f>IF(M53="","",M53-L53)</f>
        <v/>
      </c>
      <c r="O53" s="145">
        <f>IF(M53="","",((L53+M53)/2))</f>
        <v/>
      </c>
      <c r="P53" s="16" t="n"/>
      <c r="Q53" s="154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23" t="n"/>
      <c r="M54" s="124" t="n"/>
      <c r="N54" s="145">
        <f>IF(M54="","",M54-L54)</f>
        <v/>
      </c>
      <c r="O54" s="145">
        <f>IF(M54="","",((L54+M54)/2))</f>
        <v/>
      </c>
      <c r="P54" s="16" t="n"/>
      <c r="Q54" s="154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23" t="n"/>
      <c r="M55" s="124" t="n"/>
      <c r="N55" s="145">
        <f>IF(M55="","",M55-L55)</f>
        <v/>
      </c>
      <c r="O55" s="145">
        <f>IF(M55="","",((L55+M55)/2))</f>
        <v/>
      </c>
      <c r="P55" s="16" t="n"/>
      <c r="Q55" s="154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23" t="n"/>
      <c r="M56" s="123" t="n"/>
      <c r="N56" s="145">
        <f>IF(M56="","",M56-L56)</f>
        <v/>
      </c>
      <c r="O56" s="145">
        <f>IF(M56="","",((L56+M56)/2))</f>
        <v/>
      </c>
      <c r="P56" s="16" t="n"/>
      <c r="Q56" s="155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2" t="n">
        <v>16</v>
      </c>
      <c r="C57" s="332" t="n"/>
      <c r="D57" s="339" t="n"/>
      <c r="E57" s="335" t="n"/>
      <c r="F57" s="124" t="n"/>
      <c r="G57" s="124" t="n"/>
      <c r="H57" s="124" t="n"/>
      <c r="I57" s="348" t="n"/>
      <c r="J57" s="132" t="inlineStr">
        <is>
          <t>ON</t>
        </is>
      </c>
      <c r="K57" s="335" t="inlineStr">
        <is>
          <t>BREAKER</t>
        </is>
      </c>
      <c r="L57" s="123" t="n"/>
      <c r="M57" s="123" t="n"/>
      <c r="N57" s="145">
        <f>IF(M57="","",M57-L57)</f>
        <v/>
      </c>
      <c r="O57" s="145">
        <f>IF(M57="","",((L57+M57)/2))</f>
        <v/>
      </c>
      <c r="P57" s="16" t="n"/>
      <c r="Q57" s="153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23" t="n"/>
      <c r="M58" s="124" t="n"/>
      <c r="N58" s="145">
        <f>IF(M58="","",M58-L58)</f>
        <v/>
      </c>
      <c r="O58" s="145">
        <f>IF(M58="","",((L58+M58)/2))</f>
        <v/>
      </c>
      <c r="P58" s="16" t="n"/>
      <c r="Q58" s="154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23" t="n"/>
      <c r="M59" s="124" t="n"/>
      <c r="N59" s="145">
        <f>IF(M59="","",M59-L59)</f>
        <v/>
      </c>
      <c r="O59" s="145">
        <f>IF(M59="","",((L59+M59)/2))</f>
        <v/>
      </c>
      <c r="P59" s="16" t="n"/>
      <c r="Q59" s="154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23" t="n"/>
      <c r="M60" s="124" t="n"/>
      <c r="N60" s="145">
        <f>IF(M60="","",M60-L60)</f>
        <v/>
      </c>
      <c r="O60" s="145">
        <f>IF(M60="","",((L60+M60)/2))</f>
        <v/>
      </c>
      <c r="P60" s="16" t="n"/>
      <c r="Q60" s="154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23" t="n"/>
      <c r="M61" s="124" t="n"/>
      <c r="N61" s="145">
        <f>IF(M61="","",M61-L61)</f>
        <v/>
      </c>
      <c r="O61" s="145">
        <f>IF(M61="","",((L61+M61)/2))</f>
        <v/>
      </c>
      <c r="P61" s="16" t="n"/>
      <c r="Q61" s="154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2" t="n"/>
      <c r="C62" s="542" t="n"/>
      <c r="D62" s="543" t="n"/>
      <c r="E62" s="544" t="n"/>
      <c r="F62" s="544" t="n"/>
      <c r="G62" s="544" t="n"/>
      <c r="H62" s="544" t="n"/>
      <c r="I62" s="542" t="n"/>
      <c r="J62" s="43" t="n"/>
      <c r="K62" s="335" t="inlineStr">
        <is>
          <t>LINK BOX</t>
        </is>
      </c>
      <c r="L62" s="123" t="n"/>
      <c r="M62" s="123" t="n"/>
      <c r="N62" s="145">
        <f>IF(M62="","",M62-L62)</f>
        <v/>
      </c>
      <c r="O62" s="145">
        <f>IF(M62="","",((L62+M62)/2))</f>
        <v/>
      </c>
      <c r="P62" s="16" t="n"/>
      <c r="Q62" s="155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84" t="n"/>
      <c r="C63" s="382" t="n"/>
      <c r="D63" s="546" t="n"/>
      <c r="E63" s="546" t="n"/>
      <c r="F63" s="546" t="n"/>
      <c r="G63" s="546" t="n"/>
      <c r="H63" s="546" t="n"/>
      <c r="I63" s="546" t="n"/>
      <c r="J63" s="546" t="n"/>
      <c r="K63" s="382" t="n"/>
      <c r="L63" s="376" t="n"/>
      <c r="M63" s="382" t="n"/>
      <c r="N63" s="382" t="n"/>
      <c r="O63" s="382" t="n"/>
      <c r="P63" s="137" t="n"/>
      <c r="Q63" s="376" t="n"/>
      <c r="R63" s="138" t="n"/>
      <c r="S63" s="138" t="n"/>
      <c r="T63" s="138" t="n"/>
      <c r="U63" s="138" t="n"/>
      <c r="V63" s="383" t="n"/>
      <c r="W63" s="547" t="n"/>
    </row>
    <row r="64" ht="69.95" customHeight="1">
      <c r="A64" s="1" t="n"/>
      <c r="B64" s="543" t="n"/>
      <c r="C64" s="548" t="n"/>
      <c r="D64" s="548" t="n"/>
      <c r="E64" s="548" t="n"/>
      <c r="F64" s="548" t="n"/>
      <c r="G64" s="548" t="n"/>
      <c r="H64" s="548" t="n"/>
      <c r="I64" s="548" t="n"/>
      <c r="J64" s="548" t="n"/>
      <c r="K64" s="375" t="n"/>
      <c r="L64" s="377" t="n"/>
      <c r="M64" s="375" t="n"/>
      <c r="N64" s="375" t="n"/>
      <c r="O64" s="375" t="n"/>
      <c r="P64" s="141" t="n"/>
      <c r="R64" s="142" t="n"/>
      <c r="S64" s="142" t="n"/>
      <c r="T64" s="142" t="n"/>
      <c r="U64" s="142" t="n"/>
      <c r="V64" s="548" t="n"/>
      <c r="W64" s="549" t="n"/>
    </row>
    <row r="65" ht="69.95" customHeight="1">
      <c r="A65" s="1" t="n"/>
      <c r="B65" s="543" t="n"/>
      <c r="C65" s="548" t="n"/>
      <c r="D65" s="548" t="n"/>
      <c r="E65" s="548" t="n"/>
      <c r="F65" s="548" t="n"/>
      <c r="G65" s="548" t="n"/>
      <c r="H65" s="548" t="n"/>
      <c r="I65" s="548" t="n"/>
      <c r="J65" s="548" t="n"/>
      <c r="K65" s="375" t="n"/>
      <c r="L65" s="377" t="n"/>
      <c r="M65" s="375" t="n"/>
      <c r="N65" s="375" t="n"/>
      <c r="O65" s="375" t="n"/>
      <c r="P65" s="141" t="n"/>
      <c r="R65" s="142" t="n"/>
      <c r="S65" s="142" t="n"/>
      <c r="T65" s="142" t="n"/>
      <c r="U65" s="142" t="n"/>
      <c r="V65" s="548" t="n"/>
      <c r="W65" s="549" t="n"/>
    </row>
    <row r="66" ht="69.95" customHeight="1">
      <c r="A66" s="1" t="n"/>
      <c r="B66" s="543" t="n"/>
      <c r="C66" s="548" t="n"/>
      <c r="D66" s="548" t="n"/>
      <c r="E66" s="548" t="n"/>
      <c r="F66" s="548" t="n"/>
      <c r="G66" s="548" t="n"/>
      <c r="H66" s="548" t="n"/>
      <c r="I66" s="548" t="n"/>
      <c r="J66" s="548" t="n"/>
      <c r="K66" s="375" t="n"/>
      <c r="L66" s="377" t="n"/>
      <c r="M66" s="375" t="n"/>
      <c r="N66" s="375" t="n"/>
      <c r="O66" s="375" t="n"/>
      <c r="P66" s="141" t="n"/>
      <c r="R66" s="142" t="n"/>
      <c r="S66" s="142" t="n"/>
      <c r="T66" s="142" t="n"/>
      <c r="U66" s="142" t="n"/>
      <c r="V66" s="548" t="n"/>
      <c r="W66" s="549" t="n"/>
    </row>
    <row r="67" ht="69.95" customHeight="1">
      <c r="A67" s="1" t="n"/>
      <c r="B67" s="543" t="n"/>
      <c r="C67" s="548" t="n"/>
      <c r="D67" s="548" t="n"/>
      <c r="E67" s="548" t="n"/>
      <c r="F67" s="548" t="n"/>
      <c r="G67" s="548" t="n"/>
      <c r="H67" s="548" t="n"/>
      <c r="I67" s="548" t="n"/>
      <c r="J67" s="548" t="n"/>
      <c r="K67" s="375" t="n"/>
      <c r="L67" s="377" t="n"/>
      <c r="M67" s="375" t="n"/>
      <c r="N67" s="375" t="n"/>
      <c r="O67" s="375" t="n"/>
      <c r="P67" s="141" t="n"/>
      <c r="R67" s="142" t="n"/>
      <c r="S67" s="142" t="n"/>
      <c r="T67" s="142" t="n"/>
      <c r="U67" s="142" t="n"/>
      <c r="V67" s="548" t="n"/>
      <c r="W67" s="549" t="n"/>
    </row>
    <row r="68" ht="69.95" customHeight="1">
      <c r="A68" s="1" t="n"/>
      <c r="B68" s="543" t="n"/>
      <c r="C68" s="548" t="n"/>
      <c r="D68" s="548" t="n"/>
      <c r="E68" s="548" t="n"/>
      <c r="F68" s="548" t="n"/>
      <c r="G68" s="548" t="n"/>
      <c r="H68" s="548" t="n"/>
      <c r="I68" s="548" t="n"/>
      <c r="J68" s="548" t="n"/>
      <c r="K68" s="375" t="n"/>
      <c r="L68" s="377" t="n"/>
      <c r="M68" s="375" t="n"/>
      <c r="N68" s="375" t="n"/>
      <c r="O68" s="375" t="n"/>
      <c r="P68" s="141" t="n"/>
      <c r="R68" s="142" t="n"/>
      <c r="S68" s="142" t="n"/>
      <c r="T68" s="142" t="n"/>
      <c r="U68" s="142" t="n"/>
      <c r="V68" s="548" t="n"/>
      <c r="W68" s="549" t="n"/>
    </row>
    <row r="69" ht="69.95" customHeight="1">
      <c r="A69" s="1" t="n"/>
      <c r="B69" s="374" t="n"/>
      <c r="C69" s="375" t="n"/>
      <c r="D69" s="548" t="n"/>
      <c r="E69" s="548" t="n"/>
      <c r="F69" s="548" t="n"/>
      <c r="G69" s="548" t="n"/>
      <c r="H69" s="548" t="n"/>
      <c r="I69" s="548" t="n"/>
      <c r="J69" s="548" t="n"/>
      <c r="K69" s="375" t="n"/>
      <c r="L69" s="377" t="n"/>
      <c r="M69" s="375" t="n"/>
      <c r="N69" s="375" t="n"/>
      <c r="O69" s="375" t="n"/>
      <c r="P69" s="141" t="n"/>
      <c r="Q69" s="377" t="n"/>
      <c r="R69" s="142" t="n"/>
      <c r="S69" s="142" t="n"/>
      <c r="T69" s="142" t="n"/>
      <c r="U69" s="142" t="n"/>
      <c r="V69" s="378" t="n"/>
      <c r="W69" s="549" t="n"/>
    </row>
    <row r="70" ht="69.95" customHeight="1">
      <c r="A70" s="1" t="n"/>
      <c r="B70" s="543" t="n"/>
      <c r="C70" s="548" t="n"/>
      <c r="D70" s="548" t="n"/>
      <c r="E70" s="548" t="n"/>
      <c r="F70" s="548" t="n"/>
      <c r="G70" s="548" t="n"/>
      <c r="H70" s="548" t="n"/>
      <c r="I70" s="548" t="n"/>
      <c r="J70" s="548" t="n"/>
      <c r="K70" s="375" t="n"/>
      <c r="L70" s="377" t="n"/>
      <c r="M70" s="375" t="n"/>
      <c r="N70" s="375" t="n"/>
      <c r="O70" s="375" t="n"/>
      <c r="P70" s="141" t="n"/>
      <c r="R70" s="142" t="n"/>
      <c r="S70" s="142" t="n"/>
      <c r="T70" s="142" t="n"/>
      <c r="U70" s="142" t="n"/>
      <c r="V70" s="548" t="n"/>
      <c r="W70" s="549" t="n"/>
    </row>
    <row r="71" ht="69.95" customHeight="1">
      <c r="A71" s="1" t="n"/>
      <c r="B71" s="543" t="n"/>
      <c r="C71" s="548" t="n"/>
      <c r="D71" s="548" t="n"/>
      <c r="E71" s="548" t="n"/>
      <c r="F71" s="548" t="n"/>
      <c r="G71" s="548" t="n"/>
      <c r="H71" s="548" t="n"/>
      <c r="I71" s="548" t="n"/>
      <c r="J71" s="548" t="n"/>
      <c r="K71" s="375" t="n"/>
      <c r="L71" s="377" t="n"/>
      <c r="M71" s="375" t="n"/>
      <c r="N71" s="375" t="n"/>
      <c r="O71" s="375" t="n"/>
      <c r="P71" s="141" t="n"/>
      <c r="R71" s="142" t="n"/>
      <c r="S71" s="142" t="n"/>
      <c r="T71" s="142" t="n"/>
      <c r="U71" s="142" t="n"/>
      <c r="V71" s="548" t="n"/>
      <c r="W71" s="549" t="n"/>
    </row>
    <row r="72" ht="69.95" customHeight="1">
      <c r="A72" s="1" t="n"/>
      <c r="B72" s="543" t="n"/>
      <c r="C72" s="548" t="n"/>
      <c r="D72" s="548" t="n"/>
      <c r="E72" s="548" t="n"/>
      <c r="F72" s="548" t="n"/>
      <c r="G72" s="548" t="n"/>
      <c r="H72" s="548" t="n"/>
      <c r="I72" s="548" t="n"/>
      <c r="J72" s="548" t="n"/>
      <c r="K72" s="375" t="n"/>
      <c r="L72" s="377" t="n"/>
      <c r="M72" s="375" t="n"/>
      <c r="N72" s="375" t="n"/>
      <c r="O72" s="375" t="n"/>
      <c r="P72" s="141" t="n"/>
      <c r="R72" s="142" t="n"/>
      <c r="S72" s="142" t="n"/>
      <c r="T72" s="142" t="n"/>
      <c r="U72" s="142" t="n"/>
      <c r="V72" s="548" t="n"/>
      <c r="W72" s="549" t="n"/>
    </row>
    <row r="73" ht="69.95" customHeight="1">
      <c r="A73" s="1" t="n"/>
      <c r="B73" s="543" t="n"/>
      <c r="C73" s="548" t="n"/>
      <c r="D73" s="548" t="n"/>
      <c r="E73" s="548" t="n"/>
      <c r="F73" s="548" t="n"/>
      <c r="G73" s="548" t="n"/>
      <c r="H73" s="548" t="n"/>
      <c r="I73" s="548" t="n"/>
      <c r="J73" s="548" t="n"/>
      <c r="K73" s="375" t="n"/>
      <c r="L73" s="377" t="n"/>
      <c r="M73" s="375" t="n"/>
      <c r="N73" s="375" t="n"/>
      <c r="O73" s="375" t="n"/>
      <c r="P73" s="141" t="n"/>
      <c r="R73" s="142" t="n"/>
      <c r="S73" s="142" t="n"/>
      <c r="T73" s="142" t="n"/>
      <c r="U73" s="142" t="n"/>
      <c r="V73" s="548" t="n"/>
      <c r="W73" s="549" t="n"/>
    </row>
    <row r="74" ht="69.95" customHeight="1">
      <c r="A74" s="1" t="n"/>
      <c r="B74" s="543" t="n"/>
      <c r="C74" s="548" t="n"/>
      <c r="D74" s="548" t="n"/>
      <c r="E74" s="548" t="n"/>
      <c r="F74" s="548" t="n"/>
      <c r="G74" s="548" t="n"/>
      <c r="H74" s="548" t="n"/>
      <c r="I74" s="548" t="n"/>
      <c r="J74" s="548" t="n"/>
      <c r="K74" s="375" t="n"/>
      <c r="L74" s="377" t="n"/>
      <c r="M74" s="375" t="n"/>
      <c r="N74" s="375" t="n"/>
      <c r="O74" s="375" t="n"/>
      <c r="P74" s="141" t="n"/>
      <c r="R74" s="142" t="n"/>
      <c r="S74" s="142" t="n"/>
      <c r="T74" s="142" t="n"/>
      <c r="U74" s="142" t="n"/>
      <c r="V74" s="548" t="n"/>
      <c r="W74" s="549" t="n"/>
    </row>
    <row r="75" ht="69.95" customHeight="1">
      <c r="A75" s="1" t="n"/>
      <c r="B75" s="374" t="n"/>
      <c r="C75" s="375" t="n"/>
      <c r="D75" s="375" t="n"/>
      <c r="E75" s="375" t="n"/>
      <c r="F75" s="375" t="n"/>
      <c r="G75" s="375" t="n"/>
      <c r="H75" s="375" t="n"/>
      <c r="I75" s="375" t="n"/>
      <c r="J75" s="375" t="n"/>
      <c r="K75" s="375" t="n"/>
      <c r="L75" s="377" t="n"/>
      <c r="M75" s="375" t="n"/>
      <c r="N75" s="375" t="n"/>
      <c r="O75" s="375" t="n"/>
      <c r="P75" s="141" t="n"/>
      <c r="Q75" s="377" t="n"/>
      <c r="R75" s="142" t="n"/>
      <c r="S75" s="142" t="n"/>
      <c r="T75" s="142" t="n"/>
      <c r="U75" s="142" t="n"/>
      <c r="V75" s="375" t="n"/>
      <c r="W75" s="378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381" t="n"/>
      <c r="F79" s="60" t="n"/>
      <c r="G79" s="61" t="n"/>
      <c r="H79" s="50" t="n"/>
      <c r="I79" s="324" t="inlineStr">
        <is>
          <t>Date:</t>
        </is>
      </c>
      <c r="K79" s="1" t="n"/>
      <c r="L79" s="379" t="n"/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9">
    <mergeCell ref="F57:F62"/>
    <mergeCell ref="V2:W2"/>
    <mergeCell ref="E21:E26"/>
    <mergeCell ref="G21:G26"/>
    <mergeCell ref="E39:E44"/>
    <mergeCell ref="I15:I20"/>
    <mergeCell ref="C79:D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V69:W74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V63:W68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Q69:Q74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Q63:Q68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5">
    <dataValidation sqref="E15:E62" showDropDown="0" showInputMessage="1" showErrorMessage="0" allowBlank="1" type="list">
      <formula1>"XLPE,PILC,N/A,NOT ACCESSIBLE"</formula1>
    </dataValidation>
    <dataValidation sqref="F15:F62" showDropDown="0" showInputMessage="1" showErrorMessage="0" allowBlank="1" type="list">
      <formula1>"SERVICE,TEST,RACK OUT,N/A"</formula1>
    </dataValidation>
    <dataValidation sqref="G15:G62" showDropDown="0" showInputMessage="1" showErrorMessage="0" allowBlank="1" type="list">
      <formula1>"CLOSE,TRIP,N/A"</formula1>
    </dataValidation>
    <dataValidation sqref="H15:H62" showDropDown="0" showInputMessage="1" showErrorMessage="0" allowBlank="1" type="list">
      <formula1>"MAIN,RESERVE,N/A"</formula1>
    </dataValidation>
    <dataValidation sqref="W4" showDropDown="0" showInputMessage="1" showErrorMessage="1" allowBlank="1" type="list">
      <formula1>"NORMAL,DEFECT,MONITOR"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topLeftCell="M1" zoomScale="30" zoomScaleNormal="40" workbookViewId="0">
      <selection activeCell="W4" sqref="W4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 - Page Extra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>
        <f>'33kV (Main)'!V2</f>
        <v/>
      </c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'33kV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69">
        <f>'33kV (Main)'!L6</f>
        <v/>
      </c>
      <c r="M6" s="326">
        <f>'33kV (Main)'!M6</f>
        <v/>
      </c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>
        <f>'33kV (Main)'!U6</f>
        <v/>
      </c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'33kV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71">
        <f>'33kV (Main)'!L7</f>
        <v/>
      </c>
      <c r="M7" s="272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>
        <f>'33kV (Main)'!U7</f>
        <v/>
      </c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'33kV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271">
        <f>'33kV (Main)'!L8</f>
        <v/>
      </c>
      <c r="M8" s="272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>
        <f>'33kV (Main)'!U8</f>
        <v/>
      </c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'33kV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271">
        <f>'33kV (Main)'!L9</f>
        <v/>
      </c>
      <c r="M9" s="272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>
        <f>'33kV (Main)'!L10</f>
        <v/>
      </c>
      <c r="M10" s="270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63">
        <f>'33kV (Main)'!L11</f>
        <v/>
      </c>
      <c r="M11" s="270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17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304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304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304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304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18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53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304" t="n"/>
      <c r="N22" s="145">
        <f>IF(M22="","",M22-L22)</f>
        <v/>
      </c>
      <c r="O22" s="145">
        <f>IF(M22="","",((L22+M22)/2))</f>
        <v/>
      </c>
      <c r="P22" s="16" t="n"/>
      <c r="Q22" s="154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304" t="n"/>
      <c r="N23" s="145">
        <f>IF(M23="","",M23-L23)</f>
        <v/>
      </c>
      <c r="O23" s="145">
        <f>IF(M23="","",((L23+M23)/2))</f>
        <v/>
      </c>
      <c r="P23" s="16" t="n"/>
      <c r="Q23" s="154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304" t="n"/>
      <c r="N24" s="145">
        <f>IF(M24="","",M24-L24)</f>
        <v/>
      </c>
      <c r="O24" s="145">
        <f>IF(M24="","",((L24+M24)/2))</f>
        <v/>
      </c>
      <c r="P24" s="16" t="n"/>
      <c r="Q24" s="154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304" t="n"/>
      <c r="N25" s="145">
        <f>IF(M25="","",M25-L25)</f>
        <v/>
      </c>
      <c r="O25" s="145">
        <f>IF(M25="","",((L25+M25)/2))</f>
        <v/>
      </c>
      <c r="P25" s="16" t="n"/>
      <c r="Q25" s="154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55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19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53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304" t="n"/>
      <c r="N28" s="145">
        <f>IF(M28="","",M28-L28)</f>
        <v/>
      </c>
      <c r="O28" s="145">
        <f>IF(M28="","",((L28+M28)/2))</f>
        <v/>
      </c>
      <c r="P28" s="16" t="n"/>
      <c r="Q28" s="154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304" t="n"/>
      <c r="N29" s="145">
        <f>IF(M29="","",M29-L29)</f>
        <v/>
      </c>
      <c r="O29" s="145">
        <f>IF(M29="","",((L29+M29)/2))</f>
        <v/>
      </c>
      <c r="P29" s="16" t="n"/>
      <c r="Q29" s="154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304" t="n"/>
      <c r="N30" s="145">
        <f>IF(M30="","",M30-L30)</f>
        <v/>
      </c>
      <c r="O30" s="145">
        <f>IF(M30="","",((L30+M30)/2))</f>
        <v/>
      </c>
      <c r="P30" s="16" t="n"/>
      <c r="Q30" s="154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304" t="n"/>
      <c r="N31" s="145">
        <f>IF(M31="","",M31-L31)</f>
        <v/>
      </c>
      <c r="O31" s="145">
        <f>IF(M31="","",((L31+M31)/2))</f>
        <v/>
      </c>
      <c r="P31" s="16" t="n"/>
      <c r="Q31" s="154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55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20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53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304" t="n"/>
      <c r="N34" s="145">
        <f>IF(M34="","",M34-L34)</f>
        <v/>
      </c>
      <c r="O34" s="145">
        <f>IF(M34="","",((L34+M34)/2))</f>
        <v/>
      </c>
      <c r="P34" s="16" t="n"/>
      <c r="Q34" s="154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304" t="n"/>
      <c r="N35" s="145">
        <f>IF(M35="","",M35-L35)</f>
        <v/>
      </c>
      <c r="O35" s="145">
        <f>IF(M35="","",((L35+M35)/2))</f>
        <v/>
      </c>
      <c r="P35" s="16" t="n"/>
      <c r="Q35" s="154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304" t="n"/>
      <c r="N36" s="145">
        <f>IF(M36="","",M36-L36)</f>
        <v/>
      </c>
      <c r="O36" s="145">
        <f>IF(M36="","",((L36+M36)/2))</f>
        <v/>
      </c>
      <c r="P36" s="16" t="n"/>
      <c r="Q36" s="154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304" t="n"/>
      <c r="N37" s="145">
        <f>IF(M37="","",M37-L37)</f>
        <v/>
      </c>
      <c r="O37" s="145">
        <f>IF(M37="","",((L37+M37)/2))</f>
        <v/>
      </c>
      <c r="P37" s="16" t="n"/>
      <c r="Q37" s="154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55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21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53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304" t="n"/>
      <c r="N40" s="145">
        <f>IF(M40="","",M40-L40)</f>
        <v/>
      </c>
      <c r="O40" s="145">
        <f>IF(M40="","",((L40+M40)/2))</f>
        <v/>
      </c>
      <c r="P40" s="16" t="n"/>
      <c r="Q40" s="154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304" t="n"/>
      <c r="N41" s="145">
        <f>IF(M41="","",M41-L41)</f>
        <v/>
      </c>
      <c r="O41" s="145">
        <f>IF(M41="","",((L41+M41)/2))</f>
        <v/>
      </c>
      <c r="P41" s="16" t="n"/>
      <c r="Q41" s="154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304" t="n"/>
      <c r="N42" s="145">
        <f>IF(M42="","",M42-L42)</f>
        <v/>
      </c>
      <c r="O42" s="145">
        <f>IF(M42="","",((L42+M42)/2))</f>
        <v/>
      </c>
      <c r="P42" s="16" t="n"/>
      <c r="Q42" s="154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304" t="n"/>
      <c r="N43" s="145">
        <f>IF(M43="","",M43-L43)</f>
        <v/>
      </c>
      <c r="O43" s="145">
        <f>IF(M43="","",((L43+M43)/2))</f>
        <v/>
      </c>
      <c r="P43" s="16" t="n"/>
      <c r="Q43" s="154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55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22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53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304" t="n"/>
      <c r="N46" s="145">
        <f>IF(M46="","",M46-L46)</f>
        <v/>
      </c>
      <c r="O46" s="145">
        <f>IF(M46="","",((L46+M46)/2))</f>
        <v/>
      </c>
      <c r="P46" s="16" t="n"/>
      <c r="Q46" s="154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304" t="n"/>
      <c r="N47" s="145">
        <f>IF(M47="","",M47-L47)</f>
        <v/>
      </c>
      <c r="O47" s="145">
        <f>IF(M47="","",((L47+M47)/2))</f>
        <v/>
      </c>
      <c r="P47" s="16" t="n"/>
      <c r="Q47" s="154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304" t="n"/>
      <c r="N48" s="145">
        <f>IF(M48="","",M48-L48)</f>
        <v/>
      </c>
      <c r="O48" s="145">
        <f>IF(M48="","",((L48+M48)/2))</f>
        <v/>
      </c>
      <c r="P48" s="16" t="n"/>
      <c r="Q48" s="154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304" t="n"/>
      <c r="N49" s="145">
        <f>IF(M49="","",M49-L49)</f>
        <v/>
      </c>
      <c r="O49" s="145">
        <f>IF(M49="","",((L49+M49)/2))</f>
        <v/>
      </c>
      <c r="P49" s="16" t="n"/>
      <c r="Q49" s="154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55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23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53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304" t="n"/>
      <c r="N52" s="145">
        <f>IF(M52="","",M52-L52)</f>
        <v/>
      </c>
      <c r="O52" s="145">
        <f>IF(M52="","",((L52+M52)/2))</f>
        <v/>
      </c>
      <c r="P52" s="16" t="n"/>
      <c r="Q52" s="154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304" t="n"/>
      <c r="N53" s="145">
        <f>IF(M53="","",M53-L53)</f>
        <v/>
      </c>
      <c r="O53" s="145">
        <f>IF(M53="","",((L53+M53)/2))</f>
        <v/>
      </c>
      <c r="P53" s="16" t="n"/>
      <c r="Q53" s="154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304" t="n"/>
      <c r="N54" s="145">
        <f>IF(M54="","",M54-L54)</f>
        <v/>
      </c>
      <c r="O54" s="145">
        <f>IF(M54="","",((L54+M54)/2))</f>
        <v/>
      </c>
      <c r="P54" s="16" t="n"/>
      <c r="Q54" s="154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304" t="n"/>
      <c r="N55" s="145">
        <f>IF(M55="","",M55-L55)</f>
        <v/>
      </c>
      <c r="O55" s="145">
        <f>IF(M55="","",((L55+M55)/2))</f>
        <v/>
      </c>
      <c r="P55" s="16" t="n"/>
      <c r="Q55" s="154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55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2" t="n">
        <v>24</v>
      </c>
      <c r="C57" s="332" t="n"/>
      <c r="D57" s="339" t="n"/>
      <c r="E57" s="335" t="n"/>
      <c r="F57" s="124" t="n"/>
      <c r="G57" s="124" t="n"/>
      <c r="H57" s="124" t="n"/>
      <c r="I57" s="348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53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304" t="n"/>
      <c r="N58" s="145">
        <f>IF(M58="","",M58-L58)</f>
        <v/>
      </c>
      <c r="O58" s="145">
        <f>IF(M58="","",((L58+M58)/2))</f>
        <v/>
      </c>
      <c r="P58" s="16" t="n"/>
      <c r="Q58" s="154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304" t="n"/>
      <c r="N59" s="145">
        <f>IF(M59="","",M59-L59)</f>
        <v/>
      </c>
      <c r="O59" s="145">
        <f>IF(M59="","",((L59+M59)/2))</f>
        <v/>
      </c>
      <c r="P59" s="16" t="n"/>
      <c r="Q59" s="154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304" t="n"/>
      <c r="N60" s="145">
        <f>IF(M60="","",M60-L60)</f>
        <v/>
      </c>
      <c r="O60" s="145">
        <f>IF(M60="","",((L60+M60)/2))</f>
        <v/>
      </c>
      <c r="P60" s="16" t="n"/>
      <c r="Q60" s="154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304" t="n"/>
      <c r="N61" s="145">
        <f>IF(M61="","",M61-L61)</f>
        <v/>
      </c>
      <c r="O61" s="145">
        <f>IF(M61="","",((L61+M61)/2))</f>
        <v/>
      </c>
      <c r="P61" s="16" t="n"/>
      <c r="Q61" s="154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2" t="n"/>
      <c r="C62" s="542" t="n"/>
      <c r="D62" s="543" t="n"/>
      <c r="E62" s="544" t="n"/>
      <c r="F62" s="544" t="n"/>
      <c r="G62" s="544" t="n"/>
      <c r="H62" s="544" t="n"/>
      <c r="I62" s="542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55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84" t="n"/>
      <c r="C63" s="382" t="n"/>
      <c r="D63" s="546" t="n"/>
      <c r="E63" s="546" t="n"/>
      <c r="F63" s="546" t="n"/>
      <c r="G63" s="546" t="n"/>
      <c r="H63" s="546" t="n"/>
      <c r="I63" s="546" t="n"/>
      <c r="J63" s="546" t="n"/>
      <c r="K63" s="382" t="n"/>
      <c r="L63" s="376" t="n"/>
      <c r="M63" s="382" t="n"/>
      <c r="N63" s="382" t="n"/>
      <c r="O63" s="382" t="n"/>
      <c r="P63" s="137" t="n"/>
      <c r="Q63" s="376" t="n"/>
      <c r="R63" s="138" t="n"/>
      <c r="S63" s="138" t="n"/>
      <c r="T63" s="138" t="n"/>
      <c r="U63" s="138" t="n"/>
      <c r="V63" s="383" t="n"/>
      <c r="W63" s="547" t="n"/>
    </row>
    <row r="64" ht="69.95" customHeight="1">
      <c r="A64" s="1" t="n"/>
      <c r="B64" s="543" t="n"/>
      <c r="C64" s="548" t="n"/>
      <c r="D64" s="548" t="n"/>
      <c r="E64" s="548" t="n"/>
      <c r="F64" s="548" t="n"/>
      <c r="G64" s="548" t="n"/>
      <c r="H64" s="548" t="n"/>
      <c r="I64" s="548" t="n"/>
      <c r="J64" s="548" t="n"/>
      <c r="K64" s="375" t="n"/>
      <c r="L64" s="377" t="n"/>
      <c r="M64" s="375" t="n"/>
      <c r="N64" s="375" t="n"/>
      <c r="O64" s="375" t="n"/>
      <c r="P64" s="141" t="n"/>
      <c r="R64" s="142" t="n"/>
      <c r="S64" s="142" t="n"/>
      <c r="T64" s="142" t="n"/>
      <c r="U64" s="142" t="n"/>
      <c r="V64" s="548" t="n"/>
      <c r="W64" s="549" t="n"/>
    </row>
    <row r="65" ht="69.95" customHeight="1">
      <c r="A65" s="1" t="n"/>
      <c r="B65" s="543" t="n"/>
      <c r="C65" s="548" t="n"/>
      <c r="D65" s="548" t="n"/>
      <c r="E65" s="548" t="n"/>
      <c r="F65" s="548" t="n"/>
      <c r="G65" s="548" t="n"/>
      <c r="H65" s="548" t="n"/>
      <c r="I65" s="548" t="n"/>
      <c r="J65" s="548" t="n"/>
      <c r="K65" s="375" t="n"/>
      <c r="L65" s="377" t="n"/>
      <c r="M65" s="375" t="n"/>
      <c r="N65" s="375" t="n"/>
      <c r="O65" s="375" t="n"/>
      <c r="P65" s="141" t="n"/>
      <c r="R65" s="142" t="n"/>
      <c r="S65" s="142" t="n"/>
      <c r="T65" s="142" t="n"/>
      <c r="U65" s="142" t="n"/>
      <c r="V65" s="548" t="n"/>
      <c r="W65" s="549" t="n"/>
    </row>
    <row r="66" ht="69.95" customHeight="1">
      <c r="A66" s="1" t="n"/>
      <c r="B66" s="543" t="n"/>
      <c r="C66" s="548" t="n"/>
      <c r="D66" s="548" t="n"/>
      <c r="E66" s="548" t="n"/>
      <c r="F66" s="548" t="n"/>
      <c r="G66" s="548" t="n"/>
      <c r="H66" s="548" t="n"/>
      <c r="I66" s="548" t="n"/>
      <c r="J66" s="548" t="n"/>
      <c r="K66" s="375" t="n"/>
      <c r="L66" s="377" t="n"/>
      <c r="M66" s="375" t="n"/>
      <c r="N66" s="375" t="n"/>
      <c r="O66" s="375" t="n"/>
      <c r="P66" s="141" t="n"/>
      <c r="R66" s="142" t="n"/>
      <c r="S66" s="142" t="n"/>
      <c r="T66" s="142" t="n"/>
      <c r="U66" s="142" t="n"/>
      <c r="V66" s="548" t="n"/>
      <c r="W66" s="549" t="n"/>
    </row>
    <row r="67" ht="69.95" customHeight="1">
      <c r="A67" s="1" t="n"/>
      <c r="B67" s="543" t="n"/>
      <c r="C67" s="548" t="n"/>
      <c r="D67" s="548" t="n"/>
      <c r="E67" s="548" t="n"/>
      <c r="F67" s="548" t="n"/>
      <c r="G67" s="548" t="n"/>
      <c r="H67" s="548" t="n"/>
      <c r="I67" s="548" t="n"/>
      <c r="J67" s="548" t="n"/>
      <c r="K67" s="375" t="n"/>
      <c r="L67" s="377" t="n"/>
      <c r="M67" s="375" t="n"/>
      <c r="N67" s="375" t="n"/>
      <c r="O67" s="375" t="n"/>
      <c r="P67" s="141" t="n"/>
      <c r="R67" s="142" t="n"/>
      <c r="S67" s="142" t="n"/>
      <c r="T67" s="142" t="n"/>
      <c r="U67" s="142" t="n"/>
      <c r="V67" s="548" t="n"/>
      <c r="W67" s="549" t="n"/>
    </row>
    <row r="68" ht="69.95" customHeight="1">
      <c r="A68" s="1" t="n"/>
      <c r="B68" s="543" t="n"/>
      <c r="C68" s="548" t="n"/>
      <c r="D68" s="548" t="n"/>
      <c r="E68" s="548" t="n"/>
      <c r="F68" s="548" t="n"/>
      <c r="G68" s="548" t="n"/>
      <c r="H68" s="548" t="n"/>
      <c r="I68" s="548" t="n"/>
      <c r="J68" s="548" t="n"/>
      <c r="K68" s="375" t="n"/>
      <c r="L68" s="377" t="n"/>
      <c r="M68" s="375" t="n"/>
      <c r="N68" s="375" t="n"/>
      <c r="O68" s="375" t="n"/>
      <c r="P68" s="141" t="n"/>
      <c r="R68" s="142" t="n"/>
      <c r="S68" s="142" t="n"/>
      <c r="T68" s="142" t="n"/>
      <c r="U68" s="142" t="n"/>
      <c r="V68" s="548" t="n"/>
      <c r="W68" s="549" t="n"/>
    </row>
    <row r="69" ht="69.95" customHeight="1">
      <c r="A69" s="1" t="n"/>
      <c r="B69" s="374" t="n"/>
      <c r="C69" s="375" t="n"/>
      <c r="D69" s="548" t="n"/>
      <c r="E69" s="548" t="n"/>
      <c r="F69" s="548" t="n"/>
      <c r="G69" s="548" t="n"/>
      <c r="H69" s="548" t="n"/>
      <c r="I69" s="548" t="n"/>
      <c r="J69" s="548" t="n"/>
      <c r="K69" s="375" t="n"/>
      <c r="L69" s="377" t="n"/>
      <c r="M69" s="375" t="n"/>
      <c r="N69" s="375" t="n"/>
      <c r="O69" s="375" t="n"/>
      <c r="P69" s="141" t="n"/>
      <c r="Q69" s="377" t="n"/>
      <c r="R69" s="142" t="n"/>
      <c r="S69" s="142" t="n"/>
      <c r="T69" s="142" t="n"/>
      <c r="U69" s="142" t="n"/>
      <c r="V69" s="378" t="n"/>
      <c r="W69" s="549" t="n"/>
    </row>
    <row r="70" ht="69.95" customHeight="1">
      <c r="A70" s="1" t="n"/>
      <c r="B70" s="543" t="n"/>
      <c r="C70" s="548" t="n"/>
      <c r="D70" s="548" t="n"/>
      <c r="E70" s="548" t="n"/>
      <c r="F70" s="548" t="n"/>
      <c r="G70" s="548" t="n"/>
      <c r="H70" s="548" t="n"/>
      <c r="I70" s="548" t="n"/>
      <c r="J70" s="548" t="n"/>
      <c r="K70" s="375" t="n"/>
      <c r="L70" s="377" t="n"/>
      <c r="M70" s="375" t="n"/>
      <c r="N70" s="375" t="n"/>
      <c r="O70" s="375" t="n"/>
      <c r="P70" s="141" t="n"/>
      <c r="R70" s="142" t="n"/>
      <c r="S70" s="142" t="n"/>
      <c r="T70" s="142" t="n"/>
      <c r="U70" s="142" t="n"/>
      <c r="V70" s="548" t="n"/>
      <c r="W70" s="549" t="n"/>
    </row>
    <row r="71" ht="69.95" customHeight="1">
      <c r="A71" s="1" t="n"/>
      <c r="B71" s="543" t="n"/>
      <c r="C71" s="548" t="n"/>
      <c r="D71" s="548" t="n"/>
      <c r="E71" s="548" t="n"/>
      <c r="F71" s="548" t="n"/>
      <c r="G71" s="548" t="n"/>
      <c r="H71" s="548" t="n"/>
      <c r="I71" s="548" t="n"/>
      <c r="J71" s="548" t="n"/>
      <c r="K71" s="375" t="n"/>
      <c r="L71" s="377" t="n"/>
      <c r="M71" s="375" t="n"/>
      <c r="N71" s="375" t="n"/>
      <c r="O71" s="375" t="n"/>
      <c r="P71" s="141" t="n"/>
      <c r="R71" s="142" t="n"/>
      <c r="S71" s="142" t="n"/>
      <c r="T71" s="142" t="n"/>
      <c r="U71" s="142" t="n"/>
      <c r="V71" s="548" t="n"/>
      <c r="W71" s="549" t="n"/>
    </row>
    <row r="72" ht="69.95" customHeight="1">
      <c r="A72" s="1" t="n"/>
      <c r="B72" s="543" t="n"/>
      <c r="C72" s="548" t="n"/>
      <c r="D72" s="548" t="n"/>
      <c r="E72" s="548" t="n"/>
      <c r="F72" s="548" t="n"/>
      <c r="G72" s="548" t="n"/>
      <c r="H72" s="548" t="n"/>
      <c r="I72" s="548" t="n"/>
      <c r="J72" s="548" t="n"/>
      <c r="K72" s="375" t="n"/>
      <c r="L72" s="377" t="n"/>
      <c r="M72" s="375" t="n"/>
      <c r="N72" s="375" t="n"/>
      <c r="O72" s="375" t="n"/>
      <c r="P72" s="141" t="n"/>
      <c r="R72" s="142" t="n"/>
      <c r="S72" s="142" t="n"/>
      <c r="T72" s="142" t="n"/>
      <c r="U72" s="142" t="n"/>
      <c r="V72" s="548" t="n"/>
      <c r="W72" s="549" t="n"/>
    </row>
    <row r="73" ht="69.95" customHeight="1">
      <c r="A73" s="1" t="n"/>
      <c r="B73" s="543" t="n"/>
      <c r="C73" s="548" t="n"/>
      <c r="D73" s="548" t="n"/>
      <c r="E73" s="548" t="n"/>
      <c r="F73" s="548" t="n"/>
      <c r="G73" s="548" t="n"/>
      <c r="H73" s="548" t="n"/>
      <c r="I73" s="548" t="n"/>
      <c r="J73" s="548" t="n"/>
      <c r="K73" s="375" t="n"/>
      <c r="L73" s="377" t="n"/>
      <c r="M73" s="375" t="n"/>
      <c r="N73" s="375" t="n"/>
      <c r="O73" s="375" t="n"/>
      <c r="P73" s="141" t="n"/>
      <c r="R73" s="142" t="n"/>
      <c r="S73" s="142" t="n"/>
      <c r="T73" s="142" t="n"/>
      <c r="U73" s="142" t="n"/>
      <c r="V73" s="548" t="n"/>
      <c r="W73" s="549" t="n"/>
    </row>
    <row r="74" ht="69.95" customHeight="1">
      <c r="A74" s="1" t="n"/>
      <c r="B74" s="543" t="n"/>
      <c r="C74" s="548" t="n"/>
      <c r="D74" s="548" t="n"/>
      <c r="E74" s="548" t="n"/>
      <c r="F74" s="548" t="n"/>
      <c r="G74" s="548" t="n"/>
      <c r="H74" s="548" t="n"/>
      <c r="I74" s="548" t="n"/>
      <c r="J74" s="548" t="n"/>
      <c r="K74" s="375" t="n"/>
      <c r="L74" s="377" t="n"/>
      <c r="M74" s="375" t="n"/>
      <c r="N74" s="375" t="n"/>
      <c r="O74" s="375" t="n"/>
      <c r="P74" s="141" t="n"/>
      <c r="R74" s="142" t="n"/>
      <c r="S74" s="142" t="n"/>
      <c r="T74" s="142" t="n"/>
      <c r="U74" s="142" t="n"/>
      <c r="V74" s="548" t="n"/>
      <c r="W74" s="549" t="n"/>
    </row>
    <row r="75" ht="69.95" customHeight="1">
      <c r="A75" s="1" t="n"/>
      <c r="B75" s="374" t="n"/>
      <c r="C75" s="375" t="n"/>
      <c r="D75" s="375" t="n"/>
      <c r="E75" s="375" t="n"/>
      <c r="F75" s="375" t="n"/>
      <c r="G75" s="375" t="n"/>
      <c r="H75" s="375" t="n"/>
      <c r="I75" s="375" t="n"/>
      <c r="J75" s="375" t="n"/>
      <c r="K75" s="375" t="n"/>
      <c r="L75" s="377" t="n"/>
      <c r="M75" s="375" t="n"/>
      <c r="N75" s="375" t="n"/>
      <c r="O75" s="375" t="n"/>
      <c r="P75" s="141" t="n"/>
      <c r="Q75" s="377" t="n"/>
      <c r="R75" s="142" t="n"/>
      <c r="S75" s="142" t="n"/>
      <c r="T75" s="142" t="n"/>
      <c r="U75" s="142" t="n"/>
      <c r="V75" s="375" t="n"/>
      <c r="W75" s="378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381" t="n"/>
      <c r="F79" s="60" t="n"/>
      <c r="G79" s="61" t="n"/>
      <c r="H79" s="50" t="n"/>
      <c r="I79" s="324" t="inlineStr">
        <is>
          <t>Date:</t>
        </is>
      </c>
      <c r="K79" s="1" t="n"/>
      <c r="L79" s="379" t="n"/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9">
    <mergeCell ref="F57:F62"/>
    <mergeCell ref="V2:W2"/>
    <mergeCell ref="E21:E26"/>
    <mergeCell ref="G21:G26"/>
    <mergeCell ref="E39:E44"/>
    <mergeCell ref="I15:I20"/>
    <mergeCell ref="C79:D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V69:W74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V63:W68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Q69:Q74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Q63:Q68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5">
    <dataValidation sqref="W4" showDropDown="0" showInputMessage="1" showErrorMessage="1" allowBlank="1" type="list">
      <formula1>"NORMAL,DEFECT,MONITOR"</formula1>
    </dataValidation>
    <dataValidation sqref="H15:H62" showDropDown="0" showInputMessage="1" showErrorMessage="0" allowBlank="1" type="list">
      <formula1>"MAIN,RESERVE,N/A"</formula1>
    </dataValidation>
    <dataValidation sqref="G15:G62" showDropDown="0" showInputMessage="1" showErrorMessage="0" allowBlank="1" type="list">
      <formula1>"CLOSE,TRIP,N/A"</formula1>
    </dataValidation>
    <dataValidation sqref="F15:F62" showDropDown="0" showInputMessage="1" showErrorMessage="0" allowBlank="1" type="list">
      <formula1>"SERVICE,TEST,RACK OUT,N/A"</formula1>
    </dataValidation>
    <dataValidation sqref="E15:E62" showDropDown="0" showInputMessage="1" showErrorMessage="0" allowBlank="1" type="list">
      <formula1>"XLPE,PILC,N/A,NOT ACCESSIBLE"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zoomScale="25" zoomScaleNormal="25" workbookViewId="0">
      <selection activeCell="D10" sqref="D10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 t="n"/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'33kV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57" t="n"/>
      <c r="M6" s="326" t="n"/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 t="n"/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'33kV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58" t="n"/>
      <c r="M7" s="534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 t="n"/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'33kV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537" t="n"/>
      <c r="M8" s="534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 t="n"/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'33kV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537" t="n"/>
      <c r="M9" s="534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 t="n"/>
      <c r="M10" s="7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59" t="n"/>
      <c r="M11" s="7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1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145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145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145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145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2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30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145" t="n"/>
      <c r="N22" s="145">
        <f>IF(M22="","",M22-L22)</f>
        <v/>
      </c>
      <c r="O22" s="145">
        <f>IF(M22="","",((L22+M22)/2))</f>
        <v/>
      </c>
      <c r="P22" s="16" t="n"/>
      <c r="Q22" s="148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145" t="n"/>
      <c r="N23" s="145">
        <f>IF(M23="","",M23-L23)</f>
        <v/>
      </c>
      <c r="O23" s="145">
        <f>IF(M23="","",((L23+M23)/2))</f>
        <v/>
      </c>
      <c r="P23" s="16" t="n"/>
      <c r="Q23" s="148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145" t="n"/>
      <c r="N24" s="145">
        <f>IF(M24="","",M24-L24)</f>
        <v/>
      </c>
      <c r="O24" s="145">
        <f>IF(M24="","",((L24+M24)/2))</f>
        <v/>
      </c>
      <c r="P24" s="16" t="n"/>
      <c r="Q24" s="148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145" t="n"/>
      <c r="N25" s="145">
        <f>IF(M25="","",M25-L25)</f>
        <v/>
      </c>
      <c r="O25" s="145">
        <f>IF(M25="","",((L25+M25)/2))</f>
        <v/>
      </c>
      <c r="P25" s="16" t="n"/>
      <c r="Q25" s="148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49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3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30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145" t="n"/>
      <c r="N28" s="145">
        <f>IF(M28="","",M28-L28)</f>
        <v/>
      </c>
      <c r="O28" s="145">
        <f>IF(M28="","",((L28+M28)/2))</f>
        <v/>
      </c>
      <c r="P28" s="16" t="n"/>
      <c r="Q28" s="148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145" t="n"/>
      <c r="N29" s="145">
        <f>IF(M29="","",M29-L29)</f>
        <v/>
      </c>
      <c r="O29" s="145">
        <f>IF(M29="","",((L29+M29)/2))</f>
        <v/>
      </c>
      <c r="P29" s="16" t="n"/>
      <c r="Q29" s="148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145" t="n"/>
      <c r="N30" s="145">
        <f>IF(M30="","",M30-L30)</f>
        <v/>
      </c>
      <c r="O30" s="145">
        <f>IF(M30="","",((L30+M30)/2))</f>
        <v/>
      </c>
      <c r="P30" s="16" t="n"/>
      <c r="Q30" s="148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145" t="n"/>
      <c r="N31" s="145">
        <f>IF(M31="","",M31-L31)</f>
        <v/>
      </c>
      <c r="O31" s="145">
        <f>IF(M31="","",((L31+M31)/2))</f>
        <v/>
      </c>
      <c r="P31" s="16" t="n"/>
      <c r="Q31" s="148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49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4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30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145" t="n"/>
      <c r="N34" s="145">
        <f>IF(M34="","",M34-L34)</f>
        <v/>
      </c>
      <c r="O34" s="145">
        <f>IF(M34="","",((L34+M34)/2))</f>
        <v/>
      </c>
      <c r="P34" s="16" t="n"/>
      <c r="Q34" s="148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145" t="n"/>
      <c r="N35" s="145">
        <f>IF(M35="","",M35-L35)</f>
        <v/>
      </c>
      <c r="O35" s="145">
        <f>IF(M35="","",((L35+M35)/2))</f>
        <v/>
      </c>
      <c r="P35" s="16" t="n"/>
      <c r="Q35" s="148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145" t="n"/>
      <c r="N36" s="145">
        <f>IF(M36="","",M36-L36)</f>
        <v/>
      </c>
      <c r="O36" s="145">
        <f>IF(M36="","",((L36+M36)/2))</f>
        <v/>
      </c>
      <c r="P36" s="16" t="n"/>
      <c r="Q36" s="148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145" t="n"/>
      <c r="N37" s="145">
        <f>IF(M37="","",M37-L37)</f>
        <v/>
      </c>
      <c r="O37" s="145">
        <f>IF(M37="","",((L37+M37)/2))</f>
        <v/>
      </c>
      <c r="P37" s="16" t="n"/>
      <c r="Q37" s="148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49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5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30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145" t="n"/>
      <c r="N40" s="145">
        <f>IF(M40="","",M40-L40)</f>
        <v/>
      </c>
      <c r="O40" s="145">
        <f>IF(M40="","",((L40+M40)/2))</f>
        <v/>
      </c>
      <c r="P40" s="16" t="n"/>
      <c r="Q40" s="148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145" t="n"/>
      <c r="N41" s="145">
        <f>IF(M41="","",M41-L41)</f>
        <v/>
      </c>
      <c r="O41" s="145">
        <f>IF(M41="","",((L41+M41)/2))</f>
        <v/>
      </c>
      <c r="P41" s="16" t="n"/>
      <c r="Q41" s="148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145" t="n"/>
      <c r="N42" s="145">
        <f>IF(M42="","",M42-L42)</f>
        <v/>
      </c>
      <c r="O42" s="145">
        <f>IF(M42="","",((L42+M42)/2))</f>
        <v/>
      </c>
      <c r="P42" s="16" t="n"/>
      <c r="Q42" s="148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145" t="n"/>
      <c r="N43" s="145">
        <f>IF(M43="","",M43-L43)</f>
        <v/>
      </c>
      <c r="O43" s="145">
        <f>IF(M43="","",((L43+M43)/2))</f>
        <v/>
      </c>
      <c r="P43" s="16" t="n"/>
      <c r="Q43" s="148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49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6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30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145" t="n"/>
      <c r="N46" s="145">
        <f>IF(M46="","",M46-L46)</f>
        <v/>
      </c>
      <c r="O46" s="145">
        <f>IF(M46="","",((L46+M46)/2))</f>
        <v/>
      </c>
      <c r="P46" s="16" t="n"/>
      <c r="Q46" s="148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145" t="n"/>
      <c r="N47" s="145">
        <f>IF(M47="","",M47-L47)</f>
        <v/>
      </c>
      <c r="O47" s="145">
        <f>IF(M47="","",((L47+M47)/2))</f>
        <v/>
      </c>
      <c r="P47" s="16" t="n"/>
      <c r="Q47" s="148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145" t="n"/>
      <c r="N48" s="145">
        <f>IF(M48="","",M48-L48)</f>
        <v/>
      </c>
      <c r="O48" s="145">
        <f>IF(M48="","",((L48+M48)/2))</f>
        <v/>
      </c>
      <c r="P48" s="16" t="n"/>
      <c r="Q48" s="148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145" t="n"/>
      <c r="N49" s="145">
        <f>IF(M49="","",M49-L49)</f>
        <v/>
      </c>
      <c r="O49" s="145">
        <f>IF(M49="","",((L49+M49)/2))</f>
        <v/>
      </c>
      <c r="P49" s="16" t="n"/>
      <c r="Q49" s="148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49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7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30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145" t="n"/>
      <c r="N52" s="145">
        <f>IF(M52="","",M52-L52)</f>
        <v/>
      </c>
      <c r="O52" s="145">
        <f>IF(M52="","",((L52+M52)/2))</f>
        <v/>
      </c>
      <c r="P52" s="16" t="n"/>
      <c r="Q52" s="148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145" t="n"/>
      <c r="N53" s="145">
        <f>IF(M53="","",M53-L53)</f>
        <v/>
      </c>
      <c r="O53" s="145">
        <f>IF(M53="","",((L53+M53)/2))</f>
        <v/>
      </c>
      <c r="P53" s="16" t="n"/>
      <c r="Q53" s="148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145" t="n"/>
      <c r="N54" s="145">
        <f>IF(M54="","",M54-L54)</f>
        <v/>
      </c>
      <c r="O54" s="145">
        <f>IF(M54="","",((L54+M54)/2))</f>
        <v/>
      </c>
      <c r="P54" s="16" t="n"/>
      <c r="Q54" s="148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145" t="n"/>
      <c r="N55" s="145">
        <f>IF(M55="","",M55-L55)</f>
        <v/>
      </c>
      <c r="O55" s="145">
        <f>IF(M55="","",((L55+M55)/2))</f>
        <v/>
      </c>
      <c r="P55" s="16" t="n"/>
      <c r="Q55" s="148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49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5" t="n">
        <v>8</v>
      </c>
      <c r="C57" s="335" t="n"/>
      <c r="D57" s="541" t="n"/>
      <c r="E57" s="335" t="n"/>
      <c r="F57" s="124" t="n"/>
      <c r="G57" s="124" t="n"/>
      <c r="H57" s="124" t="n"/>
      <c r="I57" s="124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30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145" t="n"/>
      <c r="N58" s="145">
        <f>IF(M58="","",M58-L58)</f>
        <v/>
      </c>
      <c r="O58" s="145">
        <f>IF(M58="","",((L58+M58)/2))</f>
        <v/>
      </c>
      <c r="P58" s="16" t="n"/>
      <c r="Q58" s="148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145" t="n"/>
      <c r="N59" s="145">
        <f>IF(M59="","",M59-L59)</f>
        <v/>
      </c>
      <c r="O59" s="145">
        <f>IF(M59="","",((L59+M59)/2))</f>
        <v/>
      </c>
      <c r="P59" s="16" t="n"/>
      <c r="Q59" s="148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145" t="n"/>
      <c r="N60" s="145">
        <f>IF(M60="","",M60-L60)</f>
        <v/>
      </c>
      <c r="O60" s="145">
        <f>IF(M60="","",((L60+M60)/2))</f>
        <v/>
      </c>
      <c r="P60" s="16" t="n"/>
      <c r="Q60" s="148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145" t="n"/>
      <c r="N61" s="145">
        <f>IF(M61="","",M61-L61)</f>
        <v/>
      </c>
      <c r="O61" s="145">
        <f>IF(M61="","",((L61+M61)/2))</f>
        <v/>
      </c>
      <c r="P61" s="16" t="n"/>
      <c r="Q61" s="148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4" t="n"/>
      <c r="C62" s="544" t="n"/>
      <c r="D62" s="545" t="n"/>
      <c r="E62" s="544" t="n"/>
      <c r="F62" s="544" t="n"/>
      <c r="G62" s="544" t="n"/>
      <c r="H62" s="544" t="n"/>
      <c r="I62" s="544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49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35" t="inlineStr">
        <is>
          <t>A</t>
        </is>
      </c>
      <c r="C63" s="335" t="inlineStr">
        <is>
          <t>RHS PANEL (OVERVIEW)</t>
        </is>
      </c>
      <c r="D63" s="546" t="n"/>
      <c r="E63" s="546" t="n"/>
      <c r="F63" s="546" t="n"/>
      <c r="G63" s="546" t="n"/>
      <c r="H63" s="546" t="n"/>
      <c r="I63" s="546" t="n"/>
      <c r="J63" s="547" t="n"/>
      <c r="K63" s="335" t="inlineStr">
        <is>
          <t>FRONT</t>
        </is>
      </c>
      <c r="L63" s="305" t="n"/>
      <c r="M63" s="306" t="n"/>
      <c r="N63" s="306" t="n"/>
      <c r="O63" s="145">
        <f>IF(M63="","",((L63+M63)/2))</f>
        <v/>
      </c>
      <c r="P63" s="16" t="n"/>
      <c r="Q63" s="150" t="n"/>
      <c r="R63" s="17" t="n"/>
      <c r="S63" s="17" t="n"/>
      <c r="T63" s="17" t="n"/>
      <c r="U63" s="17" t="n"/>
      <c r="V63" s="160" t="n"/>
      <c r="W63" s="161" t="n"/>
    </row>
    <row r="64" ht="69.95" customHeight="1">
      <c r="A64" s="1" t="n"/>
      <c r="B64" s="542" t="n"/>
      <c r="C64" s="543" t="n"/>
      <c r="D64" s="548" t="n"/>
      <c r="E64" s="548" t="n"/>
      <c r="F64" s="548" t="n"/>
      <c r="G64" s="548" t="n"/>
      <c r="H64" s="548" t="n"/>
      <c r="I64" s="548" t="n"/>
      <c r="J64" s="549" t="n"/>
      <c r="K64" s="335" t="inlineStr">
        <is>
          <t>BACK</t>
        </is>
      </c>
      <c r="L64" s="305" t="n"/>
      <c r="M64" s="306" t="n"/>
      <c r="N64" s="306" t="n"/>
      <c r="O64" s="145">
        <f>IF(M64="","",((L64+M64)/2))</f>
        <v/>
      </c>
      <c r="P64" s="16" t="n"/>
      <c r="Q64" s="151" t="n"/>
      <c r="R64" s="17" t="n"/>
      <c r="S64" s="17" t="n"/>
      <c r="T64" s="17" t="n"/>
      <c r="U64" s="17" t="n"/>
      <c r="V64" s="156" t="n"/>
      <c r="W64" s="157" t="n"/>
    </row>
    <row r="65" ht="69.95" customHeight="1">
      <c r="A65" s="1" t="n"/>
      <c r="B65" s="542" t="n"/>
      <c r="C65" s="543" t="n"/>
      <c r="D65" s="548" t="n"/>
      <c r="E65" s="548" t="n"/>
      <c r="F65" s="548" t="n"/>
      <c r="G65" s="548" t="n"/>
      <c r="H65" s="548" t="n"/>
      <c r="I65" s="548" t="n"/>
      <c r="J65" s="549" t="n"/>
      <c r="K65" s="335" t="inlineStr">
        <is>
          <t>TOP</t>
        </is>
      </c>
      <c r="L65" s="305" t="n"/>
      <c r="M65" s="306" t="n"/>
      <c r="N65" s="306" t="n"/>
      <c r="O65" s="145">
        <f>IF(M65="","",((L65+M65)/2))</f>
        <v/>
      </c>
      <c r="P65" s="16" t="n"/>
      <c r="Q65" s="151" t="n"/>
      <c r="R65" s="17" t="n"/>
      <c r="S65" s="17" t="n"/>
      <c r="T65" s="17" t="n"/>
      <c r="U65" s="17" t="n"/>
      <c r="V65" s="156" t="n"/>
      <c r="W65" s="157" t="n"/>
    </row>
    <row r="66" ht="69.95" customHeight="1">
      <c r="A66" s="1" t="n"/>
      <c r="B66" s="542" t="n"/>
      <c r="C66" s="543" t="n"/>
      <c r="D66" s="548" t="n"/>
      <c r="E66" s="548" t="n"/>
      <c r="F66" s="548" t="n"/>
      <c r="G66" s="548" t="n"/>
      <c r="H66" s="548" t="n"/>
      <c r="I66" s="548" t="n"/>
      <c r="J66" s="549" t="n"/>
      <c r="K66" s="335" t="inlineStr">
        <is>
          <t>CABLE CELLAR</t>
        </is>
      </c>
      <c r="L66" s="305" t="n"/>
      <c r="M66" s="306" t="n"/>
      <c r="N66" s="306" t="n"/>
      <c r="O66" s="145">
        <f>IF(M66="","",((L66+M66)/2))</f>
        <v/>
      </c>
      <c r="P66" s="16" t="n"/>
      <c r="Q66" s="151" t="n"/>
      <c r="R66" s="17" t="n"/>
      <c r="S66" s="17" t="n"/>
      <c r="T66" s="17" t="n"/>
      <c r="U66" s="17" t="n"/>
      <c r="V66" s="156" t="n"/>
      <c r="W66" s="157" t="n"/>
    </row>
    <row r="67" ht="69.95" customHeight="1">
      <c r="A67" s="1" t="n"/>
      <c r="B67" s="542" t="n"/>
      <c r="C67" s="543" t="n"/>
      <c r="D67" s="548" t="n"/>
      <c r="E67" s="548" t="n"/>
      <c r="F67" s="548" t="n"/>
      <c r="G67" s="548" t="n"/>
      <c r="H67" s="548" t="n"/>
      <c r="I67" s="548" t="n"/>
      <c r="J67" s="549" t="n"/>
      <c r="K67" s="335" t="inlineStr">
        <is>
          <t>MBB</t>
        </is>
      </c>
      <c r="L67" s="145" t="n"/>
      <c r="M67" s="145" t="n"/>
      <c r="N67" s="145">
        <f>IF(M67="","",M67-L67)</f>
        <v/>
      </c>
      <c r="O67" s="145">
        <f>IF(M67="","",((L67+M67)/2))</f>
        <v/>
      </c>
      <c r="P67" s="16" t="n"/>
      <c r="Q67" s="151" t="n"/>
      <c r="R67" s="17" t="n"/>
      <c r="S67" s="17" t="n"/>
      <c r="T67" s="17" t="n"/>
      <c r="U67" s="17" t="n"/>
      <c r="V67" s="156" t="n"/>
      <c r="W67" s="157" t="n"/>
    </row>
    <row r="68" ht="69.95" customHeight="1">
      <c r="A68" s="1" t="n"/>
      <c r="B68" s="544" t="n"/>
      <c r="C68" s="545" t="n"/>
      <c r="D68" s="550" t="n"/>
      <c r="E68" s="550" t="n"/>
      <c r="F68" s="550" t="n"/>
      <c r="G68" s="550" t="n"/>
      <c r="H68" s="550" t="n"/>
      <c r="I68" s="550" t="n"/>
      <c r="J68" s="551" t="n"/>
      <c r="K68" s="335" t="inlineStr">
        <is>
          <t>RBB</t>
        </is>
      </c>
      <c r="L68" s="145" t="n"/>
      <c r="M68" s="145" t="n"/>
      <c r="N68" s="145">
        <f>IF(M68="","",M68-L68)</f>
        <v/>
      </c>
      <c r="O68" s="145">
        <f>IF(M68="","",((L68+M68)/2))</f>
        <v/>
      </c>
      <c r="P68" s="16" t="n"/>
      <c r="Q68" s="152" t="n"/>
      <c r="R68" s="17" t="n"/>
      <c r="S68" s="17" t="n"/>
      <c r="T68" s="17" t="n"/>
      <c r="U68" s="17" t="n"/>
      <c r="V68" s="158" t="n"/>
      <c r="W68" s="159" t="n"/>
    </row>
    <row r="69" ht="69.95" customHeight="1">
      <c r="A69" s="1" t="n"/>
      <c r="B69" s="335" t="inlineStr">
        <is>
          <t>B</t>
        </is>
      </c>
      <c r="C69" s="335" t="inlineStr">
        <is>
          <t>LHS PANEL (OVERVIEW)</t>
        </is>
      </c>
      <c r="D69" s="546" t="n"/>
      <c r="E69" s="546" t="n"/>
      <c r="F69" s="546" t="n"/>
      <c r="G69" s="546" t="n"/>
      <c r="H69" s="546" t="n"/>
      <c r="I69" s="546" t="n"/>
      <c r="J69" s="547" t="n"/>
      <c r="K69" s="335" t="inlineStr">
        <is>
          <t>FRONT</t>
        </is>
      </c>
      <c r="L69" s="305" t="n"/>
      <c r="M69" s="306" t="n"/>
      <c r="N69" s="306" t="n"/>
      <c r="O69" s="145">
        <f>IF(M69="","",((L69+M69)/2))</f>
        <v/>
      </c>
      <c r="P69" s="16" t="n"/>
      <c r="Q69" s="150" t="n"/>
      <c r="R69" s="17" t="n"/>
      <c r="S69" s="17" t="n"/>
      <c r="T69" s="17" t="n"/>
      <c r="U69" s="17" t="n"/>
      <c r="V69" s="160" t="n"/>
      <c r="W69" s="161" t="n"/>
    </row>
    <row r="70" ht="69.95" customHeight="1">
      <c r="A70" s="1" t="n"/>
      <c r="B70" s="542" t="n"/>
      <c r="C70" s="543" t="n"/>
      <c r="D70" s="548" t="n"/>
      <c r="E70" s="548" t="n"/>
      <c r="F70" s="548" t="n"/>
      <c r="G70" s="548" t="n"/>
      <c r="H70" s="548" t="n"/>
      <c r="I70" s="548" t="n"/>
      <c r="J70" s="549" t="n"/>
      <c r="K70" s="335" t="inlineStr">
        <is>
          <t>BACK</t>
        </is>
      </c>
      <c r="L70" s="305" t="n"/>
      <c r="M70" s="306" t="n"/>
      <c r="N70" s="306" t="n"/>
      <c r="O70" s="145">
        <f>IF(M70="","",((L70+M70)/2))</f>
        <v/>
      </c>
      <c r="P70" s="16" t="n"/>
      <c r="Q70" s="151" t="n"/>
      <c r="R70" s="17" t="n"/>
      <c r="S70" s="17" t="n"/>
      <c r="T70" s="17" t="n"/>
      <c r="U70" s="17" t="n"/>
      <c r="V70" s="156" t="n"/>
      <c r="W70" s="157" t="n"/>
    </row>
    <row r="71" ht="69.95" customHeight="1">
      <c r="A71" s="1" t="n"/>
      <c r="B71" s="542" t="n"/>
      <c r="C71" s="543" t="n"/>
      <c r="D71" s="548" t="n"/>
      <c r="E71" s="548" t="n"/>
      <c r="F71" s="548" t="n"/>
      <c r="G71" s="548" t="n"/>
      <c r="H71" s="548" t="n"/>
      <c r="I71" s="548" t="n"/>
      <c r="J71" s="549" t="n"/>
      <c r="K71" s="335" t="inlineStr">
        <is>
          <t>TOP</t>
        </is>
      </c>
      <c r="L71" s="305" t="n"/>
      <c r="M71" s="306" t="n"/>
      <c r="N71" s="306" t="n"/>
      <c r="O71" s="145">
        <f>IF(M71="","",((L71+M71)/2))</f>
        <v/>
      </c>
      <c r="P71" s="16" t="n"/>
      <c r="Q71" s="151" t="n"/>
      <c r="R71" s="17" t="n"/>
      <c r="S71" s="17" t="n"/>
      <c r="T71" s="17" t="n"/>
      <c r="U71" s="17" t="n"/>
      <c r="V71" s="156" t="n"/>
      <c r="W71" s="157" t="n"/>
    </row>
    <row r="72" ht="69.95" customHeight="1">
      <c r="A72" s="1" t="n"/>
      <c r="B72" s="542" t="n"/>
      <c r="C72" s="543" t="n"/>
      <c r="D72" s="548" t="n"/>
      <c r="E72" s="548" t="n"/>
      <c r="F72" s="548" t="n"/>
      <c r="G72" s="548" t="n"/>
      <c r="H72" s="548" t="n"/>
      <c r="I72" s="548" t="n"/>
      <c r="J72" s="549" t="n"/>
      <c r="K72" s="335" t="inlineStr">
        <is>
          <t>CABLE CELLAR</t>
        </is>
      </c>
      <c r="L72" s="305" t="n"/>
      <c r="M72" s="306" t="n"/>
      <c r="N72" s="306" t="n"/>
      <c r="O72" s="145">
        <f>IF(M72="","",((L72+M72)/2))</f>
        <v/>
      </c>
      <c r="P72" s="16" t="n"/>
      <c r="Q72" s="151" t="n"/>
      <c r="R72" s="17" t="n"/>
      <c r="S72" s="17" t="n"/>
      <c r="T72" s="17" t="n"/>
      <c r="U72" s="17" t="n"/>
      <c r="V72" s="156" t="n"/>
      <c r="W72" s="157" t="n"/>
    </row>
    <row r="73" ht="69.95" customHeight="1">
      <c r="A73" s="1" t="n"/>
      <c r="B73" s="542" t="n"/>
      <c r="C73" s="543" t="n"/>
      <c r="D73" s="548" t="n"/>
      <c r="E73" s="548" t="n"/>
      <c r="F73" s="548" t="n"/>
      <c r="G73" s="548" t="n"/>
      <c r="H73" s="548" t="n"/>
      <c r="I73" s="548" t="n"/>
      <c r="J73" s="549" t="n"/>
      <c r="K73" s="335" t="inlineStr">
        <is>
          <t>MBB</t>
        </is>
      </c>
      <c r="L73" s="145" t="n"/>
      <c r="M73" s="145" t="n"/>
      <c r="N73" s="145">
        <f>IF(M73="","",M73-L73)</f>
        <v/>
      </c>
      <c r="O73" s="145">
        <f>IF(M73="","",((L73+M73)/2))</f>
        <v/>
      </c>
      <c r="P73" s="16" t="n"/>
      <c r="Q73" s="151" t="n"/>
      <c r="R73" s="17" t="n"/>
      <c r="S73" s="17" t="n"/>
      <c r="T73" s="17" t="n"/>
      <c r="U73" s="17" t="n"/>
      <c r="V73" s="156" t="n"/>
      <c r="W73" s="157" t="n"/>
    </row>
    <row r="74" ht="69.95" customHeight="1">
      <c r="A74" s="1" t="n"/>
      <c r="B74" s="544" t="n"/>
      <c r="C74" s="545" t="n"/>
      <c r="D74" s="550" t="n"/>
      <c r="E74" s="550" t="n"/>
      <c r="F74" s="550" t="n"/>
      <c r="G74" s="550" t="n"/>
      <c r="H74" s="550" t="n"/>
      <c r="I74" s="550" t="n"/>
      <c r="J74" s="551" t="n"/>
      <c r="K74" s="335" t="inlineStr">
        <is>
          <t>RBB</t>
        </is>
      </c>
      <c r="L74" s="145" t="n"/>
      <c r="M74" s="145" t="n"/>
      <c r="N74" s="145">
        <f>IF(M74="","",M74-L74)</f>
        <v/>
      </c>
      <c r="O74" s="145">
        <f>IF(M74="","",((L74+M74)/2))</f>
        <v/>
      </c>
      <c r="P74" s="16" t="n"/>
      <c r="Q74" s="152" t="n"/>
      <c r="R74" s="17" t="n"/>
      <c r="S74" s="17" t="n"/>
      <c r="T74" s="17" t="n"/>
      <c r="U74" s="17" t="n"/>
      <c r="V74" s="158" t="n"/>
      <c r="W74" s="159" t="n"/>
    </row>
    <row r="75" ht="69.95" customHeight="1">
      <c r="A75" s="1" t="n"/>
      <c r="B75" s="342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133" t="n"/>
      <c r="M75" s="134" t="n"/>
      <c r="N75" s="134" t="n"/>
      <c r="O75" s="337" t="n"/>
      <c r="P75" s="19" t="n"/>
      <c r="Q75" s="44" t="n"/>
      <c r="R75" s="20" t="n"/>
      <c r="S75" s="20" t="n"/>
      <c r="T75" s="20" t="n"/>
      <c r="U75" s="20" t="n"/>
      <c r="V75" s="337" t="n"/>
      <c r="W75" s="127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552">
        <f>D8</f>
        <v/>
      </c>
      <c r="F79" s="550" t="n"/>
      <c r="G79" s="61" t="n"/>
      <c r="H79" s="50" t="n"/>
      <c r="I79" s="324" t="inlineStr">
        <is>
          <t>Date:</t>
        </is>
      </c>
      <c r="K79" s="1" t="n"/>
      <c r="L79" s="553">
        <f>D8</f>
        <v/>
      </c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6">
    <mergeCell ref="F57:F62"/>
    <mergeCell ref="V2:W2"/>
    <mergeCell ref="E21:E26"/>
    <mergeCell ref="G21:G26"/>
    <mergeCell ref="E39:E44"/>
    <mergeCell ref="I15:I20"/>
    <mergeCell ref="C79:D79"/>
    <mergeCell ref="E79:F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8">
    <dataValidation sqref="M6" showDropDown="0" showInputMessage="1" showErrorMessage="0" allowBlank="1" type="list">
      <formula1>"GIS,VCB,AIS,GCB,RMU"</formula1>
    </dataValidation>
    <dataValidation sqref="L11" showDropDown="0" showInputMessage="1" showErrorMessage="0" allowBlank="1" type="list">
      <formula1>"36kV,12kV"</formula1>
    </dataValidation>
    <dataValidation sqref="L10" showDropDown="0" showInputMessage="1" showErrorMessage="0" allowBlank="1" type="list">
      <formula1>"SBB,DBB"</formula1>
    </dataValidation>
    <dataValidation sqref="W4" showDropDown="0" showInputMessage="1" showErrorMessage="1" allowBlank="1" type="list">
      <formula1>"NORMAL,DEFECT,MONITOR"</formula1>
    </dataValidation>
    <dataValidation sqref="H15:H62" showDropDown="0" showInputMessage="1" showErrorMessage="0" allowBlank="1" type="list">
      <formula1>"MAIN,RESERVE,N/A"</formula1>
    </dataValidation>
    <dataValidation sqref="G15:G62" showDropDown="0" showInputMessage="1" showErrorMessage="0" allowBlank="1" type="list">
      <formula1>"CLOSE,TRIP,N/A"</formula1>
    </dataValidation>
    <dataValidation sqref="F15:F62" showDropDown="0" showInputMessage="1" showErrorMessage="0" allowBlank="1" type="list">
      <formula1>"SERVICE,TEST,RACK OUT,N/A"</formula1>
    </dataValidation>
    <dataValidation sqref="E15:E62" showDropDown="0" showInputMessage="1" showErrorMessage="0" allowBlank="1" type="list">
      <formula1>"XLPE,PILC,N/A,NOT ACCESSIBLE"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zoomScale="25" zoomScaleNormal="25" workbookViewId="0">
      <selection activeCell="W4" sqref="W4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 - Page Extra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>
        <f>'11kV (Main)'!V2</f>
        <v/>
      </c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'11kV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57">
        <f>'11kV (Main)'!L6</f>
        <v/>
      </c>
      <c r="M6" s="326">
        <f>'11kV (Main)'!M6</f>
        <v/>
      </c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>
        <f>'33kV (Main)'!U6</f>
        <v/>
      </c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'11kV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58">
        <f>'11kV (Main)'!L7</f>
        <v/>
      </c>
      <c r="M7" s="272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>
        <f>'33kV (Main)'!U7</f>
        <v/>
      </c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'11kV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271">
        <f>'11kV (Main)'!L8</f>
        <v/>
      </c>
      <c r="M8" s="272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>
        <f>'33kV (Main)'!U8</f>
        <v/>
      </c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'11kV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271">
        <f>'11kV (Main)'!L9</f>
        <v/>
      </c>
      <c r="M9" s="272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>
        <f>'11kV (Main)'!L10</f>
        <v/>
      </c>
      <c r="M10" s="270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59">
        <f>'11kV (Main)'!L11</f>
        <v/>
      </c>
      <c r="M11" s="270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9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304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304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304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304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10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53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304" t="n"/>
      <c r="N22" s="145">
        <f>IF(M22="","",M22-L22)</f>
        <v/>
      </c>
      <c r="O22" s="145">
        <f>IF(M22="","",((L22+M22)/2))</f>
        <v/>
      </c>
      <c r="P22" s="16" t="n"/>
      <c r="Q22" s="154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304" t="n"/>
      <c r="N23" s="145">
        <f>IF(M23="","",M23-L23)</f>
        <v/>
      </c>
      <c r="O23" s="145">
        <f>IF(M23="","",((L23+M23)/2))</f>
        <v/>
      </c>
      <c r="P23" s="16" t="n"/>
      <c r="Q23" s="154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304" t="n"/>
      <c r="N24" s="145">
        <f>IF(M24="","",M24-L24)</f>
        <v/>
      </c>
      <c r="O24" s="145">
        <f>IF(M24="","",((L24+M24)/2))</f>
        <v/>
      </c>
      <c r="P24" s="16" t="n"/>
      <c r="Q24" s="154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304" t="n"/>
      <c r="N25" s="145">
        <f>IF(M25="","",M25-L25)</f>
        <v/>
      </c>
      <c r="O25" s="145">
        <f>IF(M25="","",((L25+M25)/2))</f>
        <v/>
      </c>
      <c r="P25" s="16" t="n"/>
      <c r="Q25" s="154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55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11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53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304" t="n"/>
      <c r="N28" s="145">
        <f>IF(M28="","",M28-L28)</f>
        <v/>
      </c>
      <c r="O28" s="145">
        <f>IF(M28="","",((L28+M28)/2))</f>
        <v/>
      </c>
      <c r="P28" s="16" t="n"/>
      <c r="Q28" s="154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304" t="n"/>
      <c r="N29" s="145">
        <f>IF(M29="","",M29-L29)</f>
        <v/>
      </c>
      <c r="O29" s="145">
        <f>IF(M29="","",((L29+M29)/2))</f>
        <v/>
      </c>
      <c r="P29" s="16" t="n"/>
      <c r="Q29" s="154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304" t="n"/>
      <c r="N30" s="145">
        <f>IF(M30="","",M30-L30)</f>
        <v/>
      </c>
      <c r="O30" s="145">
        <f>IF(M30="","",((L30+M30)/2))</f>
        <v/>
      </c>
      <c r="P30" s="16" t="n"/>
      <c r="Q30" s="154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304" t="n"/>
      <c r="N31" s="145">
        <f>IF(M31="","",M31-L31)</f>
        <v/>
      </c>
      <c r="O31" s="145">
        <f>IF(M31="","",((L31+M31)/2))</f>
        <v/>
      </c>
      <c r="P31" s="16" t="n"/>
      <c r="Q31" s="154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55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12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53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304" t="n"/>
      <c r="N34" s="145">
        <f>IF(M34="","",M34-L34)</f>
        <v/>
      </c>
      <c r="O34" s="145">
        <f>IF(M34="","",((L34+M34)/2))</f>
        <v/>
      </c>
      <c r="P34" s="16" t="n"/>
      <c r="Q34" s="154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304" t="n"/>
      <c r="N35" s="145">
        <f>IF(M35="","",M35-L35)</f>
        <v/>
      </c>
      <c r="O35" s="145">
        <f>IF(M35="","",((L35+M35)/2))</f>
        <v/>
      </c>
      <c r="P35" s="16" t="n"/>
      <c r="Q35" s="154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304" t="n"/>
      <c r="N36" s="145">
        <f>IF(M36="","",M36-L36)</f>
        <v/>
      </c>
      <c r="O36" s="145">
        <f>IF(M36="","",((L36+M36)/2))</f>
        <v/>
      </c>
      <c r="P36" s="16" t="n"/>
      <c r="Q36" s="154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304" t="n"/>
      <c r="N37" s="145">
        <f>IF(M37="","",M37-L37)</f>
        <v/>
      </c>
      <c r="O37" s="145">
        <f>IF(M37="","",((L37+M37)/2))</f>
        <v/>
      </c>
      <c r="P37" s="16" t="n"/>
      <c r="Q37" s="154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55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13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53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304" t="n"/>
      <c r="N40" s="145">
        <f>IF(M40="","",M40-L40)</f>
        <v/>
      </c>
      <c r="O40" s="145">
        <f>IF(M40="","",((L40+M40)/2))</f>
        <v/>
      </c>
      <c r="P40" s="16" t="n"/>
      <c r="Q40" s="154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304" t="n"/>
      <c r="N41" s="145">
        <f>IF(M41="","",M41-L41)</f>
        <v/>
      </c>
      <c r="O41" s="145">
        <f>IF(M41="","",((L41+M41)/2))</f>
        <v/>
      </c>
      <c r="P41" s="16" t="n"/>
      <c r="Q41" s="154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304" t="n"/>
      <c r="N42" s="145">
        <f>IF(M42="","",M42-L42)</f>
        <v/>
      </c>
      <c r="O42" s="145">
        <f>IF(M42="","",((L42+M42)/2))</f>
        <v/>
      </c>
      <c r="P42" s="16" t="n"/>
      <c r="Q42" s="154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304" t="n"/>
      <c r="N43" s="145">
        <f>IF(M43="","",M43-L43)</f>
        <v/>
      </c>
      <c r="O43" s="145">
        <f>IF(M43="","",((L43+M43)/2))</f>
        <v/>
      </c>
      <c r="P43" s="16" t="n"/>
      <c r="Q43" s="154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55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14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53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304" t="n"/>
      <c r="N46" s="145">
        <f>IF(M46="","",M46-L46)</f>
        <v/>
      </c>
      <c r="O46" s="145">
        <f>IF(M46="","",((L46+M46)/2))</f>
        <v/>
      </c>
      <c r="P46" s="16" t="n"/>
      <c r="Q46" s="154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304" t="n"/>
      <c r="N47" s="145">
        <f>IF(M47="","",M47-L47)</f>
        <v/>
      </c>
      <c r="O47" s="145">
        <f>IF(M47="","",((L47+M47)/2))</f>
        <v/>
      </c>
      <c r="P47" s="16" t="n"/>
      <c r="Q47" s="154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304" t="n"/>
      <c r="N48" s="145">
        <f>IF(M48="","",M48-L48)</f>
        <v/>
      </c>
      <c r="O48" s="145">
        <f>IF(M48="","",((L48+M48)/2))</f>
        <v/>
      </c>
      <c r="P48" s="16" t="n"/>
      <c r="Q48" s="154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304" t="n"/>
      <c r="N49" s="145">
        <f>IF(M49="","",M49-L49)</f>
        <v/>
      </c>
      <c r="O49" s="145">
        <f>IF(M49="","",((L49+M49)/2))</f>
        <v/>
      </c>
      <c r="P49" s="16" t="n"/>
      <c r="Q49" s="154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55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15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53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304" t="n"/>
      <c r="N52" s="145">
        <f>IF(M52="","",M52-L52)</f>
        <v/>
      </c>
      <c r="O52" s="145">
        <f>IF(M52="","",((L52+M52)/2))</f>
        <v/>
      </c>
      <c r="P52" s="16" t="n"/>
      <c r="Q52" s="154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304" t="n"/>
      <c r="N53" s="145">
        <f>IF(M53="","",M53-L53)</f>
        <v/>
      </c>
      <c r="O53" s="145">
        <f>IF(M53="","",((L53+M53)/2))</f>
        <v/>
      </c>
      <c r="P53" s="16" t="n"/>
      <c r="Q53" s="154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304" t="n"/>
      <c r="N54" s="145">
        <f>IF(M54="","",M54-L54)</f>
        <v/>
      </c>
      <c r="O54" s="145">
        <f>IF(M54="","",((L54+M54)/2))</f>
        <v/>
      </c>
      <c r="P54" s="16" t="n"/>
      <c r="Q54" s="154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304" t="n"/>
      <c r="N55" s="145">
        <f>IF(M55="","",M55-L55)</f>
        <v/>
      </c>
      <c r="O55" s="145">
        <f>IF(M55="","",((L55+M55)/2))</f>
        <v/>
      </c>
      <c r="P55" s="16" t="n"/>
      <c r="Q55" s="154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55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2" t="n">
        <v>16</v>
      </c>
      <c r="C57" s="332" t="n"/>
      <c r="D57" s="339" t="n"/>
      <c r="E57" s="335" t="n"/>
      <c r="F57" s="124" t="n"/>
      <c r="G57" s="124" t="n"/>
      <c r="H57" s="124" t="n"/>
      <c r="I57" s="348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53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304" t="n"/>
      <c r="N58" s="145">
        <f>IF(M58="","",M58-L58)</f>
        <v/>
      </c>
      <c r="O58" s="145">
        <f>IF(M58="","",((L58+M58)/2))</f>
        <v/>
      </c>
      <c r="P58" s="16" t="n"/>
      <c r="Q58" s="154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304" t="n"/>
      <c r="N59" s="145">
        <f>IF(M59="","",M59-L59)</f>
        <v/>
      </c>
      <c r="O59" s="145">
        <f>IF(M59="","",((L59+M59)/2))</f>
        <v/>
      </c>
      <c r="P59" s="16" t="n"/>
      <c r="Q59" s="154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304" t="n"/>
      <c r="N60" s="145">
        <f>IF(M60="","",M60-L60)</f>
        <v/>
      </c>
      <c r="O60" s="145">
        <f>IF(M60="","",((L60+M60)/2))</f>
        <v/>
      </c>
      <c r="P60" s="16" t="n"/>
      <c r="Q60" s="154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304" t="n"/>
      <c r="N61" s="145">
        <f>IF(M61="","",M61-L61)</f>
        <v/>
      </c>
      <c r="O61" s="145">
        <f>IF(M61="","",((L61+M61)/2))</f>
        <v/>
      </c>
      <c r="P61" s="16" t="n"/>
      <c r="Q61" s="154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2" t="n"/>
      <c r="C62" s="542" t="n"/>
      <c r="D62" s="543" t="n"/>
      <c r="E62" s="544" t="n"/>
      <c r="F62" s="544" t="n"/>
      <c r="G62" s="544" t="n"/>
      <c r="H62" s="544" t="n"/>
      <c r="I62" s="542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55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84" t="n"/>
      <c r="C63" s="382" t="n"/>
      <c r="D63" s="546" t="n"/>
      <c r="E63" s="546" t="n"/>
      <c r="F63" s="546" t="n"/>
      <c r="G63" s="546" t="n"/>
      <c r="H63" s="546" t="n"/>
      <c r="I63" s="546" t="n"/>
      <c r="J63" s="546" t="n"/>
      <c r="K63" s="382" t="n"/>
      <c r="L63" s="376" t="n"/>
      <c r="M63" s="382" t="n"/>
      <c r="N63" s="382" t="n"/>
      <c r="O63" s="382" t="n"/>
      <c r="P63" s="137" t="n"/>
      <c r="Q63" s="376" t="n"/>
      <c r="R63" s="138" t="n"/>
      <c r="S63" s="138" t="n"/>
      <c r="T63" s="138" t="n"/>
      <c r="U63" s="138" t="n"/>
      <c r="V63" s="383" t="n"/>
      <c r="W63" s="547" t="n"/>
    </row>
    <row r="64" ht="69.95" customHeight="1">
      <c r="A64" s="1" t="n"/>
      <c r="B64" s="543" t="n"/>
      <c r="C64" s="548" t="n"/>
      <c r="D64" s="548" t="n"/>
      <c r="E64" s="548" t="n"/>
      <c r="F64" s="548" t="n"/>
      <c r="G64" s="548" t="n"/>
      <c r="H64" s="548" t="n"/>
      <c r="I64" s="548" t="n"/>
      <c r="J64" s="548" t="n"/>
      <c r="K64" s="375" t="n"/>
      <c r="L64" s="377" t="n"/>
      <c r="M64" s="375" t="n"/>
      <c r="N64" s="375" t="n"/>
      <c r="O64" s="375" t="n"/>
      <c r="P64" s="141" t="n"/>
      <c r="R64" s="142" t="n"/>
      <c r="S64" s="142" t="n"/>
      <c r="T64" s="142" t="n"/>
      <c r="U64" s="142" t="n"/>
      <c r="V64" s="548" t="n"/>
      <c r="W64" s="549" t="n"/>
    </row>
    <row r="65" ht="69.95" customHeight="1">
      <c r="A65" s="1" t="n"/>
      <c r="B65" s="543" t="n"/>
      <c r="C65" s="548" t="n"/>
      <c r="D65" s="548" t="n"/>
      <c r="E65" s="548" t="n"/>
      <c r="F65" s="548" t="n"/>
      <c r="G65" s="548" t="n"/>
      <c r="H65" s="548" t="n"/>
      <c r="I65" s="548" t="n"/>
      <c r="J65" s="548" t="n"/>
      <c r="K65" s="375" t="n"/>
      <c r="L65" s="377" t="n"/>
      <c r="M65" s="375" t="n"/>
      <c r="N65" s="375" t="n"/>
      <c r="O65" s="375" t="n"/>
      <c r="P65" s="141" t="n"/>
      <c r="R65" s="142" t="n"/>
      <c r="S65" s="142" t="n"/>
      <c r="T65" s="142" t="n"/>
      <c r="U65" s="142" t="n"/>
      <c r="V65" s="548" t="n"/>
      <c r="W65" s="549" t="n"/>
    </row>
    <row r="66" ht="69.95" customHeight="1">
      <c r="A66" s="1" t="n"/>
      <c r="B66" s="543" t="n"/>
      <c r="C66" s="548" t="n"/>
      <c r="D66" s="548" t="n"/>
      <c r="E66" s="548" t="n"/>
      <c r="F66" s="548" t="n"/>
      <c r="G66" s="548" t="n"/>
      <c r="H66" s="548" t="n"/>
      <c r="I66" s="548" t="n"/>
      <c r="J66" s="548" t="n"/>
      <c r="K66" s="375" t="n"/>
      <c r="L66" s="377" t="n"/>
      <c r="M66" s="375" t="n"/>
      <c r="N66" s="375" t="n"/>
      <c r="O66" s="375" t="n"/>
      <c r="P66" s="141" t="n"/>
      <c r="R66" s="142" t="n"/>
      <c r="S66" s="142" t="n"/>
      <c r="T66" s="142" t="n"/>
      <c r="U66" s="142" t="n"/>
      <c r="V66" s="548" t="n"/>
      <c r="W66" s="549" t="n"/>
    </row>
    <row r="67" ht="69.95" customHeight="1">
      <c r="A67" s="1" t="n"/>
      <c r="B67" s="543" t="n"/>
      <c r="C67" s="548" t="n"/>
      <c r="D67" s="548" t="n"/>
      <c r="E67" s="548" t="n"/>
      <c r="F67" s="548" t="n"/>
      <c r="G67" s="548" t="n"/>
      <c r="H67" s="548" t="n"/>
      <c r="I67" s="548" t="n"/>
      <c r="J67" s="548" t="n"/>
      <c r="K67" s="375" t="n"/>
      <c r="L67" s="377" t="n"/>
      <c r="M67" s="375" t="n"/>
      <c r="N67" s="375" t="n"/>
      <c r="O67" s="375" t="n"/>
      <c r="P67" s="141" t="n"/>
      <c r="R67" s="142" t="n"/>
      <c r="S67" s="142" t="n"/>
      <c r="T67" s="142" t="n"/>
      <c r="U67" s="142" t="n"/>
      <c r="V67" s="548" t="n"/>
      <c r="W67" s="549" t="n"/>
    </row>
    <row r="68" ht="69.95" customHeight="1">
      <c r="A68" s="1" t="n"/>
      <c r="B68" s="543" t="n"/>
      <c r="C68" s="548" t="n"/>
      <c r="D68" s="548" t="n"/>
      <c r="E68" s="548" t="n"/>
      <c r="F68" s="548" t="n"/>
      <c r="G68" s="548" t="n"/>
      <c r="H68" s="548" t="n"/>
      <c r="I68" s="548" t="n"/>
      <c r="J68" s="548" t="n"/>
      <c r="K68" s="375" t="n"/>
      <c r="L68" s="377" t="n"/>
      <c r="M68" s="375" t="n"/>
      <c r="N68" s="375" t="n"/>
      <c r="O68" s="375" t="n"/>
      <c r="P68" s="141" t="n"/>
      <c r="R68" s="142" t="n"/>
      <c r="S68" s="142" t="n"/>
      <c r="T68" s="142" t="n"/>
      <c r="U68" s="142" t="n"/>
      <c r="V68" s="548" t="n"/>
      <c r="W68" s="549" t="n"/>
    </row>
    <row r="69" ht="69.95" customHeight="1">
      <c r="A69" s="1" t="n"/>
      <c r="B69" s="374" t="n"/>
      <c r="C69" s="375" t="n"/>
      <c r="D69" s="548" t="n"/>
      <c r="E69" s="548" t="n"/>
      <c r="F69" s="548" t="n"/>
      <c r="G69" s="548" t="n"/>
      <c r="H69" s="548" t="n"/>
      <c r="I69" s="548" t="n"/>
      <c r="J69" s="548" t="n"/>
      <c r="K69" s="375" t="n"/>
      <c r="L69" s="377" t="n"/>
      <c r="M69" s="375" t="n"/>
      <c r="N69" s="375" t="n"/>
      <c r="O69" s="375" t="n"/>
      <c r="P69" s="141" t="n"/>
      <c r="Q69" s="377" t="n"/>
      <c r="R69" s="142" t="n"/>
      <c r="S69" s="142" t="n"/>
      <c r="T69" s="142" t="n"/>
      <c r="U69" s="142" t="n"/>
      <c r="V69" s="378" t="n"/>
      <c r="W69" s="549" t="n"/>
    </row>
    <row r="70" ht="69.95" customHeight="1">
      <c r="A70" s="1" t="n"/>
      <c r="B70" s="543" t="n"/>
      <c r="C70" s="548" t="n"/>
      <c r="D70" s="548" t="n"/>
      <c r="E70" s="548" t="n"/>
      <c r="F70" s="548" t="n"/>
      <c r="G70" s="548" t="n"/>
      <c r="H70" s="548" t="n"/>
      <c r="I70" s="548" t="n"/>
      <c r="J70" s="548" t="n"/>
      <c r="K70" s="375" t="n"/>
      <c r="L70" s="377" t="n"/>
      <c r="M70" s="375" t="n"/>
      <c r="N70" s="375" t="n"/>
      <c r="O70" s="375" t="n"/>
      <c r="P70" s="141" t="n"/>
      <c r="R70" s="142" t="n"/>
      <c r="S70" s="142" t="n"/>
      <c r="T70" s="142" t="n"/>
      <c r="U70" s="142" t="n"/>
      <c r="V70" s="548" t="n"/>
      <c r="W70" s="549" t="n"/>
    </row>
    <row r="71" ht="69.95" customHeight="1">
      <c r="A71" s="1" t="n"/>
      <c r="B71" s="543" t="n"/>
      <c r="C71" s="548" t="n"/>
      <c r="D71" s="548" t="n"/>
      <c r="E71" s="548" t="n"/>
      <c r="F71" s="548" t="n"/>
      <c r="G71" s="548" t="n"/>
      <c r="H71" s="548" t="n"/>
      <c r="I71" s="548" t="n"/>
      <c r="J71" s="548" t="n"/>
      <c r="K71" s="375" t="n"/>
      <c r="L71" s="377" t="n"/>
      <c r="M71" s="375" t="n"/>
      <c r="N71" s="375" t="n"/>
      <c r="O71" s="375" t="n"/>
      <c r="P71" s="141" t="n"/>
      <c r="R71" s="142" t="n"/>
      <c r="S71" s="142" t="n"/>
      <c r="T71" s="142" t="n"/>
      <c r="U71" s="142" t="n"/>
      <c r="V71" s="548" t="n"/>
      <c r="W71" s="549" t="n"/>
    </row>
    <row r="72" ht="69.95" customHeight="1">
      <c r="A72" s="1" t="n"/>
      <c r="B72" s="543" t="n"/>
      <c r="C72" s="548" t="n"/>
      <c r="D72" s="548" t="n"/>
      <c r="E72" s="548" t="n"/>
      <c r="F72" s="548" t="n"/>
      <c r="G72" s="548" t="n"/>
      <c r="H72" s="548" t="n"/>
      <c r="I72" s="548" t="n"/>
      <c r="J72" s="548" t="n"/>
      <c r="K72" s="375" t="n"/>
      <c r="L72" s="377" t="n"/>
      <c r="M72" s="375" t="n"/>
      <c r="N72" s="375" t="n"/>
      <c r="O72" s="375" t="n"/>
      <c r="P72" s="141" t="n"/>
      <c r="R72" s="142" t="n"/>
      <c r="S72" s="142" t="n"/>
      <c r="T72" s="142" t="n"/>
      <c r="U72" s="142" t="n"/>
      <c r="V72" s="548" t="n"/>
      <c r="W72" s="549" t="n"/>
    </row>
    <row r="73" ht="69.95" customHeight="1">
      <c r="A73" s="1" t="n"/>
      <c r="B73" s="543" t="n"/>
      <c r="C73" s="548" t="n"/>
      <c r="D73" s="548" t="n"/>
      <c r="E73" s="548" t="n"/>
      <c r="F73" s="548" t="n"/>
      <c r="G73" s="548" t="n"/>
      <c r="H73" s="548" t="n"/>
      <c r="I73" s="548" t="n"/>
      <c r="J73" s="548" t="n"/>
      <c r="K73" s="375" t="n"/>
      <c r="L73" s="377" t="n"/>
      <c r="M73" s="375" t="n"/>
      <c r="N73" s="375" t="n"/>
      <c r="O73" s="375" t="n"/>
      <c r="P73" s="141" t="n"/>
      <c r="R73" s="142" t="n"/>
      <c r="S73" s="142" t="n"/>
      <c r="T73" s="142" t="n"/>
      <c r="U73" s="142" t="n"/>
      <c r="V73" s="548" t="n"/>
      <c r="W73" s="549" t="n"/>
    </row>
    <row r="74" ht="69.95" customHeight="1">
      <c r="A74" s="1" t="n"/>
      <c r="B74" s="543" t="n"/>
      <c r="C74" s="548" t="n"/>
      <c r="D74" s="548" t="n"/>
      <c r="E74" s="548" t="n"/>
      <c r="F74" s="548" t="n"/>
      <c r="G74" s="548" t="n"/>
      <c r="H74" s="548" t="n"/>
      <c r="I74" s="548" t="n"/>
      <c r="J74" s="548" t="n"/>
      <c r="K74" s="375" t="n"/>
      <c r="L74" s="377" t="n"/>
      <c r="M74" s="375" t="n"/>
      <c r="N74" s="375" t="n"/>
      <c r="O74" s="375" t="n"/>
      <c r="P74" s="141" t="n"/>
      <c r="R74" s="142" t="n"/>
      <c r="S74" s="142" t="n"/>
      <c r="T74" s="142" t="n"/>
      <c r="U74" s="142" t="n"/>
      <c r="V74" s="548" t="n"/>
      <c r="W74" s="549" t="n"/>
    </row>
    <row r="75" ht="69.95" customHeight="1">
      <c r="A75" s="1" t="n"/>
      <c r="B75" s="374" t="n"/>
      <c r="C75" s="375" t="n"/>
      <c r="D75" s="375" t="n"/>
      <c r="E75" s="375" t="n"/>
      <c r="F75" s="375" t="n"/>
      <c r="G75" s="375" t="n"/>
      <c r="H75" s="375" t="n"/>
      <c r="I75" s="375" t="n"/>
      <c r="J75" s="375" t="n"/>
      <c r="K75" s="375" t="n"/>
      <c r="L75" s="377" t="n"/>
      <c r="M75" s="375" t="n"/>
      <c r="N75" s="375" t="n"/>
      <c r="O75" s="375" t="n"/>
      <c r="P75" s="141" t="n"/>
      <c r="Q75" s="377" t="n"/>
      <c r="R75" s="142" t="n"/>
      <c r="S75" s="142" t="n"/>
      <c r="T75" s="142" t="n"/>
      <c r="U75" s="142" t="n"/>
      <c r="V75" s="375" t="n"/>
      <c r="W75" s="378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381" t="n"/>
      <c r="F79" s="60" t="n"/>
      <c r="G79" s="61" t="n"/>
      <c r="H79" s="50" t="n"/>
      <c r="I79" s="324" t="inlineStr">
        <is>
          <t>Date:</t>
        </is>
      </c>
      <c r="K79" s="1" t="n"/>
      <c r="L79" s="379" t="n"/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9">
    <mergeCell ref="F57:F62"/>
    <mergeCell ref="V2:W2"/>
    <mergeCell ref="E21:E26"/>
    <mergeCell ref="G21:G26"/>
    <mergeCell ref="E39:E44"/>
    <mergeCell ref="I15:I20"/>
    <mergeCell ref="C79:D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V69:W74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V63:W68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Q69:Q74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Q63:Q68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5">
    <dataValidation sqref="W4" showDropDown="0" showInputMessage="1" showErrorMessage="1" allowBlank="1" type="list">
      <formula1>"NORMAL,DEFECT,MONITOR"</formula1>
    </dataValidation>
    <dataValidation sqref="H15:H62" showDropDown="0" showInputMessage="1" showErrorMessage="0" allowBlank="1" type="list">
      <formula1>"MAIN,RESERVE,N/A"</formula1>
    </dataValidation>
    <dataValidation sqref="G15:G62" showDropDown="0" showInputMessage="1" showErrorMessage="0" allowBlank="1" type="list">
      <formula1>"CLOSE,TRIP,N/A"</formula1>
    </dataValidation>
    <dataValidation sqref="F15:F62" showDropDown="0" showInputMessage="1" showErrorMessage="0" allowBlank="1" type="list">
      <formula1>"SERVICE,TEST,RACK OUT,N/A"</formula1>
    </dataValidation>
    <dataValidation sqref="E15:E62" showDropDown="0" showInputMessage="1" showErrorMessage="0" allowBlank="1" type="list">
      <formula1>"XLPE,PILC,N/A,NOT ACCESSIBLE"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zoomScale="25" zoomScaleNormal="25" workbookViewId="0">
      <selection activeCell="W4" sqref="W4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 - Page Extra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>
        <f>'11kV (Main)'!V2</f>
        <v/>
      </c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'11kV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57">
        <f>'11kV (Main)'!L6</f>
        <v/>
      </c>
      <c r="M6" s="326">
        <f>'11kV (Main)'!M6</f>
        <v/>
      </c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>
        <f>'33kV (Main)'!U6</f>
        <v/>
      </c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'11kV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58">
        <f>'11kV (Main)'!L7</f>
        <v/>
      </c>
      <c r="M7" s="272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>
        <f>'33kV (Main)'!U7</f>
        <v/>
      </c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'11kV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271">
        <f>'11kV (Main)'!L8</f>
        <v/>
      </c>
      <c r="M8" s="272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>
        <f>'33kV (Main)'!U8</f>
        <v/>
      </c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'11kV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271">
        <f>'11kV (Main)'!L9</f>
        <v/>
      </c>
      <c r="M9" s="272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>
        <f>'11kV (Main)'!L10</f>
        <v/>
      </c>
      <c r="M10" s="270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59">
        <f>'11kV (Main)'!L11</f>
        <v/>
      </c>
      <c r="M11" s="270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17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304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304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304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304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18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53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304" t="n"/>
      <c r="N22" s="145">
        <f>IF(M22="","",M22-L22)</f>
        <v/>
      </c>
      <c r="O22" s="145">
        <f>IF(M22="","",((L22+M22)/2))</f>
        <v/>
      </c>
      <c r="P22" s="16" t="n"/>
      <c r="Q22" s="154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304" t="n"/>
      <c r="N23" s="145">
        <f>IF(M23="","",M23-L23)</f>
        <v/>
      </c>
      <c r="O23" s="145">
        <f>IF(M23="","",((L23+M23)/2))</f>
        <v/>
      </c>
      <c r="P23" s="16" t="n"/>
      <c r="Q23" s="154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304" t="n"/>
      <c r="N24" s="145">
        <f>IF(M24="","",M24-L24)</f>
        <v/>
      </c>
      <c r="O24" s="145">
        <f>IF(M24="","",((L24+M24)/2))</f>
        <v/>
      </c>
      <c r="P24" s="16" t="n"/>
      <c r="Q24" s="154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304" t="n"/>
      <c r="N25" s="145">
        <f>IF(M25="","",M25-L25)</f>
        <v/>
      </c>
      <c r="O25" s="145">
        <f>IF(M25="","",((L25+M25)/2))</f>
        <v/>
      </c>
      <c r="P25" s="16" t="n"/>
      <c r="Q25" s="154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55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19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53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304" t="n"/>
      <c r="N28" s="145">
        <f>IF(M28="","",M28-L28)</f>
        <v/>
      </c>
      <c r="O28" s="145">
        <f>IF(M28="","",((L28+M28)/2))</f>
        <v/>
      </c>
      <c r="P28" s="16" t="n"/>
      <c r="Q28" s="154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304" t="n"/>
      <c r="N29" s="145">
        <f>IF(M29="","",M29-L29)</f>
        <v/>
      </c>
      <c r="O29" s="145">
        <f>IF(M29="","",((L29+M29)/2))</f>
        <v/>
      </c>
      <c r="P29" s="16" t="n"/>
      <c r="Q29" s="154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304" t="n"/>
      <c r="N30" s="145">
        <f>IF(M30="","",M30-L30)</f>
        <v/>
      </c>
      <c r="O30" s="145">
        <f>IF(M30="","",((L30+M30)/2))</f>
        <v/>
      </c>
      <c r="P30" s="16" t="n"/>
      <c r="Q30" s="154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304" t="n"/>
      <c r="N31" s="145">
        <f>IF(M31="","",M31-L31)</f>
        <v/>
      </c>
      <c r="O31" s="145">
        <f>IF(M31="","",((L31+M31)/2))</f>
        <v/>
      </c>
      <c r="P31" s="16" t="n"/>
      <c r="Q31" s="154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55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20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53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304" t="n"/>
      <c r="N34" s="145">
        <f>IF(M34="","",M34-L34)</f>
        <v/>
      </c>
      <c r="O34" s="145">
        <f>IF(M34="","",((L34+M34)/2))</f>
        <v/>
      </c>
      <c r="P34" s="16" t="n"/>
      <c r="Q34" s="154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304" t="n"/>
      <c r="N35" s="145">
        <f>IF(M35="","",M35-L35)</f>
        <v/>
      </c>
      <c r="O35" s="145">
        <f>IF(M35="","",((L35+M35)/2))</f>
        <v/>
      </c>
      <c r="P35" s="16" t="n"/>
      <c r="Q35" s="154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304" t="n"/>
      <c r="N36" s="145">
        <f>IF(M36="","",M36-L36)</f>
        <v/>
      </c>
      <c r="O36" s="145">
        <f>IF(M36="","",((L36+M36)/2))</f>
        <v/>
      </c>
      <c r="P36" s="16" t="n"/>
      <c r="Q36" s="154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304" t="n"/>
      <c r="N37" s="145">
        <f>IF(M37="","",M37-L37)</f>
        <v/>
      </c>
      <c r="O37" s="145">
        <f>IF(M37="","",((L37+M37)/2))</f>
        <v/>
      </c>
      <c r="P37" s="16" t="n"/>
      <c r="Q37" s="154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55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21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53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304" t="n"/>
      <c r="N40" s="145">
        <f>IF(M40="","",M40-L40)</f>
        <v/>
      </c>
      <c r="O40" s="145">
        <f>IF(M40="","",((L40+M40)/2))</f>
        <v/>
      </c>
      <c r="P40" s="16" t="n"/>
      <c r="Q40" s="154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304" t="n"/>
      <c r="N41" s="145">
        <f>IF(M41="","",M41-L41)</f>
        <v/>
      </c>
      <c r="O41" s="145">
        <f>IF(M41="","",((L41+M41)/2))</f>
        <v/>
      </c>
      <c r="P41" s="16" t="n"/>
      <c r="Q41" s="154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304" t="n"/>
      <c r="N42" s="145">
        <f>IF(M42="","",M42-L42)</f>
        <v/>
      </c>
      <c r="O42" s="145">
        <f>IF(M42="","",((L42+M42)/2))</f>
        <v/>
      </c>
      <c r="P42" s="16" t="n"/>
      <c r="Q42" s="154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304" t="n"/>
      <c r="N43" s="145">
        <f>IF(M43="","",M43-L43)</f>
        <v/>
      </c>
      <c r="O43" s="145">
        <f>IF(M43="","",((L43+M43)/2))</f>
        <v/>
      </c>
      <c r="P43" s="16" t="n"/>
      <c r="Q43" s="154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55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22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53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304" t="n"/>
      <c r="N46" s="145">
        <f>IF(M46="","",M46-L46)</f>
        <v/>
      </c>
      <c r="O46" s="145">
        <f>IF(M46="","",((L46+M46)/2))</f>
        <v/>
      </c>
      <c r="P46" s="16" t="n"/>
      <c r="Q46" s="154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304" t="n"/>
      <c r="N47" s="145">
        <f>IF(M47="","",M47-L47)</f>
        <v/>
      </c>
      <c r="O47" s="145">
        <f>IF(M47="","",((L47+M47)/2))</f>
        <v/>
      </c>
      <c r="P47" s="16" t="n"/>
      <c r="Q47" s="154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304" t="n"/>
      <c r="N48" s="145">
        <f>IF(M48="","",M48-L48)</f>
        <v/>
      </c>
      <c r="O48" s="145">
        <f>IF(M48="","",((L48+M48)/2))</f>
        <v/>
      </c>
      <c r="P48" s="16" t="n"/>
      <c r="Q48" s="154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304" t="n"/>
      <c r="N49" s="145">
        <f>IF(M49="","",M49-L49)</f>
        <v/>
      </c>
      <c r="O49" s="145">
        <f>IF(M49="","",((L49+M49)/2))</f>
        <v/>
      </c>
      <c r="P49" s="16" t="n"/>
      <c r="Q49" s="154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55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23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53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304" t="n"/>
      <c r="N52" s="145">
        <f>IF(M52="","",M52-L52)</f>
        <v/>
      </c>
      <c r="O52" s="145">
        <f>IF(M52="","",((L52+M52)/2))</f>
        <v/>
      </c>
      <c r="P52" s="16" t="n"/>
      <c r="Q52" s="154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304" t="n"/>
      <c r="N53" s="145">
        <f>IF(M53="","",M53-L53)</f>
        <v/>
      </c>
      <c r="O53" s="145">
        <f>IF(M53="","",((L53+M53)/2))</f>
        <v/>
      </c>
      <c r="P53" s="16" t="n"/>
      <c r="Q53" s="154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304" t="n"/>
      <c r="N54" s="145">
        <f>IF(M54="","",M54-L54)</f>
        <v/>
      </c>
      <c r="O54" s="145">
        <f>IF(M54="","",((L54+M54)/2))</f>
        <v/>
      </c>
      <c r="P54" s="16" t="n"/>
      <c r="Q54" s="154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304" t="n"/>
      <c r="N55" s="145">
        <f>IF(M55="","",M55-L55)</f>
        <v/>
      </c>
      <c r="O55" s="145">
        <f>IF(M55="","",((L55+M55)/2))</f>
        <v/>
      </c>
      <c r="P55" s="16" t="n"/>
      <c r="Q55" s="154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55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2" t="n">
        <v>24</v>
      </c>
      <c r="C57" s="332" t="n"/>
      <c r="D57" s="339" t="n"/>
      <c r="E57" s="335" t="n"/>
      <c r="F57" s="124" t="n"/>
      <c r="G57" s="124" t="n"/>
      <c r="H57" s="124" t="n"/>
      <c r="I57" s="348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53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304" t="n"/>
      <c r="N58" s="145">
        <f>IF(M58="","",M58-L58)</f>
        <v/>
      </c>
      <c r="O58" s="145">
        <f>IF(M58="","",((L58+M58)/2))</f>
        <v/>
      </c>
      <c r="P58" s="16" t="n"/>
      <c r="Q58" s="154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304" t="n"/>
      <c r="N59" s="145">
        <f>IF(M59="","",M59-L59)</f>
        <v/>
      </c>
      <c r="O59" s="145">
        <f>IF(M59="","",((L59+M59)/2))</f>
        <v/>
      </c>
      <c r="P59" s="16" t="n"/>
      <c r="Q59" s="154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304" t="n"/>
      <c r="N60" s="145">
        <f>IF(M60="","",M60-L60)</f>
        <v/>
      </c>
      <c r="O60" s="145">
        <f>IF(M60="","",((L60+M60)/2))</f>
        <v/>
      </c>
      <c r="P60" s="16" t="n"/>
      <c r="Q60" s="154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304" t="n"/>
      <c r="N61" s="145">
        <f>IF(M61="","",M61-L61)</f>
        <v/>
      </c>
      <c r="O61" s="145">
        <f>IF(M61="","",((L61+M61)/2))</f>
        <v/>
      </c>
      <c r="P61" s="16" t="n"/>
      <c r="Q61" s="154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2" t="n"/>
      <c r="C62" s="542" t="n"/>
      <c r="D62" s="543" t="n"/>
      <c r="E62" s="544" t="n"/>
      <c r="F62" s="544" t="n"/>
      <c r="G62" s="544" t="n"/>
      <c r="H62" s="544" t="n"/>
      <c r="I62" s="542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55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84" t="n"/>
      <c r="C63" s="382" t="n"/>
      <c r="D63" s="546" t="n"/>
      <c r="E63" s="546" t="n"/>
      <c r="F63" s="546" t="n"/>
      <c r="G63" s="546" t="n"/>
      <c r="H63" s="546" t="n"/>
      <c r="I63" s="546" t="n"/>
      <c r="J63" s="546" t="n"/>
      <c r="K63" s="382" t="n"/>
      <c r="L63" s="376" t="n"/>
      <c r="M63" s="382" t="n"/>
      <c r="N63" s="382" t="n"/>
      <c r="O63" s="382" t="n"/>
      <c r="P63" s="137" t="n"/>
      <c r="Q63" s="376" t="n"/>
      <c r="R63" s="138" t="n"/>
      <c r="S63" s="138" t="n"/>
      <c r="T63" s="138" t="n"/>
      <c r="U63" s="138" t="n"/>
      <c r="V63" s="383" t="n"/>
      <c r="W63" s="547" t="n"/>
    </row>
    <row r="64" ht="69.95" customHeight="1">
      <c r="A64" s="1" t="n"/>
      <c r="B64" s="543" t="n"/>
      <c r="C64" s="548" t="n"/>
      <c r="D64" s="548" t="n"/>
      <c r="E64" s="548" t="n"/>
      <c r="F64" s="548" t="n"/>
      <c r="G64" s="548" t="n"/>
      <c r="H64" s="548" t="n"/>
      <c r="I64" s="548" t="n"/>
      <c r="J64" s="548" t="n"/>
      <c r="K64" s="375" t="n"/>
      <c r="L64" s="377" t="n"/>
      <c r="M64" s="375" t="n"/>
      <c r="N64" s="375" t="n"/>
      <c r="O64" s="375" t="n"/>
      <c r="P64" s="141" t="n"/>
      <c r="R64" s="142" t="n"/>
      <c r="S64" s="142" t="n"/>
      <c r="T64" s="142" t="n"/>
      <c r="U64" s="142" t="n"/>
      <c r="V64" s="548" t="n"/>
      <c r="W64" s="549" t="n"/>
    </row>
    <row r="65" ht="69.95" customHeight="1">
      <c r="A65" s="1" t="n"/>
      <c r="B65" s="543" t="n"/>
      <c r="C65" s="548" t="n"/>
      <c r="D65" s="548" t="n"/>
      <c r="E65" s="548" t="n"/>
      <c r="F65" s="548" t="n"/>
      <c r="G65" s="548" t="n"/>
      <c r="H65" s="548" t="n"/>
      <c r="I65" s="548" t="n"/>
      <c r="J65" s="548" t="n"/>
      <c r="K65" s="375" t="n"/>
      <c r="L65" s="377" t="n"/>
      <c r="M65" s="375" t="n"/>
      <c r="N65" s="375" t="n"/>
      <c r="O65" s="375" t="n"/>
      <c r="P65" s="141" t="n"/>
      <c r="R65" s="142" t="n"/>
      <c r="S65" s="142" t="n"/>
      <c r="T65" s="142" t="n"/>
      <c r="U65" s="142" t="n"/>
      <c r="V65" s="548" t="n"/>
      <c r="W65" s="549" t="n"/>
    </row>
    <row r="66" ht="69.95" customHeight="1">
      <c r="A66" s="1" t="n"/>
      <c r="B66" s="543" t="n"/>
      <c r="C66" s="548" t="n"/>
      <c r="D66" s="548" t="n"/>
      <c r="E66" s="548" t="n"/>
      <c r="F66" s="548" t="n"/>
      <c r="G66" s="548" t="n"/>
      <c r="H66" s="548" t="n"/>
      <c r="I66" s="548" t="n"/>
      <c r="J66" s="548" t="n"/>
      <c r="K66" s="375" t="n"/>
      <c r="L66" s="377" t="n"/>
      <c r="M66" s="375" t="n"/>
      <c r="N66" s="375" t="n"/>
      <c r="O66" s="375" t="n"/>
      <c r="P66" s="141" t="n"/>
      <c r="R66" s="142" t="n"/>
      <c r="S66" s="142" t="n"/>
      <c r="T66" s="142" t="n"/>
      <c r="U66" s="142" t="n"/>
      <c r="V66" s="548" t="n"/>
      <c r="W66" s="549" t="n"/>
    </row>
    <row r="67" ht="69.95" customHeight="1">
      <c r="A67" s="1" t="n"/>
      <c r="B67" s="543" t="n"/>
      <c r="C67" s="548" t="n"/>
      <c r="D67" s="548" t="n"/>
      <c r="E67" s="548" t="n"/>
      <c r="F67" s="548" t="n"/>
      <c r="G67" s="548" t="n"/>
      <c r="H67" s="548" t="n"/>
      <c r="I67" s="548" t="n"/>
      <c r="J67" s="548" t="n"/>
      <c r="K67" s="375" t="n"/>
      <c r="L67" s="377" t="n"/>
      <c r="M67" s="375" t="n"/>
      <c r="N67" s="375" t="n"/>
      <c r="O67" s="375" t="n"/>
      <c r="P67" s="141" t="n"/>
      <c r="R67" s="142" t="n"/>
      <c r="S67" s="142" t="n"/>
      <c r="T67" s="142" t="n"/>
      <c r="U67" s="142" t="n"/>
      <c r="V67" s="548" t="n"/>
      <c r="W67" s="549" t="n"/>
    </row>
    <row r="68" ht="69.95" customHeight="1">
      <c r="A68" s="1" t="n"/>
      <c r="B68" s="543" t="n"/>
      <c r="C68" s="548" t="n"/>
      <c r="D68" s="548" t="n"/>
      <c r="E68" s="548" t="n"/>
      <c r="F68" s="548" t="n"/>
      <c r="G68" s="548" t="n"/>
      <c r="H68" s="548" t="n"/>
      <c r="I68" s="548" t="n"/>
      <c r="J68" s="548" t="n"/>
      <c r="K68" s="375" t="n"/>
      <c r="L68" s="377" t="n"/>
      <c r="M68" s="375" t="n"/>
      <c r="N68" s="375" t="n"/>
      <c r="O68" s="375" t="n"/>
      <c r="P68" s="141" t="n"/>
      <c r="R68" s="142" t="n"/>
      <c r="S68" s="142" t="n"/>
      <c r="T68" s="142" t="n"/>
      <c r="U68" s="142" t="n"/>
      <c r="V68" s="548" t="n"/>
      <c r="W68" s="549" t="n"/>
    </row>
    <row r="69" ht="69.95" customHeight="1">
      <c r="A69" s="1" t="n"/>
      <c r="B69" s="374" t="n"/>
      <c r="C69" s="375" t="n"/>
      <c r="D69" s="548" t="n"/>
      <c r="E69" s="548" t="n"/>
      <c r="F69" s="548" t="n"/>
      <c r="G69" s="548" t="n"/>
      <c r="H69" s="548" t="n"/>
      <c r="I69" s="548" t="n"/>
      <c r="J69" s="548" t="n"/>
      <c r="K69" s="375" t="n"/>
      <c r="L69" s="377" t="n"/>
      <c r="M69" s="375" t="n"/>
      <c r="N69" s="375" t="n"/>
      <c r="O69" s="375" t="n"/>
      <c r="P69" s="141" t="n"/>
      <c r="Q69" s="377" t="n"/>
      <c r="R69" s="142" t="n"/>
      <c r="S69" s="142" t="n"/>
      <c r="T69" s="142" t="n"/>
      <c r="U69" s="142" t="n"/>
      <c r="V69" s="378" t="n"/>
      <c r="W69" s="549" t="n"/>
    </row>
    <row r="70" ht="69.95" customHeight="1">
      <c r="A70" s="1" t="n"/>
      <c r="B70" s="543" t="n"/>
      <c r="C70" s="548" t="n"/>
      <c r="D70" s="548" t="n"/>
      <c r="E70" s="548" t="n"/>
      <c r="F70" s="548" t="n"/>
      <c r="G70" s="548" t="n"/>
      <c r="H70" s="548" t="n"/>
      <c r="I70" s="548" t="n"/>
      <c r="J70" s="548" t="n"/>
      <c r="K70" s="375" t="n"/>
      <c r="L70" s="377" t="n"/>
      <c r="M70" s="375" t="n"/>
      <c r="N70" s="375" t="n"/>
      <c r="O70" s="375" t="n"/>
      <c r="P70" s="141" t="n"/>
      <c r="R70" s="142" t="n"/>
      <c r="S70" s="142" t="n"/>
      <c r="T70" s="142" t="n"/>
      <c r="U70" s="142" t="n"/>
      <c r="V70" s="548" t="n"/>
      <c r="W70" s="549" t="n"/>
    </row>
    <row r="71" ht="69.95" customHeight="1">
      <c r="A71" s="1" t="n"/>
      <c r="B71" s="543" t="n"/>
      <c r="C71" s="548" t="n"/>
      <c r="D71" s="548" t="n"/>
      <c r="E71" s="548" t="n"/>
      <c r="F71" s="548" t="n"/>
      <c r="G71" s="548" t="n"/>
      <c r="H71" s="548" t="n"/>
      <c r="I71" s="548" t="n"/>
      <c r="J71" s="548" t="n"/>
      <c r="K71" s="375" t="n"/>
      <c r="L71" s="377" t="n"/>
      <c r="M71" s="375" t="n"/>
      <c r="N71" s="375" t="n"/>
      <c r="O71" s="375" t="n"/>
      <c r="P71" s="141" t="n"/>
      <c r="R71" s="142" t="n"/>
      <c r="S71" s="142" t="n"/>
      <c r="T71" s="142" t="n"/>
      <c r="U71" s="142" t="n"/>
      <c r="V71" s="548" t="n"/>
      <c r="W71" s="549" t="n"/>
    </row>
    <row r="72" ht="69.95" customHeight="1">
      <c r="A72" s="1" t="n"/>
      <c r="B72" s="543" t="n"/>
      <c r="C72" s="548" t="n"/>
      <c r="D72" s="548" t="n"/>
      <c r="E72" s="548" t="n"/>
      <c r="F72" s="548" t="n"/>
      <c r="G72" s="548" t="n"/>
      <c r="H72" s="548" t="n"/>
      <c r="I72" s="548" t="n"/>
      <c r="J72" s="548" t="n"/>
      <c r="K72" s="375" t="n"/>
      <c r="L72" s="377" t="n"/>
      <c r="M72" s="375" t="n"/>
      <c r="N72" s="375" t="n"/>
      <c r="O72" s="375" t="n"/>
      <c r="P72" s="141" t="n"/>
      <c r="R72" s="142" t="n"/>
      <c r="S72" s="142" t="n"/>
      <c r="T72" s="142" t="n"/>
      <c r="U72" s="142" t="n"/>
      <c r="V72" s="548" t="n"/>
      <c r="W72" s="549" t="n"/>
    </row>
    <row r="73" ht="69.95" customHeight="1">
      <c r="A73" s="1" t="n"/>
      <c r="B73" s="543" t="n"/>
      <c r="C73" s="548" t="n"/>
      <c r="D73" s="548" t="n"/>
      <c r="E73" s="548" t="n"/>
      <c r="F73" s="548" t="n"/>
      <c r="G73" s="548" t="n"/>
      <c r="H73" s="548" t="n"/>
      <c r="I73" s="548" t="n"/>
      <c r="J73" s="548" t="n"/>
      <c r="K73" s="375" t="n"/>
      <c r="L73" s="377" t="n"/>
      <c r="M73" s="375" t="n"/>
      <c r="N73" s="375" t="n"/>
      <c r="O73" s="375" t="n"/>
      <c r="P73" s="141" t="n"/>
      <c r="R73" s="142" t="n"/>
      <c r="S73" s="142" t="n"/>
      <c r="T73" s="142" t="n"/>
      <c r="U73" s="142" t="n"/>
      <c r="V73" s="548" t="n"/>
      <c r="W73" s="549" t="n"/>
    </row>
    <row r="74" ht="69.95" customHeight="1">
      <c r="A74" s="1" t="n"/>
      <c r="B74" s="543" t="n"/>
      <c r="C74" s="548" t="n"/>
      <c r="D74" s="548" t="n"/>
      <c r="E74" s="548" t="n"/>
      <c r="F74" s="548" t="n"/>
      <c r="G74" s="548" t="n"/>
      <c r="H74" s="548" t="n"/>
      <c r="I74" s="548" t="n"/>
      <c r="J74" s="548" t="n"/>
      <c r="K74" s="375" t="n"/>
      <c r="L74" s="377" t="n"/>
      <c r="M74" s="375" t="n"/>
      <c r="N74" s="375" t="n"/>
      <c r="O74" s="375" t="n"/>
      <c r="P74" s="141" t="n"/>
      <c r="R74" s="142" t="n"/>
      <c r="S74" s="142" t="n"/>
      <c r="T74" s="142" t="n"/>
      <c r="U74" s="142" t="n"/>
      <c r="V74" s="548" t="n"/>
      <c r="W74" s="549" t="n"/>
    </row>
    <row r="75" ht="69.95" customHeight="1">
      <c r="A75" s="1" t="n"/>
      <c r="B75" s="374" t="n"/>
      <c r="C75" s="375" t="n"/>
      <c r="D75" s="375" t="n"/>
      <c r="E75" s="375" t="n"/>
      <c r="F75" s="375" t="n"/>
      <c r="G75" s="375" t="n"/>
      <c r="H75" s="375" t="n"/>
      <c r="I75" s="375" t="n"/>
      <c r="J75" s="375" t="n"/>
      <c r="K75" s="375" t="n"/>
      <c r="L75" s="377" t="n"/>
      <c r="M75" s="375" t="n"/>
      <c r="N75" s="375" t="n"/>
      <c r="O75" s="375" t="n"/>
      <c r="P75" s="141" t="n"/>
      <c r="Q75" s="377" t="n"/>
      <c r="R75" s="142" t="n"/>
      <c r="S75" s="142" t="n"/>
      <c r="T75" s="142" t="n"/>
      <c r="U75" s="142" t="n"/>
      <c r="V75" s="375" t="n"/>
      <c r="W75" s="378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381" t="n"/>
      <c r="F79" s="60" t="n"/>
      <c r="G79" s="61" t="n"/>
      <c r="H79" s="50" t="n"/>
      <c r="I79" s="324" t="inlineStr">
        <is>
          <t>Date:</t>
        </is>
      </c>
      <c r="K79" s="1" t="n"/>
      <c r="L79" s="379" t="n"/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9">
    <mergeCell ref="F57:F62"/>
    <mergeCell ref="V2:W2"/>
    <mergeCell ref="E21:E26"/>
    <mergeCell ref="G21:G26"/>
    <mergeCell ref="E39:E44"/>
    <mergeCell ref="I15:I20"/>
    <mergeCell ref="C79:D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V69:W74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V63:W68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Q69:Q74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Q63:Q68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5">
    <dataValidation sqref="E15:E62" showDropDown="0" showInputMessage="1" showErrorMessage="0" allowBlank="1" type="list">
      <formula1>"XLPE,PILC,N/A,NOT ACCESSIBLE"</formula1>
    </dataValidation>
    <dataValidation sqref="F15:F62" showDropDown="0" showInputMessage="1" showErrorMessage="0" allowBlank="1" type="list">
      <formula1>"SERVICE,TEST,RACK OUT,N/A"</formula1>
    </dataValidation>
    <dataValidation sqref="G15:G62" showDropDown="0" showInputMessage="1" showErrorMessage="0" allowBlank="1" type="list">
      <formula1>"CLOSE,TRIP,N/A"</formula1>
    </dataValidation>
    <dataValidation sqref="H15:H62" showDropDown="0" showInputMessage="1" showErrorMessage="0" allowBlank="1" type="list">
      <formula1>"MAIN,RESERVE,N/A"</formula1>
    </dataValidation>
    <dataValidation sqref="W4" showDropDown="0" showInputMessage="1" showErrorMessage="1" allowBlank="1" type="list">
      <formula1>"NORMAL,DEFECT,MONITOR"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W81"/>
  <sheetViews>
    <sheetView zoomScale="25" zoomScaleNormal="25" workbookViewId="0">
      <selection activeCell="W4" sqref="W4"/>
    </sheetView>
  </sheetViews>
  <sheetFormatPr baseColWidth="8" defaultRowHeight="12.75" customHeight="1"/>
  <cols>
    <col width="9.140625" customWidth="1" style="45" min="1" max="1"/>
    <col width="22.7109375" customWidth="1" style="45" min="2" max="2"/>
    <col width="63.7109375" customWidth="1" style="45" min="3" max="3"/>
    <col width="110.7109375" customWidth="1" style="45" min="4" max="4"/>
    <col width="50.140625" customWidth="1" style="45" min="5" max="8"/>
    <col width="43" customWidth="1" style="45" min="9" max="10"/>
    <col width="88.42578125" customWidth="1" style="45" min="11" max="11"/>
    <col width="64.7109375" customWidth="1" style="45" min="12" max="16"/>
    <col width="85.85546875" customWidth="1" style="45" min="17" max="17"/>
    <col width="42.85546875" customWidth="1" style="45" min="18" max="20"/>
    <col width="85.5703125" customWidth="1" style="45" min="21" max="21"/>
    <col width="57" customWidth="1" style="45" min="22" max="22"/>
    <col width="42.7109375" customWidth="1" style="45" min="23" max="23"/>
    <col width="9.140625" customWidth="1" style="45" min="24" max="247"/>
    <col width="16" customWidth="1" style="45" min="248" max="248"/>
    <col width="27.7109375" customWidth="1" style="45" min="249" max="249"/>
    <col width="65.7109375" customWidth="1" style="45" min="250" max="250"/>
    <col width="21.85546875" bestFit="1" customWidth="1" style="45" min="251" max="251"/>
    <col width="30.140625" customWidth="1" style="45" min="252" max="252"/>
    <col width="62" customWidth="1" style="45" min="253" max="253"/>
    <col width="44" customWidth="1" style="45" min="254" max="254"/>
    <col width="43.140625" customWidth="1" style="45" min="255" max="255"/>
    <col width="45" customWidth="1" style="45" min="256" max="256"/>
    <col width="35.5703125" customWidth="1" style="45" min="257" max="257"/>
    <col width="37.140625" customWidth="1" style="45" min="258" max="258"/>
    <col width="76.7109375" customWidth="1" style="45" min="259" max="259"/>
    <col width="37.7109375" customWidth="1" style="45" min="260" max="260"/>
    <col width="37.85546875" customWidth="1" style="45" min="261" max="261"/>
    <col width="39.85546875" customWidth="1" style="45" min="262" max="262"/>
    <col width="53.140625" customWidth="1" style="45" min="263" max="263"/>
    <col width="35.28515625" customWidth="1" style="45" min="264" max="264"/>
    <col width="31" customWidth="1" style="45" min="265" max="265"/>
    <col width="29.140625" customWidth="1" style="45" min="266" max="266"/>
    <col width="30.140625" customWidth="1" style="45" min="267" max="267"/>
    <col width="49.140625" customWidth="1" style="45" min="268" max="268"/>
    <col width="31.85546875" customWidth="1" style="45" min="269" max="269"/>
    <col width="39.140625" customWidth="1" style="45" min="270" max="270"/>
    <col width="53" bestFit="1" customWidth="1" style="45" min="271" max="271"/>
    <col width="33.42578125" bestFit="1" customWidth="1" style="45" min="272" max="272"/>
    <col width="28.140625" customWidth="1" style="45" min="273" max="273"/>
    <col width="6.7109375" customWidth="1" style="45" min="274" max="278"/>
    <col width="1.7109375" customWidth="1" style="45" min="279" max="279"/>
    <col width="9.140625" customWidth="1" style="45" min="280" max="503"/>
    <col width="16" customWidth="1" style="45" min="504" max="504"/>
    <col width="27.7109375" customWidth="1" style="45" min="505" max="505"/>
    <col width="65.7109375" customWidth="1" style="45" min="506" max="506"/>
    <col width="21.85546875" bestFit="1" customWidth="1" style="45" min="507" max="507"/>
    <col width="30.140625" customWidth="1" style="45" min="508" max="508"/>
    <col width="62" customWidth="1" style="45" min="509" max="509"/>
    <col width="44" customWidth="1" style="45" min="510" max="510"/>
    <col width="43.140625" customWidth="1" style="45" min="511" max="511"/>
    <col width="45" customWidth="1" style="45" min="512" max="512"/>
    <col width="35.5703125" customWidth="1" style="45" min="513" max="513"/>
    <col width="37.140625" customWidth="1" style="45" min="514" max="514"/>
    <col width="76.7109375" customWidth="1" style="45" min="515" max="515"/>
    <col width="37.7109375" customWidth="1" style="45" min="516" max="516"/>
    <col width="37.85546875" customWidth="1" style="45" min="517" max="517"/>
    <col width="39.85546875" customWidth="1" style="45" min="518" max="518"/>
    <col width="53.140625" customWidth="1" style="45" min="519" max="519"/>
    <col width="35.28515625" customWidth="1" style="45" min="520" max="520"/>
    <col width="31" customWidth="1" style="45" min="521" max="521"/>
    <col width="29.140625" customWidth="1" style="45" min="522" max="522"/>
    <col width="30.140625" customWidth="1" style="45" min="523" max="523"/>
    <col width="49.140625" customWidth="1" style="45" min="524" max="524"/>
    <col width="31.85546875" customWidth="1" style="45" min="525" max="525"/>
    <col width="39.140625" customWidth="1" style="45" min="526" max="526"/>
    <col width="53" bestFit="1" customWidth="1" style="45" min="527" max="527"/>
    <col width="33.42578125" bestFit="1" customWidth="1" style="45" min="528" max="528"/>
    <col width="28.140625" customWidth="1" style="45" min="529" max="529"/>
    <col width="6.7109375" customWidth="1" style="45" min="530" max="534"/>
    <col width="1.7109375" customWidth="1" style="45" min="535" max="535"/>
    <col width="9.140625" customWidth="1" style="45" min="536" max="759"/>
    <col width="16" customWidth="1" style="45" min="760" max="760"/>
    <col width="27.7109375" customWidth="1" style="45" min="761" max="761"/>
    <col width="65.7109375" customWidth="1" style="45" min="762" max="762"/>
    <col width="21.85546875" bestFit="1" customWidth="1" style="45" min="763" max="763"/>
    <col width="30.140625" customWidth="1" style="45" min="764" max="764"/>
    <col width="62" customWidth="1" style="45" min="765" max="765"/>
    <col width="44" customWidth="1" style="45" min="766" max="766"/>
    <col width="43.140625" customWidth="1" style="45" min="767" max="767"/>
    <col width="45" customWidth="1" style="45" min="768" max="768"/>
    <col width="35.5703125" customWidth="1" style="45" min="769" max="769"/>
    <col width="37.140625" customWidth="1" style="45" min="770" max="770"/>
    <col width="76.7109375" customWidth="1" style="45" min="771" max="771"/>
    <col width="37.7109375" customWidth="1" style="45" min="772" max="772"/>
    <col width="37.85546875" customWidth="1" style="45" min="773" max="773"/>
    <col width="39.85546875" customWidth="1" style="45" min="774" max="774"/>
    <col width="53.140625" customWidth="1" style="45" min="775" max="775"/>
    <col width="35.28515625" customWidth="1" style="45" min="776" max="776"/>
    <col width="31" customWidth="1" style="45" min="777" max="777"/>
    <col width="29.140625" customWidth="1" style="45" min="778" max="778"/>
    <col width="30.140625" customWidth="1" style="45" min="779" max="779"/>
    <col width="49.140625" customWidth="1" style="45" min="780" max="780"/>
    <col width="31.85546875" customWidth="1" style="45" min="781" max="781"/>
    <col width="39.140625" customWidth="1" style="45" min="782" max="782"/>
    <col width="53" bestFit="1" customWidth="1" style="45" min="783" max="783"/>
    <col width="33.42578125" bestFit="1" customWidth="1" style="45" min="784" max="784"/>
    <col width="28.140625" customWidth="1" style="45" min="785" max="785"/>
    <col width="6.7109375" customWidth="1" style="45" min="786" max="790"/>
    <col width="1.7109375" customWidth="1" style="45" min="791" max="791"/>
    <col width="9.140625" customWidth="1" style="45" min="792" max="1015"/>
    <col width="16" customWidth="1" style="45" min="1016" max="1016"/>
    <col width="27.7109375" customWidth="1" style="45" min="1017" max="1017"/>
    <col width="65.7109375" customWidth="1" style="45" min="1018" max="1018"/>
    <col width="21.85546875" bestFit="1" customWidth="1" style="45" min="1019" max="1019"/>
    <col width="30.140625" customWidth="1" style="45" min="1020" max="1020"/>
    <col width="62" customWidth="1" style="45" min="1021" max="1021"/>
    <col width="44" customWidth="1" style="45" min="1022" max="1022"/>
    <col width="43.140625" customWidth="1" style="45" min="1023" max="1023"/>
    <col width="45" customWidth="1" style="45" min="1024" max="1024"/>
    <col width="35.5703125" customWidth="1" style="45" min="1025" max="1025"/>
    <col width="37.140625" customWidth="1" style="45" min="1026" max="1026"/>
    <col width="76.7109375" customWidth="1" style="45" min="1027" max="1027"/>
    <col width="37.7109375" customWidth="1" style="45" min="1028" max="1028"/>
    <col width="37.85546875" customWidth="1" style="45" min="1029" max="1029"/>
    <col width="39.85546875" customWidth="1" style="45" min="1030" max="1030"/>
    <col width="53.140625" customWidth="1" style="45" min="1031" max="1031"/>
    <col width="35.28515625" customWidth="1" style="45" min="1032" max="1032"/>
    <col width="31" customWidth="1" style="45" min="1033" max="1033"/>
    <col width="29.140625" customWidth="1" style="45" min="1034" max="1034"/>
    <col width="30.140625" customWidth="1" style="45" min="1035" max="1035"/>
    <col width="49.140625" customWidth="1" style="45" min="1036" max="1036"/>
    <col width="31.85546875" customWidth="1" style="45" min="1037" max="1037"/>
    <col width="39.140625" customWidth="1" style="45" min="1038" max="1038"/>
    <col width="53" bestFit="1" customWidth="1" style="45" min="1039" max="1039"/>
    <col width="33.42578125" bestFit="1" customWidth="1" style="45" min="1040" max="1040"/>
    <col width="28.140625" customWidth="1" style="45" min="1041" max="1041"/>
    <col width="6.7109375" customWidth="1" style="45" min="1042" max="1046"/>
    <col width="1.7109375" customWidth="1" style="45" min="1047" max="1047"/>
    <col width="9.140625" customWidth="1" style="45" min="1048" max="1271"/>
    <col width="16" customWidth="1" style="45" min="1272" max="1272"/>
    <col width="27.7109375" customWidth="1" style="45" min="1273" max="1273"/>
    <col width="65.7109375" customWidth="1" style="45" min="1274" max="1274"/>
    <col width="21.85546875" bestFit="1" customWidth="1" style="45" min="1275" max="1275"/>
    <col width="30.140625" customWidth="1" style="45" min="1276" max="1276"/>
    <col width="62" customWidth="1" style="45" min="1277" max="1277"/>
    <col width="44" customWidth="1" style="45" min="1278" max="1278"/>
    <col width="43.140625" customWidth="1" style="45" min="1279" max="1279"/>
    <col width="45" customWidth="1" style="45" min="1280" max="1280"/>
    <col width="35.5703125" customWidth="1" style="45" min="1281" max="1281"/>
    <col width="37.140625" customWidth="1" style="45" min="1282" max="1282"/>
    <col width="76.7109375" customWidth="1" style="45" min="1283" max="1283"/>
    <col width="37.7109375" customWidth="1" style="45" min="1284" max="1284"/>
    <col width="37.85546875" customWidth="1" style="45" min="1285" max="1285"/>
    <col width="39.85546875" customWidth="1" style="45" min="1286" max="1286"/>
    <col width="53.140625" customWidth="1" style="45" min="1287" max="1287"/>
    <col width="35.28515625" customWidth="1" style="45" min="1288" max="1288"/>
    <col width="31" customWidth="1" style="45" min="1289" max="1289"/>
    <col width="29.140625" customWidth="1" style="45" min="1290" max="1290"/>
    <col width="30.140625" customWidth="1" style="45" min="1291" max="1291"/>
    <col width="49.140625" customWidth="1" style="45" min="1292" max="1292"/>
    <col width="31.85546875" customWidth="1" style="45" min="1293" max="1293"/>
    <col width="39.140625" customWidth="1" style="45" min="1294" max="1294"/>
    <col width="53" bestFit="1" customWidth="1" style="45" min="1295" max="1295"/>
    <col width="33.42578125" bestFit="1" customWidth="1" style="45" min="1296" max="1296"/>
    <col width="28.140625" customWidth="1" style="45" min="1297" max="1297"/>
    <col width="6.7109375" customWidth="1" style="45" min="1298" max="1302"/>
    <col width="1.7109375" customWidth="1" style="45" min="1303" max="1303"/>
    <col width="9.140625" customWidth="1" style="45" min="1304" max="1527"/>
    <col width="16" customWidth="1" style="45" min="1528" max="1528"/>
    <col width="27.7109375" customWidth="1" style="45" min="1529" max="1529"/>
    <col width="65.7109375" customWidth="1" style="45" min="1530" max="1530"/>
    <col width="21.85546875" bestFit="1" customWidth="1" style="45" min="1531" max="1531"/>
    <col width="30.140625" customWidth="1" style="45" min="1532" max="1532"/>
    <col width="62" customWidth="1" style="45" min="1533" max="1533"/>
    <col width="44" customWidth="1" style="45" min="1534" max="1534"/>
    <col width="43.140625" customWidth="1" style="45" min="1535" max="1535"/>
    <col width="45" customWidth="1" style="45" min="1536" max="1536"/>
    <col width="35.5703125" customWidth="1" style="45" min="1537" max="1537"/>
    <col width="37.140625" customWidth="1" style="45" min="1538" max="1538"/>
    <col width="76.7109375" customWidth="1" style="45" min="1539" max="1539"/>
    <col width="37.7109375" customWidth="1" style="45" min="1540" max="1540"/>
    <col width="37.85546875" customWidth="1" style="45" min="1541" max="1541"/>
    <col width="39.85546875" customWidth="1" style="45" min="1542" max="1542"/>
    <col width="53.140625" customWidth="1" style="45" min="1543" max="1543"/>
    <col width="35.28515625" customWidth="1" style="45" min="1544" max="1544"/>
    <col width="31" customWidth="1" style="45" min="1545" max="1545"/>
    <col width="29.140625" customWidth="1" style="45" min="1546" max="1546"/>
    <col width="30.140625" customWidth="1" style="45" min="1547" max="1547"/>
    <col width="49.140625" customWidth="1" style="45" min="1548" max="1548"/>
    <col width="31.85546875" customWidth="1" style="45" min="1549" max="1549"/>
    <col width="39.140625" customWidth="1" style="45" min="1550" max="1550"/>
    <col width="53" bestFit="1" customWidth="1" style="45" min="1551" max="1551"/>
    <col width="33.42578125" bestFit="1" customWidth="1" style="45" min="1552" max="1552"/>
    <col width="28.140625" customWidth="1" style="45" min="1553" max="1553"/>
    <col width="6.7109375" customWidth="1" style="45" min="1554" max="1558"/>
    <col width="1.7109375" customWidth="1" style="45" min="1559" max="1559"/>
    <col width="9.140625" customWidth="1" style="45" min="1560" max="1783"/>
    <col width="16" customWidth="1" style="45" min="1784" max="1784"/>
    <col width="27.7109375" customWidth="1" style="45" min="1785" max="1785"/>
    <col width="65.7109375" customWidth="1" style="45" min="1786" max="1786"/>
    <col width="21.85546875" bestFit="1" customWidth="1" style="45" min="1787" max="1787"/>
    <col width="30.140625" customWidth="1" style="45" min="1788" max="1788"/>
    <col width="62" customWidth="1" style="45" min="1789" max="1789"/>
    <col width="44" customWidth="1" style="45" min="1790" max="1790"/>
    <col width="43.140625" customWidth="1" style="45" min="1791" max="1791"/>
    <col width="45" customWidth="1" style="45" min="1792" max="1792"/>
    <col width="35.5703125" customWidth="1" style="45" min="1793" max="1793"/>
    <col width="37.140625" customWidth="1" style="45" min="1794" max="1794"/>
    <col width="76.7109375" customWidth="1" style="45" min="1795" max="1795"/>
    <col width="37.7109375" customWidth="1" style="45" min="1796" max="1796"/>
    <col width="37.85546875" customWidth="1" style="45" min="1797" max="1797"/>
    <col width="39.85546875" customWidth="1" style="45" min="1798" max="1798"/>
    <col width="53.140625" customWidth="1" style="45" min="1799" max="1799"/>
    <col width="35.28515625" customWidth="1" style="45" min="1800" max="1800"/>
    <col width="31" customWidth="1" style="45" min="1801" max="1801"/>
    <col width="29.140625" customWidth="1" style="45" min="1802" max="1802"/>
    <col width="30.140625" customWidth="1" style="45" min="1803" max="1803"/>
    <col width="49.140625" customWidth="1" style="45" min="1804" max="1804"/>
    <col width="31.85546875" customWidth="1" style="45" min="1805" max="1805"/>
    <col width="39.140625" customWidth="1" style="45" min="1806" max="1806"/>
    <col width="53" bestFit="1" customWidth="1" style="45" min="1807" max="1807"/>
    <col width="33.42578125" bestFit="1" customWidth="1" style="45" min="1808" max="1808"/>
    <col width="28.140625" customWidth="1" style="45" min="1809" max="1809"/>
    <col width="6.7109375" customWidth="1" style="45" min="1810" max="1814"/>
    <col width="1.7109375" customWidth="1" style="45" min="1815" max="1815"/>
    <col width="9.140625" customWidth="1" style="45" min="1816" max="2039"/>
    <col width="16" customWidth="1" style="45" min="2040" max="2040"/>
    <col width="27.7109375" customWidth="1" style="45" min="2041" max="2041"/>
    <col width="65.7109375" customWidth="1" style="45" min="2042" max="2042"/>
    <col width="21.85546875" bestFit="1" customWidth="1" style="45" min="2043" max="2043"/>
    <col width="30.140625" customWidth="1" style="45" min="2044" max="2044"/>
    <col width="62" customWidth="1" style="45" min="2045" max="2045"/>
    <col width="44" customWidth="1" style="45" min="2046" max="2046"/>
    <col width="43.140625" customWidth="1" style="45" min="2047" max="2047"/>
    <col width="45" customWidth="1" style="45" min="2048" max="2048"/>
    <col width="35.5703125" customWidth="1" style="45" min="2049" max="2049"/>
    <col width="37.140625" customWidth="1" style="45" min="2050" max="2050"/>
    <col width="76.7109375" customWidth="1" style="45" min="2051" max="2051"/>
    <col width="37.7109375" customWidth="1" style="45" min="2052" max="2052"/>
    <col width="37.85546875" customWidth="1" style="45" min="2053" max="2053"/>
    <col width="39.85546875" customWidth="1" style="45" min="2054" max="2054"/>
    <col width="53.140625" customWidth="1" style="45" min="2055" max="2055"/>
    <col width="35.28515625" customWidth="1" style="45" min="2056" max="2056"/>
    <col width="31" customWidth="1" style="45" min="2057" max="2057"/>
    <col width="29.140625" customWidth="1" style="45" min="2058" max="2058"/>
    <col width="30.140625" customWidth="1" style="45" min="2059" max="2059"/>
    <col width="49.140625" customWidth="1" style="45" min="2060" max="2060"/>
    <col width="31.85546875" customWidth="1" style="45" min="2061" max="2061"/>
    <col width="39.140625" customWidth="1" style="45" min="2062" max="2062"/>
    <col width="53" bestFit="1" customWidth="1" style="45" min="2063" max="2063"/>
    <col width="33.42578125" bestFit="1" customWidth="1" style="45" min="2064" max="2064"/>
    <col width="28.140625" customWidth="1" style="45" min="2065" max="2065"/>
    <col width="6.7109375" customWidth="1" style="45" min="2066" max="2070"/>
    <col width="1.7109375" customWidth="1" style="45" min="2071" max="2071"/>
    <col width="9.140625" customWidth="1" style="45" min="2072" max="2295"/>
    <col width="16" customWidth="1" style="45" min="2296" max="2296"/>
    <col width="27.7109375" customWidth="1" style="45" min="2297" max="2297"/>
    <col width="65.7109375" customWidth="1" style="45" min="2298" max="2298"/>
    <col width="21.85546875" bestFit="1" customWidth="1" style="45" min="2299" max="2299"/>
    <col width="30.140625" customWidth="1" style="45" min="2300" max="2300"/>
    <col width="62" customWidth="1" style="45" min="2301" max="2301"/>
    <col width="44" customWidth="1" style="45" min="2302" max="2302"/>
    <col width="43.140625" customWidth="1" style="45" min="2303" max="2303"/>
    <col width="45" customWidth="1" style="45" min="2304" max="2304"/>
    <col width="35.5703125" customWidth="1" style="45" min="2305" max="2305"/>
    <col width="37.140625" customWidth="1" style="45" min="2306" max="2306"/>
    <col width="76.7109375" customWidth="1" style="45" min="2307" max="2307"/>
    <col width="37.7109375" customWidth="1" style="45" min="2308" max="2308"/>
    <col width="37.85546875" customWidth="1" style="45" min="2309" max="2309"/>
    <col width="39.85546875" customWidth="1" style="45" min="2310" max="2310"/>
    <col width="53.140625" customWidth="1" style="45" min="2311" max="2311"/>
    <col width="35.28515625" customWidth="1" style="45" min="2312" max="2312"/>
    <col width="31" customWidth="1" style="45" min="2313" max="2313"/>
    <col width="29.140625" customWidth="1" style="45" min="2314" max="2314"/>
    <col width="30.140625" customWidth="1" style="45" min="2315" max="2315"/>
    <col width="49.140625" customWidth="1" style="45" min="2316" max="2316"/>
    <col width="31.85546875" customWidth="1" style="45" min="2317" max="2317"/>
    <col width="39.140625" customWidth="1" style="45" min="2318" max="2318"/>
    <col width="53" bestFit="1" customWidth="1" style="45" min="2319" max="2319"/>
    <col width="33.42578125" bestFit="1" customWidth="1" style="45" min="2320" max="2320"/>
    <col width="28.140625" customWidth="1" style="45" min="2321" max="2321"/>
    <col width="6.7109375" customWidth="1" style="45" min="2322" max="2326"/>
    <col width="1.7109375" customWidth="1" style="45" min="2327" max="2327"/>
    <col width="9.140625" customWidth="1" style="45" min="2328" max="2551"/>
    <col width="16" customWidth="1" style="45" min="2552" max="2552"/>
    <col width="27.7109375" customWidth="1" style="45" min="2553" max="2553"/>
    <col width="65.7109375" customWidth="1" style="45" min="2554" max="2554"/>
    <col width="21.85546875" bestFit="1" customWidth="1" style="45" min="2555" max="2555"/>
    <col width="30.140625" customWidth="1" style="45" min="2556" max="2556"/>
    <col width="62" customWidth="1" style="45" min="2557" max="2557"/>
    <col width="44" customWidth="1" style="45" min="2558" max="2558"/>
    <col width="43.140625" customWidth="1" style="45" min="2559" max="2559"/>
    <col width="45" customWidth="1" style="45" min="2560" max="2560"/>
    <col width="35.5703125" customWidth="1" style="45" min="2561" max="2561"/>
    <col width="37.140625" customWidth="1" style="45" min="2562" max="2562"/>
    <col width="76.7109375" customWidth="1" style="45" min="2563" max="2563"/>
    <col width="37.7109375" customWidth="1" style="45" min="2564" max="2564"/>
    <col width="37.85546875" customWidth="1" style="45" min="2565" max="2565"/>
    <col width="39.85546875" customWidth="1" style="45" min="2566" max="2566"/>
    <col width="53.140625" customWidth="1" style="45" min="2567" max="2567"/>
    <col width="35.28515625" customWidth="1" style="45" min="2568" max="2568"/>
    <col width="31" customWidth="1" style="45" min="2569" max="2569"/>
    <col width="29.140625" customWidth="1" style="45" min="2570" max="2570"/>
    <col width="30.140625" customWidth="1" style="45" min="2571" max="2571"/>
    <col width="49.140625" customWidth="1" style="45" min="2572" max="2572"/>
    <col width="31.85546875" customWidth="1" style="45" min="2573" max="2573"/>
    <col width="39.140625" customWidth="1" style="45" min="2574" max="2574"/>
    <col width="53" bestFit="1" customWidth="1" style="45" min="2575" max="2575"/>
    <col width="33.42578125" bestFit="1" customWidth="1" style="45" min="2576" max="2576"/>
    <col width="28.140625" customWidth="1" style="45" min="2577" max="2577"/>
    <col width="6.7109375" customWidth="1" style="45" min="2578" max="2582"/>
    <col width="1.7109375" customWidth="1" style="45" min="2583" max="2583"/>
    <col width="9.140625" customWidth="1" style="45" min="2584" max="2807"/>
    <col width="16" customWidth="1" style="45" min="2808" max="2808"/>
    <col width="27.7109375" customWidth="1" style="45" min="2809" max="2809"/>
    <col width="65.7109375" customWidth="1" style="45" min="2810" max="2810"/>
    <col width="21.85546875" bestFit="1" customWidth="1" style="45" min="2811" max="2811"/>
    <col width="30.140625" customWidth="1" style="45" min="2812" max="2812"/>
    <col width="62" customWidth="1" style="45" min="2813" max="2813"/>
    <col width="44" customWidth="1" style="45" min="2814" max="2814"/>
    <col width="43.140625" customWidth="1" style="45" min="2815" max="2815"/>
    <col width="45" customWidth="1" style="45" min="2816" max="2816"/>
    <col width="35.5703125" customWidth="1" style="45" min="2817" max="2817"/>
    <col width="37.140625" customWidth="1" style="45" min="2818" max="2818"/>
    <col width="76.7109375" customWidth="1" style="45" min="2819" max="2819"/>
    <col width="37.7109375" customWidth="1" style="45" min="2820" max="2820"/>
    <col width="37.85546875" customWidth="1" style="45" min="2821" max="2821"/>
    <col width="39.85546875" customWidth="1" style="45" min="2822" max="2822"/>
    <col width="53.140625" customWidth="1" style="45" min="2823" max="2823"/>
    <col width="35.28515625" customWidth="1" style="45" min="2824" max="2824"/>
    <col width="31" customWidth="1" style="45" min="2825" max="2825"/>
    <col width="29.140625" customWidth="1" style="45" min="2826" max="2826"/>
    <col width="30.140625" customWidth="1" style="45" min="2827" max="2827"/>
    <col width="49.140625" customWidth="1" style="45" min="2828" max="2828"/>
    <col width="31.85546875" customWidth="1" style="45" min="2829" max="2829"/>
    <col width="39.140625" customWidth="1" style="45" min="2830" max="2830"/>
    <col width="53" bestFit="1" customWidth="1" style="45" min="2831" max="2831"/>
    <col width="33.42578125" bestFit="1" customWidth="1" style="45" min="2832" max="2832"/>
    <col width="28.140625" customWidth="1" style="45" min="2833" max="2833"/>
    <col width="6.7109375" customWidth="1" style="45" min="2834" max="2838"/>
    <col width="1.7109375" customWidth="1" style="45" min="2839" max="2839"/>
    <col width="9.140625" customWidth="1" style="45" min="2840" max="3063"/>
    <col width="16" customWidth="1" style="45" min="3064" max="3064"/>
    <col width="27.7109375" customWidth="1" style="45" min="3065" max="3065"/>
    <col width="65.7109375" customWidth="1" style="45" min="3066" max="3066"/>
    <col width="21.85546875" bestFit="1" customWidth="1" style="45" min="3067" max="3067"/>
    <col width="30.140625" customWidth="1" style="45" min="3068" max="3068"/>
    <col width="62" customWidth="1" style="45" min="3069" max="3069"/>
    <col width="44" customWidth="1" style="45" min="3070" max="3070"/>
    <col width="43.140625" customWidth="1" style="45" min="3071" max="3071"/>
    <col width="45" customWidth="1" style="45" min="3072" max="3072"/>
    <col width="35.5703125" customWidth="1" style="45" min="3073" max="3073"/>
    <col width="37.140625" customWidth="1" style="45" min="3074" max="3074"/>
    <col width="76.7109375" customWidth="1" style="45" min="3075" max="3075"/>
    <col width="37.7109375" customWidth="1" style="45" min="3076" max="3076"/>
    <col width="37.85546875" customWidth="1" style="45" min="3077" max="3077"/>
    <col width="39.85546875" customWidth="1" style="45" min="3078" max="3078"/>
    <col width="53.140625" customWidth="1" style="45" min="3079" max="3079"/>
    <col width="35.28515625" customWidth="1" style="45" min="3080" max="3080"/>
    <col width="31" customWidth="1" style="45" min="3081" max="3081"/>
    <col width="29.140625" customWidth="1" style="45" min="3082" max="3082"/>
    <col width="30.140625" customWidth="1" style="45" min="3083" max="3083"/>
    <col width="49.140625" customWidth="1" style="45" min="3084" max="3084"/>
    <col width="31.85546875" customWidth="1" style="45" min="3085" max="3085"/>
    <col width="39.140625" customWidth="1" style="45" min="3086" max="3086"/>
    <col width="53" bestFit="1" customWidth="1" style="45" min="3087" max="3087"/>
    <col width="33.42578125" bestFit="1" customWidth="1" style="45" min="3088" max="3088"/>
    <col width="28.140625" customWidth="1" style="45" min="3089" max="3089"/>
    <col width="6.7109375" customWidth="1" style="45" min="3090" max="3094"/>
    <col width="1.7109375" customWidth="1" style="45" min="3095" max="3095"/>
    <col width="9.140625" customWidth="1" style="45" min="3096" max="3319"/>
    <col width="16" customWidth="1" style="45" min="3320" max="3320"/>
    <col width="27.7109375" customWidth="1" style="45" min="3321" max="3321"/>
    <col width="65.7109375" customWidth="1" style="45" min="3322" max="3322"/>
    <col width="21.85546875" bestFit="1" customWidth="1" style="45" min="3323" max="3323"/>
    <col width="30.140625" customWidth="1" style="45" min="3324" max="3324"/>
    <col width="62" customWidth="1" style="45" min="3325" max="3325"/>
    <col width="44" customWidth="1" style="45" min="3326" max="3326"/>
    <col width="43.140625" customWidth="1" style="45" min="3327" max="3327"/>
    <col width="45" customWidth="1" style="45" min="3328" max="3328"/>
    <col width="35.5703125" customWidth="1" style="45" min="3329" max="3329"/>
    <col width="37.140625" customWidth="1" style="45" min="3330" max="3330"/>
    <col width="76.7109375" customWidth="1" style="45" min="3331" max="3331"/>
    <col width="37.7109375" customWidth="1" style="45" min="3332" max="3332"/>
    <col width="37.85546875" customWidth="1" style="45" min="3333" max="3333"/>
    <col width="39.85546875" customWidth="1" style="45" min="3334" max="3334"/>
    <col width="53.140625" customWidth="1" style="45" min="3335" max="3335"/>
    <col width="35.28515625" customWidth="1" style="45" min="3336" max="3336"/>
    <col width="31" customWidth="1" style="45" min="3337" max="3337"/>
    <col width="29.140625" customWidth="1" style="45" min="3338" max="3338"/>
    <col width="30.140625" customWidth="1" style="45" min="3339" max="3339"/>
    <col width="49.140625" customWidth="1" style="45" min="3340" max="3340"/>
    <col width="31.85546875" customWidth="1" style="45" min="3341" max="3341"/>
    <col width="39.140625" customWidth="1" style="45" min="3342" max="3342"/>
    <col width="53" bestFit="1" customWidth="1" style="45" min="3343" max="3343"/>
    <col width="33.42578125" bestFit="1" customWidth="1" style="45" min="3344" max="3344"/>
    <col width="28.140625" customWidth="1" style="45" min="3345" max="3345"/>
    <col width="6.7109375" customWidth="1" style="45" min="3346" max="3350"/>
    <col width="1.7109375" customWidth="1" style="45" min="3351" max="3351"/>
    <col width="9.140625" customWidth="1" style="45" min="3352" max="3575"/>
    <col width="16" customWidth="1" style="45" min="3576" max="3576"/>
    <col width="27.7109375" customWidth="1" style="45" min="3577" max="3577"/>
    <col width="65.7109375" customWidth="1" style="45" min="3578" max="3578"/>
    <col width="21.85546875" bestFit="1" customWidth="1" style="45" min="3579" max="3579"/>
    <col width="30.140625" customWidth="1" style="45" min="3580" max="3580"/>
    <col width="62" customWidth="1" style="45" min="3581" max="3581"/>
    <col width="44" customWidth="1" style="45" min="3582" max="3582"/>
    <col width="43.140625" customWidth="1" style="45" min="3583" max="3583"/>
    <col width="45" customWidth="1" style="45" min="3584" max="3584"/>
    <col width="35.5703125" customWidth="1" style="45" min="3585" max="3585"/>
    <col width="37.140625" customWidth="1" style="45" min="3586" max="3586"/>
    <col width="76.7109375" customWidth="1" style="45" min="3587" max="3587"/>
    <col width="37.7109375" customWidth="1" style="45" min="3588" max="3588"/>
    <col width="37.85546875" customWidth="1" style="45" min="3589" max="3589"/>
    <col width="39.85546875" customWidth="1" style="45" min="3590" max="3590"/>
    <col width="53.140625" customWidth="1" style="45" min="3591" max="3591"/>
    <col width="35.28515625" customWidth="1" style="45" min="3592" max="3592"/>
    <col width="31" customWidth="1" style="45" min="3593" max="3593"/>
    <col width="29.140625" customWidth="1" style="45" min="3594" max="3594"/>
    <col width="30.140625" customWidth="1" style="45" min="3595" max="3595"/>
    <col width="49.140625" customWidth="1" style="45" min="3596" max="3596"/>
    <col width="31.85546875" customWidth="1" style="45" min="3597" max="3597"/>
    <col width="39.140625" customWidth="1" style="45" min="3598" max="3598"/>
    <col width="53" bestFit="1" customWidth="1" style="45" min="3599" max="3599"/>
    <col width="33.42578125" bestFit="1" customWidth="1" style="45" min="3600" max="3600"/>
    <col width="28.140625" customWidth="1" style="45" min="3601" max="3601"/>
    <col width="6.7109375" customWidth="1" style="45" min="3602" max="3606"/>
    <col width="1.7109375" customWidth="1" style="45" min="3607" max="3607"/>
    <col width="9.140625" customWidth="1" style="45" min="3608" max="3831"/>
    <col width="16" customWidth="1" style="45" min="3832" max="3832"/>
    <col width="27.7109375" customWidth="1" style="45" min="3833" max="3833"/>
    <col width="65.7109375" customWidth="1" style="45" min="3834" max="3834"/>
    <col width="21.85546875" bestFit="1" customWidth="1" style="45" min="3835" max="3835"/>
    <col width="30.140625" customWidth="1" style="45" min="3836" max="3836"/>
    <col width="62" customWidth="1" style="45" min="3837" max="3837"/>
    <col width="44" customWidth="1" style="45" min="3838" max="3838"/>
    <col width="43.140625" customWidth="1" style="45" min="3839" max="3839"/>
    <col width="45" customWidth="1" style="45" min="3840" max="3840"/>
    <col width="35.5703125" customWidth="1" style="45" min="3841" max="3841"/>
    <col width="37.140625" customWidth="1" style="45" min="3842" max="3842"/>
    <col width="76.7109375" customWidth="1" style="45" min="3843" max="3843"/>
    <col width="37.7109375" customWidth="1" style="45" min="3844" max="3844"/>
    <col width="37.85546875" customWidth="1" style="45" min="3845" max="3845"/>
    <col width="39.85546875" customWidth="1" style="45" min="3846" max="3846"/>
    <col width="53.140625" customWidth="1" style="45" min="3847" max="3847"/>
    <col width="35.28515625" customWidth="1" style="45" min="3848" max="3848"/>
    <col width="31" customWidth="1" style="45" min="3849" max="3849"/>
    <col width="29.140625" customWidth="1" style="45" min="3850" max="3850"/>
    <col width="30.140625" customWidth="1" style="45" min="3851" max="3851"/>
    <col width="49.140625" customWidth="1" style="45" min="3852" max="3852"/>
    <col width="31.85546875" customWidth="1" style="45" min="3853" max="3853"/>
    <col width="39.140625" customWidth="1" style="45" min="3854" max="3854"/>
    <col width="53" bestFit="1" customWidth="1" style="45" min="3855" max="3855"/>
    <col width="33.42578125" bestFit="1" customWidth="1" style="45" min="3856" max="3856"/>
    <col width="28.140625" customWidth="1" style="45" min="3857" max="3857"/>
    <col width="6.7109375" customWidth="1" style="45" min="3858" max="3862"/>
    <col width="1.7109375" customWidth="1" style="45" min="3863" max="3863"/>
    <col width="9.140625" customWidth="1" style="45" min="3864" max="4087"/>
    <col width="16" customWidth="1" style="45" min="4088" max="4088"/>
    <col width="27.7109375" customWidth="1" style="45" min="4089" max="4089"/>
    <col width="65.7109375" customWidth="1" style="45" min="4090" max="4090"/>
    <col width="21.85546875" bestFit="1" customWidth="1" style="45" min="4091" max="4091"/>
    <col width="30.140625" customWidth="1" style="45" min="4092" max="4092"/>
    <col width="62" customWidth="1" style="45" min="4093" max="4093"/>
    <col width="44" customWidth="1" style="45" min="4094" max="4094"/>
    <col width="43.140625" customWidth="1" style="45" min="4095" max="4095"/>
    <col width="45" customWidth="1" style="45" min="4096" max="4096"/>
    <col width="35.5703125" customWidth="1" style="45" min="4097" max="4097"/>
    <col width="37.140625" customWidth="1" style="45" min="4098" max="4098"/>
    <col width="76.7109375" customWidth="1" style="45" min="4099" max="4099"/>
    <col width="37.7109375" customWidth="1" style="45" min="4100" max="4100"/>
    <col width="37.85546875" customWidth="1" style="45" min="4101" max="4101"/>
    <col width="39.85546875" customWidth="1" style="45" min="4102" max="4102"/>
    <col width="53.140625" customWidth="1" style="45" min="4103" max="4103"/>
    <col width="35.28515625" customWidth="1" style="45" min="4104" max="4104"/>
    <col width="31" customWidth="1" style="45" min="4105" max="4105"/>
    <col width="29.140625" customWidth="1" style="45" min="4106" max="4106"/>
    <col width="30.140625" customWidth="1" style="45" min="4107" max="4107"/>
    <col width="49.140625" customWidth="1" style="45" min="4108" max="4108"/>
    <col width="31.85546875" customWidth="1" style="45" min="4109" max="4109"/>
    <col width="39.140625" customWidth="1" style="45" min="4110" max="4110"/>
    <col width="53" bestFit="1" customWidth="1" style="45" min="4111" max="4111"/>
    <col width="33.42578125" bestFit="1" customWidth="1" style="45" min="4112" max="4112"/>
    <col width="28.140625" customWidth="1" style="45" min="4113" max="4113"/>
    <col width="6.7109375" customWidth="1" style="45" min="4114" max="4118"/>
    <col width="1.7109375" customWidth="1" style="45" min="4119" max="4119"/>
    <col width="9.140625" customWidth="1" style="45" min="4120" max="4343"/>
    <col width="16" customWidth="1" style="45" min="4344" max="4344"/>
    <col width="27.7109375" customWidth="1" style="45" min="4345" max="4345"/>
    <col width="65.7109375" customWidth="1" style="45" min="4346" max="4346"/>
    <col width="21.85546875" bestFit="1" customWidth="1" style="45" min="4347" max="4347"/>
    <col width="30.140625" customWidth="1" style="45" min="4348" max="4348"/>
    <col width="62" customWidth="1" style="45" min="4349" max="4349"/>
    <col width="44" customWidth="1" style="45" min="4350" max="4350"/>
    <col width="43.140625" customWidth="1" style="45" min="4351" max="4351"/>
    <col width="45" customWidth="1" style="45" min="4352" max="4352"/>
    <col width="35.5703125" customWidth="1" style="45" min="4353" max="4353"/>
    <col width="37.140625" customWidth="1" style="45" min="4354" max="4354"/>
    <col width="76.7109375" customWidth="1" style="45" min="4355" max="4355"/>
    <col width="37.7109375" customWidth="1" style="45" min="4356" max="4356"/>
    <col width="37.85546875" customWidth="1" style="45" min="4357" max="4357"/>
    <col width="39.85546875" customWidth="1" style="45" min="4358" max="4358"/>
    <col width="53.140625" customWidth="1" style="45" min="4359" max="4359"/>
    <col width="35.28515625" customWidth="1" style="45" min="4360" max="4360"/>
    <col width="31" customWidth="1" style="45" min="4361" max="4361"/>
    <col width="29.140625" customWidth="1" style="45" min="4362" max="4362"/>
    <col width="30.140625" customWidth="1" style="45" min="4363" max="4363"/>
    <col width="49.140625" customWidth="1" style="45" min="4364" max="4364"/>
    <col width="31.85546875" customWidth="1" style="45" min="4365" max="4365"/>
    <col width="39.140625" customWidth="1" style="45" min="4366" max="4366"/>
    <col width="53" bestFit="1" customWidth="1" style="45" min="4367" max="4367"/>
    <col width="33.42578125" bestFit="1" customWidth="1" style="45" min="4368" max="4368"/>
    <col width="28.140625" customWidth="1" style="45" min="4369" max="4369"/>
    <col width="6.7109375" customWidth="1" style="45" min="4370" max="4374"/>
    <col width="1.7109375" customWidth="1" style="45" min="4375" max="4375"/>
    <col width="9.140625" customWidth="1" style="45" min="4376" max="4599"/>
    <col width="16" customWidth="1" style="45" min="4600" max="4600"/>
    <col width="27.7109375" customWidth="1" style="45" min="4601" max="4601"/>
    <col width="65.7109375" customWidth="1" style="45" min="4602" max="4602"/>
    <col width="21.85546875" bestFit="1" customWidth="1" style="45" min="4603" max="4603"/>
    <col width="30.140625" customWidth="1" style="45" min="4604" max="4604"/>
    <col width="62" customWidth="1" style="45" min="4605" max="4605"/>
    <col width="44" customWidth="1" style="45" min="4606" max="4606"/>
    <col width="43.140625" customWidth="1" style="45" min="4607" max="4607"/>
    <col width="45" customWidth="1" style="45" min="4608" max="4608"/>
    <col width="35.5703125" customWidth="1" style="45" min="4609" max="4609"/>
    <col width="37.140625" customWidth="1" style="45" min="4610" max="4610"/>
    <col width="76.7109375" customWidth="1" style="45" min="4611" max="4611"/>
    <col width="37.7109375" customWidth="1" style="45" min="4612" max="4612"/>
    <col width="37.85546875" customWidth="1" style="45" min="4613" max="4613"/>
    <col width="39.85546875" customWidth="1" style="45" min="4614" max="4614"/>
    <col width="53.140625" customWidth="1" style="45" min="4615" max="4615"/>
    <col width="35.28515625" customWidth="1" style="45" min="4616" max="4616"/>
    <col width="31" customWidth="1" style="45" min="4617" max="4617"/>
    <col width="29.140625" customWidth="1" style="45" min="4618" max="4618"/>
    <col width="30.140625" customWidth="1" style="45" min="4619" max="4619"/>
    <col width="49.140625" customWidth="1" style="45" min="4620" max="4620"/>
    <col width="31.85546875" customWidth="1" style="45" min="4621" max="4621"/>
    <col width="39.140625" customWidth="1" style="45" min="4622" max="4622"/>
    <col width="53" bestFit="1" customWidth="1" style="45" min="4623" max="4623"/>
    <col width="33.42578125" bestFit="1" customWidth="1" style="45" min="4624" max="4624"/>
    <col width="28.140625" customWidth="1" style="45" min="4625" max="4625"/>
    <col width="6.7109375" customWidth="1" style="45" min="4626" max="4630"/>
    <col width="1.7109375" customWidth="1" style="45" min="4631" max="4631"/>
    <col width="9.140625" customWidth="1" style="45" min="4632" max="4855"/>
    <col width="16" customWidth="1" style="45" min="4856" max="4856"/>
    <col width="27.7109375" customWidth="1" style="45" min="4857" max="4857"/>
    <col width="65.7109375" customWidth="1" style="45" min="4858" max="4858"/>
    <col width="21.85546875" bestFit="1" customWidth="1" style="45" min="4859" max="4859"/>
    <col width="30.140625" customWidth="1" style="45" min="4860" max="4860"/>
    <col width="62" customWidth="1" style="45" min="4861" max="4861"/>
    <col width="44" customWidth="1" style="45" min="4862" max="4862"/>
    <col width="43.140625" customWidth="1" style="45" min="4863" max="4863"/>
    <col width="45" customWidth="1" style="45" min="4864" max="4864"/>
    <col width="35.5703125" customWidth="1" style="45" min="4865" max="4865"/>
    <col width="37.140625" customWidth="1" style="45" min="4866" max="4866"/>
    <col width="76.7109375" customWidth="1" style="45" min="4867" max="4867"/>
    <col width="37.7109375" customWidth="1" style="45" min="4868" max="4868"/>
    <col width="37.85546875" customWidth="1" style="45" min="4869" max="4869"/>
    <col width="39.85546875" customWidth="1" style="45" min="4870" max="4870"/>
    <col width="53.140625" customWidth="1" style="45" min="4871" max="4871"/>
    <col width="35.28515625" customWidth="1" style="45" min="4872" max="4872"/>
    <col width="31" customWidth="1" style="45" min="4873" max="4873"/>
    <col width="29.140625" customWidth="1" style="45" min="4874" max="4874"/>
    <col width="30.140625" customWidth="1" style="45" min="4875" max="4875"/>
    <col width="49.140625" customWidth="1" style="45" min="4876" max="4876"/>
    <col width="31.85546875" customWidth="1" style="45" min="4877" max="4877"/>
    <col width="39.140625" customWidth="1" style="45" min="4878" max="4878"/>
    <col width="53" bestFit="1" customWidth="1" style="45" min="4879" max="4879"/>
    <col width="33.42578125" bestFit="1" customWidth="1" style="45" min="4880" max="4880"/>
    <col width="28.140625" customWidth="1" style="45" min="4881" max="4881"/>
    <col width="6.7109375" customWidth="1" style="45" min="4882" max="4886"/>
    <col width="1.7109375" customWidth="1" style="45" min="4887" max="4887"/>
    <col width="9.140625" customWidth="1" style="45" min="4888" max="5111"/>
    <col width="16" customWidth="1" style="45" min="5112" max="5112"/>
    <col width="27.7109375" customWidth="1" style="45" min="5113" max="5113"/>
    <col width="65.7109375" customWidth="1" style="45" min="5114" max="5114"/>
    <col width="21.85546875" bestFit="1" customWidth="1" style="45" min="5115" max="5115"/>
    <col width="30.140625" customWidth="1" style="45" min="5116" max="5116"/>
    <col width="62" customWidth="1" style="45" min="5117" max="5117"/>
    <col width="44" customWidth="1" style="45" min="5118" max="5118"/>
    <col width="43.140625" customWidth="1" style="45" min="5119" max="5119"/>
    <col width="45" customWidth="1" style="45" min="5120" max="5120"/>
    <col width="35.5703125" customWidth="1" style="45" min="5121" max="5121"/>
    <col width="37.140625" customWidth="1" style="45" min="5122" max="5122"/>
    <col width="76.7109375" customWidth="1" style="45" min="5123" max="5123"/>
    <col width="37.7109375" customWidth="1" style="45" min="5124" max="5124"/>
    <col width="37.85546875" customWidth="1" style="45" min="5125" max="5125"/>
    <col width="39.85546875" customWidth="1" style="45" min="5126" max="5126"/>
    <col width="53.140625" customWidth="1" style="45" min="5127" max="5127"/>
    <col width="35.28515625" customWidth="1" style="45" min="5128" max="5128"/>
    <col width="31" customWidth="1" style="45" min="5129" max="5129"/>
    <col width="29.140625" customWidth="1" style="45" min="5130" max="5130"/>
    <col width="30.140625" customWidth="1" style="45" min="5131" max="5131"/>
    <col width="49.140625" customWidth="1" style="45" min="5132" max="5132"/>
    <col width="31.85546875" customWidth="1" style="45" min="5133" max="5133"/>
    <col width="39.140625" customWidth="1" style="45" min="5134" max="5134"/>
    <col width="53" bestFit="1" customWidth="1" style="45" min="5135" max="5135"/>
    <col width="33.42578125" bestFit="1" customWidth="1" style="45" min="5136" max="5136"/>
    <col width="28.140625" customWidth="1" style="45" min="5137" max="5137"/>
    <col width="6.7109375" customWidth="1" style="45" min="5138" max="5142"/>
    <col width="1.7109375" customWidth="1" style="45" min="5143" max="5143"/>
    <col width="9.140625" customWidth="1" style="45" min="5144" max="5367"/>
    <col width="16" customWidth="1" style="45" min="5368" max="5368"/>
    <col width="27.7109375" customWidth="1" style="45" min="5369" max="5369"/>
    <col width="65.7109375" customWidth="1" style="45" min="5370" max="5370"/>
    <col width="21.85546875" bestFit="1" customWidth="1" style="45" min="5371" max="5371"/>
    <col width="30.140625" customWidth="1" style="45" min="5372" max="5372"/>
    <col width="62" customWidth="1" style="45" min="5373" max="5373"/>
    <col width="44" customWidth="1" style="45" min="5374" max="5374"/>
    <col width="43.140625" customWidth="1" style="45" min="5375" max="5375"/>
    <col width="45" customWidth="1" style="45" min="5376" max="5376"/>
    <col width="35.5703125" customWidth="1" style="45" min="5377" max="5377"/>
    <col width="37.140625" customWidth="1" style="45" min="5378" max="5378"/>
    <col width="76.7109375" customWidth="1" style="45" min="5379" max="5379"/>
    <col width="37.7109375" customWidth="1" style="45" min="5380" max="5380"/>
    <col width="37.85546875" customWidth="1" style="45" min="5381" max="5381"/>
    <col width="39.85546875" customWidth="1" style="45" min="5382" max="5382"/>
    <col width="53.140625" customWidth="1" style="45" min="5383" max="5383"/>
    <col width="35.28515625" customWidth="1" style="45" min="5384" max="5384"/>
    <col width="31" customWidth="1" style="45" min="5385" max="5385"/>
    <col width="29.140625" customWidth="1" style="45" min="5386" max="5386"/>
    <col width="30.140625" customWidth="1" style="45" min="5387" max="5387"/>
    <col width="49.140625" customWidth="1" style="45" min="5388" max="5388"/>
    <col width="31.85546875" customWidth="1" style="45" min="5389" max="5389"/>
    <col width="39.140625" customWidth="1" style="45" min="5390" max="5390"/>
    <col width="53" bestFit="1" customWidth="1" style="45" min="5391" max="5391"/>
    <col width="33.42578125" bestFit="1" customWidth="1" style="45" min="5392" max="5392"/>
    <col width="28.140625" customWidth="1" style="45" min="5393" max="5393"/>
    <col width="6.7109375" customWidth="1" style="45" min="5394" max="5398"/>
    <col width="1.7109375" customWidth="1" style="45" min="5399" max="5399"/>
    <col width="9.140625" customWidth="1" style="45" min="5400" max="5623"/>
    <col width="16" customWidth="1" style="45" min="5624" max="5624"/>
    <col width="27.7109375" customWidth="1" style="45" min="5625" max="5625"/>
    <col width="65.7109375" customWidth="1" style="45" min="5626" max="5626"/>
    <col width="21.85546875" bestFit="1" customWidth="1" style="45" min="5627" max="5627"/>
    <col width="30.140625" customWidth="1" style="45" min="5628" max="5628"/>
    <col width="62" customWidth="1" style="45" min="5629" max="5629"/>
    <col width="44" customWidth="1" style="45" min="5630" max="5630"/>
    <col width="43.140625" customWidth="1" style="45" min="5631" max="5631"/>
    <col width="45" customWidth="1" style="45" min="5632" max="5632"/>
    <col width="35.5703125" customWidth="1" style="45" min="5633" max="5633"/>
    <col width="37.140625" customWidth="1" style="45" min="5634" max="5634"/>
    <col width="76.7109375" customWidth="1" style="45" min="5635" max="5635"/>
    <col width="37.7109375" customWidth="1" style="45" min="5636" max="5636"/>
    <col width="37.85546875" customWidth="1" style="45" min="5637" max="5637"/>
    <col width="39.85546875" customWidth="1" style="45" min="5638" max="5638"/>
    <col width="53.140625" customWidth="1" style="45" min="5639" max="5639"/>
    <col width="35.28515625" customWidth="1" style="45" min="5640" max="5640"/>
    <col width="31" customWidth="1" style="45" min="5641" max="5641"/>
    <col width="29.140625" customWidth="1" style="45" min="5642" max="5642"/>
    <col width="30.140625" customWidth="1" style="45" min="5643" max="5643"/>
    <col width="49.140625" customWidth="1" style="45" min="5644" max="5644"/>
    <col width="31.85546875" customWidth="1" style="45" min="5645" max="5645"/>
    <col width="39.140625" customWidth="1" style="45" min="5646" max="5646"/>
    <col width="53" bestFit="1" customWidth="1" style="45" min="5647" max="5647"/>
    <col width="33.42578125" bestFit="1" customWidth="1" style="45" min="5648" max="5648"/>
    <col width="28.140625" customWidth="1" style="45" min="5649" max="5649"/>
    <col width="6.7109375" customWidth="1" style="45" min="5650" max="5654"/>
    <col width="1.7109375" customWidth="1" style="45" min="5655" max="5655"/>
    <col width="9.140625" customWidth="1" style="45" min="5656" max="5879"/>
    <col width="16" customWidth="1" style="45" min="5880" max="5880"/>
    <col width="27.7109375" customWidth="1" style="45" min="5881" max="5881"/>
    <col width="65.7109375" customWidth="1" style="45" min="5882" max="5882"/>
    <col width="21.85546875" bestFit="1" customWidth="1" style="45" min="5883" max="5883"/>
    <col width="30.140625" customWidth="1" style="45" min="5884" max="5884"/>
    <col width="62" customWidth="1" style="45" min="5885" max="5885"/>
    <col width="44" customWidth="1" style="45" min="5886" max="5886"/>
    <col width="43.140625" customWidth="1" style="45" min="5887" max="5887"/>
    <col width="45" customWidth="1" style="45" min="5888" max="5888"/>
    <col width="35.5703125" customWidth="1" style="45" min="5889" max="5889"/>
    <col width="37.140625" customWidth="1" style="45" min="5890" max="5890"/>
    <col width="76.7109375" customWidth="1" style="45" min="5891" max="5891"/>
    <col width="37.7109375" customWidth="1" style="45" min="5892" max="5892"/>
    <col width="37.85546875" customWidth="1" style="45" min="5893" max="5893"/>
    <col width="39.85546875" customWidth="1" style="45" min="5894" max="5894"/>
    <col width="53.140625" customWidth="1" style="45" min="5895" max="5895"/>
    <col width="35.28515625" customWidth="1" style="45" min="5896" max="5896"/>
    <col width="31" customWidth="1" style="45" min="5897" max="5897"/>
    <col width="29.140625" customWidth="1" style="45" min="5898" max="5898"/>
    <col width="30.140625" customWidth="1" style="45" min="5899" max="5899"/>
    <col width="49.140625" customWidth="1" style="45" min="5900" max="5900"/>
    <col width="31.85546875" customWidth="1" style="45" min="5901" max="5901"/>
    <col width="39.140625" customWidth="1" style="45" min="5902" max="5902"/>
    <col width="53" bestFit="1" customWidth="1" style="45" min="5903" max="5903"/>
    <col width="33.42578125" bestFit="1" customWidth="1" style="45" min="5904" max="5904"/>
    <col width="28.140625" customWidth="1" style="45" min="5905" max="5905"/>
    <col width="6.7109375" customWidth="1" style="45" min="5906" max="5910"/>
    <col width="1.7109375" customWidth="1" style="45" min="5911" max="5911"/>
    <col width="9.140625" customWidth="1" style="45" min="5912" max="6135"/>
    <col width="16" customWidth="1" style="45" min="6136" max="6136"/>
    <col width="27.7109375" customWidth="1" style="45" min="6137" max="6137"/>
    <col width="65.7109375" customWidth="1" style="45" min="6138" max="6138"/>
    <col width="21.85546875" bestFit="1" customWidth="1" style="45" min="6139" max="6139"/>
    <col width="30.140625" customWidth="1" style="45" min="6140" max="6140"/>
    <col width="62" customWidth="1" style="45" min="6141" max="6141"/>
    <col width="44" customWidth="1" style="45" min="6142" max="6142"/>
    <col width="43.140625" customWidth="1" style="45" min="6143" max="6143"/>
    <col width="45" customWidth="1" style="45" min="6144" max="6144"/>
    <col width="35.5703125" customWidth="1" style="45" min="6145" max="6145"/>
    <col width="37.140625" customWidth="1" style="45" min="6146" max="6146"/>
    <col width="76.7109375" customWidth="1" style="45" min="6147" max="6147"/>
    <col width="37.7109375" customWidth="1" style="45" min="6148" max="6148"/>
    <col width="37.85546875" customWidth="1" style="45" min="6149" max="6149"/>
    <col width="39.85546875" customWidth="1" style="45" min="6150" max="6150"/>
    <col width="53.140625" customWidth="1" style="45" min="6151" max="6151"/>
    <col width="35.28515625" customWidth="1" style="45" min="6152" max="6152"/>
    <col width="31" customWidth="1" style="45" min="6153" max="6153"/>
    <col width="29.140625" customWidth="1" style="45" min="6154" max="6154"/>
    <col width="30.140625" customWidth="1" style="45" min="6155" max="6155"/>
    <col width="49.140625" customWidth="1" style="45" min="6156" max="6156"/>
    <col width="31.85546875" customWidth="1" style="45" min="6157" max="6157"/>
    <col width="39.140625" customWidth="1" style="45" min="6158" max="6158"/>
    <col width="53" bestFit="1" customWidth="1" style="45" min="6159" max="6159"/>
    <col width="33.42578125" bestFit="1" customWidth="1" style="45" min="6160" max="6160"/>
    <col width="28.140625" customWidth="1" style="45" min="6161" max="6161"/>
    <col width="6.7109375" customWidth="1" style="45" min="6162" max="6166"/>
    <col width="1.7109375" customWidth="1" style="45" min="6167" max="6167"/>
    <col width="9.140625" customWidth="1" style="45" min="6168" max="6391"/>
    <col width="16" customWidth="1" style="45" min="6392" max="6392"/>
    <col width="27.7109375" customWidth="1" style="45" min="6393" max="6393"/>
    <col width="65.7109375" customWidth="1" style="45" min="6394" max="6394"/>
    <col width="21.85546875" bestFit="1" customWidth="1" style="45" min="6395" max="6395"/>
    <col width="30.140625" customWidth="1" style="45" min="6396" max="6396"/>
    <col width="62" customWidth="1" style="45" min="6397" max="6397"/>
    <col width="44" customWidth="1" style="45" min="6398" max="6398"/>
    <col width="43.140625" customWidth="1" style="45" min="6399" max="6399"/>
    <col width="45" customWidth="1" style="45" min="6400" max="6400"/>
    <col width="35.5703125" customWidth="1" style="45" min="6401" max="6401"/>
    <col width="37.140625" customWidth="1" style="45" min="6402" max="6402"/>
    <col width="76.7109375" customWidth="1" style="45" min="6403" max="6403"/>
    <col width="37.7109375" customWidth="1" style="45" min="6404" max="6404"/>
    <col width="37.85546875" customWidth="1" style="45" min="6405" max="6405"/>
    <col width="39.85546875" customWidth="1" style="45" min="6406" max="6406"/>
    <col width="53.140625" customWidth="1" style="45" min="6407" max="6407"/>
    <col width="35.28515625" customWidth="1" style="45" min="6408" max="6408"/>
    <col width="31" customWidth="1" style="45" min="6409" max="6409"/>
    <col width="29.140625" customWidth="1" style="45" min="6410" max="6410"/>
    <col width="30.140625" customWidth="1" style="45" min="6411" max="6411"/>
    <col width="49.140625" customWidth="1" style="45" min="6412" max="6412"/>
    <col width="31.85546875" customWidth="1" style="45" min="6413" max="6413"/>
    <col width="39.140625" customWidth="1" style="45" min="6414" max="6414"/>
    <col width="53" bestFit="1" customWidth="1" style="45" min="6415" max="6415"/>
    <col width="33.42578125" bestFit="1" customWidth="1" style="45" min="6416" max="6416"/>
    <col width="28.140625" customWidth="1" style="45" min="6417" max="6417"/>
    <col width="6.7109375" customWidth="1" style="45" min="6418" max="6422"/>
    <col width="1.7109375" customWidth="1" style="45" min="6423" max="6423"/>
    <col width="9.140625" customWidth="1" style="45" min="6424" max="6647"/>
    <col width="16" customWidth="1" style="45" min="6648" max="6648"/>
    <col width="27.7109375" customWidth="1" style="45" min="6649" max="6649"/>
    <col width="65.7109375" customWidth="1" style="45" min="6650" max="6650"/>
    <col width="21.85546875" bestFit="1" customWidth="1" style="45" min="6651" max="6651"/>
    <col width="30.140625" customWidth="1" style="45" min="6652" max="6652"/>
    <col width="62" customWidth="1" style="45" min="6653" max="6653"/>
    <col width="44" customWidth="1" style="45" min="6654" max="6654"/>
    <col width="43.140625" customWidth="1" style="45" min="6655" max="6655"/>
    <col width="45" customWidth="1" style="45" min="6656" max="6656"/>
    <col width="35.5703125" customWidth="1" style="45" min="6657" max="6657"/>
    <col width="37.140625" customWidth="1" style="45" min="6658" max="6658"/>
    <col width="76.7109375" customWidth="1" style="45" min="6659" max="6659"/>
    <col width="37.7109375" customWidth="1" style="45" min="6660" max="6660"/>
    <col width="37.85546875" customWidth="1" style="45" min="6661" max="6661"/>
    <col width="39.85546875" customWidth="1" style="45" min="6662" max="6662"/>
    <col width="53.140625" customWidth="1" style="45" min="6663" max="6663"/>
    <col width="35.28515625" customWidth="1" style="45" min="6664" max="6664"/>
    <col width="31" customWidth="1" style="45" min="6665" max="6665"/>
    <col width="29.140625" customWidth="1" style="45" min="6666" max="6666"/>
    <col width="30.140625" customWidth="1" style="45" min="6667" max="6667"/>
    <col width="49.140625" customWidth="1" style="45" min="6668" max="6668"/>
    <col width="31.85546875" customWidth="1" style="45" min="6669" max="6669"/>
    <col width="39.140625" customWidth="1" style="45" min="6670" max="6670"/>
    <col width="53" bestFit="1" customWidth="1" style="45" min="6671" max="6671"/>
    <col width="33.42578125" bestFit="1" customWidth="1" style="45" min="6672" max="6672"/>
    <col width="28.140625" customWidth="1" style="45" min="6673" max="6673"/>
    <col width="6.7109375" customWidth="1" style="45" min="6674" max="6678"/>
    <col width="1.7109375" customWidth="1" style="45" min="6679" max="6679"/>
    <col width="9.140625" customWidth="1" style="45" min="6680" max="6903"/>
    <col width="16" customWidth="1" style="45" min="6904" max="6904"/>
    <col width="27.7109375" customWidth="1" style="45" min="6905" max="6905"/>
    <col width="65.7109375" customWidth="1" style="45" min="6906" max="6906"/>
    <col width="21.85546875" bestFit="1" customWidth="1" style="45" min="6907" max="6907"/>
    <col width="30.140625" customWidth="1" style="45" min="6908" max="6908"/>
    <col width="62" customWidth="1" style="45" min="6909" max="6909"/>
    <col width="44" customWidth="1" style="45" min="6910" max="6910"/>
    <col width="43.140625" customWidth="1" style="45" min="6911" max="6911"/>
    <col width="45" customWidth="1" style="45" min="6912" max="6912"/>
    <col width="35.5703125" customWidth="1" style="45" min="6913" max="6913"/>
    <col width="37.140625" customWidth="1" style="45" min="6914" max="6914"/>
    <col width="76.7109375" customWidth="1" style="45" min="6915" max="6915"/>
    <col width="37.7109375" customWidth="1" style="45" min="6916" max="6916"/>
    <col width="37.85546875" customWidth="1" style="45" min="6917" max="6917"/>
    <col width="39.85546875" customWidth="1" style="45" min="6918" max="6918"/>
    <col width="53.140625" customWidth="1" style="45" min="6919" max="6919"/>
    <col width="35.28515625" customWidth="1" style="45" min="6920" max="6920"/>
    <col width="31" customWidth="1" style="45" min="6921" max="6921"/>
    <col width="29.140625" customWidth="1" style="45" min="6922" max="6922"/>
    <col width="30.140625" customWidth="1" style="45" min="6923" max="6923"/>
    <col width="49.140625" customWidth="1" style="45" min="6924" max="6924"/>
    <col width="31.85546875" customWidth="1" style="45" min="6925" max="6925"/>
    <col width="39.140625" customWidth="1" style="45" min="6926" max="6926"/>
    <col width="53" bestFit="1" customWidth="1" style="45" min="6927" max="6927"/>
    <col width="33.42578125" bestFit="1" customWidth="1" style="45" min="6928" max="6928"/>
    <col width="28.140625" customWidth="1" style="45" min="6929" max="6929"/>
    <col width="6.7109375" customWidth="1" style="45" min="6930" max="6934"/>
    <col width="1.7109375" customWidth="1" style="45" min="6935" max="6935"/>
    <col width="9.140625" customWidth="1" style="45" min="6936" max="7159"/>
    <col width="16" customWidth="1" style="45" min="7160" max="7160"/>
    <col width="27.7109375" customWidth="1" style="45" min="7161" max="7161"/>
    <col width="65.7109375" customWidth="1" style="45" min="7162" max="7162"/>
    <col width="21.85546875" bestFit="1" customWidth="1" style="45" min="7163" max="7163"/>
    <col width="30.140625" customWidth="1" style="45" min="7164" max="7164"/>
    <col width="62" customWidth="1" style="45" min="7165" max="7165"/>
    <col width="44" customWidth="1" style="45" min="7166" max="7166"/>
    <col width="43.140625" customWidth="1" style="45" min="7167" max="7167"/>
    <col width="45" customWidth="1" style="45" min="7168" max="7168"/>
    <col width="35.5703125" customWidth="1" style="45" min="7169" max="7169"/>
    <col width="37.140625" customWidth="1" style="45" min="7170" max="7170"/>
    <col width="76.7109375" customWidth="1" style="45" min="7171" max="7171"/>
    <col width="37.7109375" customWidth="1" style="45" min="7172" max="7172"/>
    <col width="37.85546875" customWidth="1" style="45" min="7173" max="7173"/>
    <col width="39.85546875" customWidth="1" style="45" min="7174" max="7174"/>
    <col width="53.140625" customWidth="1" style="45" min="7175" max="7175"/>
    <col width="35.28515625" customWidth="1" style="45" min="7176" max="7176"/>
    <col width="31" customWidth="1" style="45" min="7177" max="7177"/>
    <col width="29.140625" customWidth="1" style="45" min="7178" max="7178"/>
    <col width="30.140625" customWidth="1" style="45" min="7179" max="7179"/>
    <col width="49.140625" customWidth="1" style="45" min="7180" max="7180"/>
    <col width="31.85546875" customWidth="1" style="45" min="7181" max="7181"/>
    <col width="39.140625" customWidth="1" style="45" min="7182" max="7182"/>
    <col width="53" bestFit="1" customWidth="1" style="45" min="7183" max="7183"/>
    <col width="33.42578125" bestFit="1" customWidth="1" style="45" min="7184" max="7184"/>
    <col width="28.140625" customWidth="1" style="45" min="7185" max="7185"/>
    <col width="6.7109375" customWidth="1" style="45" min="7186" max="7190"/>
    <col width="1.7109375" customWidth="1" style="45" min="7191" max="7191"/>
    <col width="9.140625" customWidth="1" style="45" min="7192" max="7415"/>
    <col width="16" customWidth="1" style="45" min="7416" max="7416"/>
    <col width="27.7109375" customWidth="1" style="45" min="7417" max="7417"/>
    <col width="65.7109375" customWidth="1" style="45" min="7418" max="7418"/>
    <col width="21.85546875" bestFit="1" customWidth="1" style="45" min="7419" max="7419"/>
    <col width="30.140625" customWidth="1" style="45" min="7420" max="7420"/>
    <col width="62" customWidth="1" style="45" min="7421" max="7421"/>
    <col width="44" customWidth="1" style="45" min="7422" max="7422"/>
    <col width="43.140625" customWidth="1" style="45" min="7423" max="7423"/>
    <col width="45" customWidth="1" style="45" min="7424" max="7424"/>
    <col width="35.5703125" customWidth="1" style="45" min="7425" max="7425"/>
    <col width="37.140625" customWidth="1" style="45" min="7426" max="7426"/>
    <col width="76.7109375" customWidth="1" style="45" min="7427" max="7427"/>
    <col width="37.7109375" customWidth="1" style="45" min="7428" max="7428"/>
    <col width="37.85546875" customWidth="1" style="45" min="7429" max="7429"/>
    <col width="39.85546875" customWidth="1" style="45" min="7430" max="7430"/>
    <col width="53.140625" customWidth="1" style="45" min="7431" max="7431"/>
    <col width="35.28515625" customWidth="1" style="45" min="7432" max="7432"/>
    <col width="31" customWidth="1" style="45" min="7433" max="7433"/>
    <col width="29.140625" customWidth="1" style="45" min="7434" max="7434"/>
    <col width="30.140625" customWidth="1" style="45" min="7435" max="7435"/>
    <col width="49.140625" customWidth="1" style="45" min="7436" max="7436"/>
    <col width="31.85546875" customWidth="1" style="45" min="7437" max="7437"/>
    <col width="39.140625" customWidth="1" style="45" min="7438" max="7438"/>
    <col width="53" bestFit="1" customWidth="1" style="45" min="7439" max="7439"/>
    <col width="33.42578125" bestFit="1" customWidth="1" style="45" min="7440" max="7440"/>
    <col width="28.140625" customWidth="1" style="45" min="7441" max="7441"/>
    <col width="6.7109375" customWidth="1" style="45" min="7442" max="7446"/>
    <col width="1.7109375" customWidth="1" style="45" min="7447" max="7447"/>
    <col width="9.140625" customWidth="1" style="45" min="7448" max="7671"/>
    <col width="16" customWidth="1" style="45" min="7672" max="7672"/>
    <col width="27.7109375" customWidth="1" style="45" min="7673" max="7673"/>
    <col width="65.7109375" customWidth="1" style="45" min="7674" max="7674"/>
    <col width="21.85546875" bestFit="1" customWidth="1" style="45" min="7675" max="7675"/>
    <col width="30.140625" customWidth="1" style="45" min="7676" max="7676"/>
    <col width="62" customWidth="1" style="45" min="7677" max="7677"/>
    <col width="44" customWidth="1" style="45" min="7678" max="7678"/>
    <col width="43.140625" customWidth="1" style="45" min="7679" max="7679"/>
    <col width="45" customWidth="1" style="45" min="7680" max="7680"/>
    <col width="35.5703125" customWidth="1" style="45" min="7681" max="7681"/>
    <col width="37.140625" customWidth="1" style="45" min="7682" max="7682"/>
    <col width="76.7109375" customWidth="1" style="45" min="7683" max="7683"/>
    <col width="37.7109375" customWidth="1" style="45" min="7684" max="7684"/>
    <col width="37.85546875" customWidth="1" style="45" min="7685" max="7685"/>
    <col width="39.85546875" customWidth="1" style="45" min="7686" max="7686"/>
    <col width="53.140625" customWidth="1" style="45" min="7687" max="7687"/>
    <col width="35.28515625" customWidth="1" style="45" min="7688" max="7688"/>
    <col width="31" customWidth="1" style="45" min="7689" max="7689"/>
    <col width="29.140625" customWidth="1" style="45" min="7690" max="7690"/>
    <col width="30.140625" customWidth="1" style="45" min="7691" max="7691"/>
    <col width="49.140625" customWidth="1" style="45" min="7692" max="7692"/>
    <col width="31.85546875" customWidth="1" style="45" min="7693" max="7693"/>
    <col width="39.140625" customWidth="1" style="45" min="7694" max="7694"/>
    <col width="53" bestFit="1" customWidth="1" style="45" min="7695" max="7695"/>
    <col width="33.42578125" bestFit="1" customWidth="1" style="45" min="7696" max="7696"/>
    <col width="28.140625" customWidth="1" style="45" min="7697" max="7697"/>
    <col width="6.7109375" customWidth="1" style="45" min="7698" max="7702"/>
    <col width="1.7109375" customWidth="1" style="45" min="7703" max="7703"/>
    <col width="9.140625" customWidth="1" style="45" min="7704" max="7927"/>
    <col width="16" customWidth="1" style="45" min="7928" max="7928"/>
    <col width="27.7109375" customWidth="1" style="45" min="7929" max="7929"/>
    <col width="65.7109375" customWidth="1" style="45" min="7930" max="7930"/>
    <col width="21.85546875" bestFit="1" customWidth="1" style="45" min="7931" max="7931"/>
    <col width="30.140625" customWidth="1" style="45" min="7932" max="7932"/>
    <col width="62" customWidth="1" style="45" min="7933" max="7933"/>
    <col width="44" customWidth="1" style="45" min="7934" max="7934"/>
    <col width="43.140625" customWidth="1" style="45" min="7935" max="7935"/>
    <col width="45" customWidth="1" style="45" min="7936" max="7936"/>
    <col width="35.5703125" customWidth="1" style="45" min="7937" max="7937"/>
    <col width="37.140625" customWidth="1" style="45" min="7938" max="7938"/>
    <col width="76.7109375" customWidth="1" style="45" min="7939" max="7939"/>
    <col width="37.7109375" customWidth="1" style="45" min="7940" max="7940"/>
    <col width="37.85546875" customWidth="1" style="45" min="7941" max="7941"/>
    <col width="39.85546875" customWidth="1" style="45" min="7942" max="7942"/>
    <col width="53.140625" customWidth="1" style="45" min="7943" max="7943"/>
    <col width="35.28515625" customWidth="1" style="45" min="7944" max="7944"/>
    <col width="31" customWidth="1" style="45" min="7945" max="7945"/>
    <col width="29.140625" customWidth="1" style="45" min="7946" max="7946"/>
    <col width="30.140625" customWidth="1" style="45" min="7947" max="7947"/>
    <col width="49.140625" customWidth="1" style="45" min="7948" max="7948"/>
    <col width="31.85546875" customWidth="1" style="45" min="7949" max="7949"/>
    <col width="39.140625" customWidth="1" style="45" min="7950" max="7950"/>
    <col width="53" bestFit="1" customWidth="1" style="45" min="7951" max="7951"/>
    <col width="33.42578125" bestFit="1" customWidth="1" style="45" min="7952" max="7952"/>
    <col width="28.140625" customWidth="1" style="45" min="7953" max="7953"/>
    <col width="6.7109375" customWidth="1" style="45" min="7954" max="7958"/>
    <col width="1.7109375" customWidth="1" style="45" min="7959" max="7959"/>
    <col width="9.140625" customWidth="1" style="45" min="7960" max="8183"/>
    <col width="16" customWidth="1" style="45" min="8184" max="8184"/>
    <col width="27.7109375" customWidth="1" style="45" min="8185" max="8185"/>
    <col width="65.7109375" customWidth="1" style="45" min="8186" max="8186"/>
    <col width="21.85546875" bestFit="1" customWidth="1" style="45" min="8187" max="8187"/>
    <col width="30.140625" customWidth="1" style="45" min="8188" max="8188"/>
    <col width="62" customWidth="1" style="45" min="8189" max="8189"/>
    <col width="44" customWidth="1" style="45" min="8190" max="8190"/>
    <col width="43.140625" customWidth="1" style="45" min="8191" max="8191"/>
    <col width="45" customWidth="1" style="45" min="8192" max="8192"/>
    <col width="35.5703125" customWidth="1" style="45" min="8193" max="8193"/>
    <col width="37.140625" customWidth="1" style="45" min="8194" max="8194"/>
    <col width="76.7109375" customWidth="1" style="45" min="8195" max="8195"/>
    <col width="37.7109375" customWidth="1" style="45" min="8196" max="8196"/>
    <col width="37.85546875" customWidth="1" style="45" min="8197" max="8197"/>
    <col width="39.85546875" customWidth="1" style="45" min="8198" max="8198"/>
    <col width="53.140625" customWidth="1" style="45" min="8199" max="8199"/>
    <col width="35.28515625" customWidth="1" style="45" min="8200" max="8200"/>
    <col width="31" customWidth="1" style="45" min="8201" max="8201"/>
    <col width="29.140625" customWidth="1" style="45" min="8202" max="8202"/>
    <col width="30.140625" customWidth="1" style="45" min="8203" max="8203"/>
    <col width="49.140625" customWidth="1" style="45" min="8204" max="8204"/>
    <col width="31.85546875" customWidth="1" style="45" min="8205" max="8205"/>
    <col width="39.140625" customWidth="1" style="45" min="8206" max="8206"/>
    <col width="53" bestFit="1" customWidth="1" style="45" min="8207" max="8207"/>
    <col width="33.42578125" bestFit="1" customWidth="1" style="45" min="8208" max="8208"/>
    <col width="28.140625" customWidth="1" style="45" min="8209" max="8209"/>
    <col width="6.7109375" customWidth="1" style="45" min="8210" max="8214"/>
    <col width="1.7109375" customWidth="1" style="45" min="8215" max="8215"/>
    <col width="9.140625" customWidth="1" style="45" min="8216" max="8439"/>
    <col width="16" customWidth="1" style="45" min="8440" max="8440"/>
    <col width="27.7109375" customWidth="1" style="45" min="8441" max="8441"/>
    <col width="65.7109375" customWidth="1" style="45" min="8442" max="8442"/>
    <col width="21.85546875" bestFit="1" customWidth="1" style="45" min="8443" max="8443"/>
    <col width="30.140625" customWidth="1" style="45" min="8444" max="8444"/>
    <col width="62" customWidth="1" style="45" min="8445" max="8445"/>
    <col width="44" customWidth="1" style="45" min="8446" max="8446"/>
    <col width="43.140625" customWidth="1" style="45" min="8447" max="8447"/>
    <col width="45" customWidth="1" style="45" min="8448" max="8448"/>
    <col width="35.5703125" customWidth="1" style="45" min="8449" max="8449"/>
    <col width="37.140625" customWidth="1" style="45" min="8450" max="8450"/>
    <col width="76.7109375" customWidth="1" style="45" min="8451" max="8451"/>
    <col width="37.7109375" customWidth="1" style="45" min="8452" max="8452"/>
    <col width="37.85546875" customWidth="1" style="45" min="8453" max="8453"/>
    <col width="39.85546875" customWidth="1" style="45" min="8454" max="8454"/>
    <col width="53.140625" customWidth="1" style="45" min="8455" max="8455"/>
    <col width="35.28515625" customWidth="1" style="45" min="8456" max="8456"/>
    <col width="31" customWidth="1" style="45" min="8457" max="8457"/>
    <col width="29.140625" customWidth="1" style="45" min="8458" max="8458"/>
    <col width="30.140625" customWidth="1" style="45" min="8459" max="8459"/>
    <col width="49.140625" customWidth="1" style="45" min="8460" max="8460"/>
    <col width="31.85546875" customWidth="1" style="45" min="8461" max="8461"/>
    <col width="39.140625" customWidth="1" style="45" min="8462" max="8462"/>
    <col width="53" bestFit="1" customWidth="1" style="45" min="8463" max="8463"/>
    <col width="33.42578125" bestFit="1" customWidth="1" style="45" min="8464" max="8464"/>
    <col width="28.140625" customWidth="1" style="45" min="8465" max="8465"/>
    <col width="6.7109375" customWidth="1" style="45" min="8466" max="8470"/>
    <col width="1.7109375" customWidth="1" style="45" min="8471" max="8471"/>
    <col width="9.140625" customWidth="1" style="45" min="8472" max="8695"/>
    <col width="16" customWidth="1" style="45" min="8696" max="8696"/>
    <col width="27.7109375" customWidth="1" style="45" min="8697" max="8697"/>
    <col width="65.7109375" customWidth="1" style="45" min="8698" max="8698"/>
    <col width="21.85546875" bestFit="1" customWidth="1" style="45" min="8699" max="8699"/>
    <col width="30.140625" customWidth="1" style="45" min="8700" max="8700"/>
    <col width="62" customWidth="1" style="45" min="8701" max="8701"/>
    <col width="44" customWidth="1" style="45" min="8702" max="8702"/>
    <col width="43.140625" customWidth="1" style="45" min="8703" max="8703"/>
    <col width="45" customWidth="1" style="45" min="8704" max="8704"/>
    <col width="35.5703125" customWidth="1" style="45" min="8705" max="8705"/>
    <col width="37.140625" customWidth="1" style="45" min="8706" max="8706"/>
    <col width="76.7109375" customWidth="1" style="45" min="8707" max="8707"/>
    <col width="37.7109375" customWidth="1" style="45" min="8708" max="8708"/>
    <col width="37.85546875" customWidth="1" style="45" min="8709" max="8709"/>
    <col width="39.85546875" customWidth="1" style="45" min="8710" max="8710"/>
    <col width="53.140625" customWidth="1" style="45" min="8711" max="8711"/>
    <col width="35.28515625" customWidth="1" style="45" min="8712" max="8712"/>
    <col width="31" customWidth="1" style="45" min="8713" max="8713"/>
    <col width="29.140625" customWidth="1" style="45" min="8714" max="8714"/>
    <col width="30.140625" customWidth="1" style="45" min="8715" max="8715"/>
    <col width="49.140625" customWidth="1" style="45" min="8716" max="8716"/>
    <col width="31.85546875" customWidth="1" style="45" min="8717" max="8717"/>
    <col width="39.140625" customWidth="1" style="45" min="8718" max="8718"/>
    <col width="53" bestFit="1" customWidth="1" style="45" min="8719" max="8719"/>
    <col width="33.42578125" bestFit="1" customWidth="1" style="45" min="8720" max="8720"/>
    <col width="28.140625" customWidth="1" style="45" min="8721" max="8721"/>
    <col width="6.7109375" customWidth="1" style="45" min="8722" max="8726"/>
    <col width="1.7109375" customWidth="1" style="45" min="8727" max="8727"/>
    <col width="9.140625" customWidth="1" style="45" min="8728" max="8951"/>
    <col width="16" customWidth="1" style="45" min="8952" max="8952"/>
    <col width="27.7109375" customWidth="1" style="45" min="8953" max="8953"/>
    <col width="65.7109375" customWidth="1" style="45" min="8954" max="8954"/>
    <col width="21.85546875" bestFit="1" customWidth="1" style="45" min="8955" max="8955"/>
    <col width="30.140625" customWidth="1" style="45" min="8956" max="8956"/>
    <col width="62" customWidth="1" style="45" min="8957" max="8957"/>
    <col width="44" customWidth="1" style="45" min="8958" max="8958"/>
    <col width="43.140625" customWidth="1" style="45" min="8959" max="8959"/>
    <col width="45" customWidth="1" style="45" min="8960" max="8960"/>
    <col width="35.5703125" customWidth="1" style="45" min="8961" max="8961"/>
    <col width="37.140625" customWidth="1" style="45" min="8962" max="8962"/>
    <col width="76.7109375" customWidth="1" style="45" min="8963" max="8963"/>
    <col width="37.7109375" customWidth="1" style="45" min="8964" max="8964"/>
    <col width="37.85546875" customWidth="1" style="45" min="8965" max="8965"/>
    <col width="39.85546875" customWidth="1" style="45" min="8966" max="8966"/>
    <col width="53.140625" customWidth="1" style="45" min="8967" max="8967"/>
    <col width="35.28515625" customWidth="1" style="45" min="8968" max="8968"/>
    <col width="31" customWidth="1" style="45" min="8969" max="8969"/>
    <col width="29.140625" customWidth="1" style="45" min="8970" max="8970"/>
    <col width="30.140625" customWidth="1" style="45" min="8971" max="8971"/>
    <col width="49.140625" customWidth="1" style="45" min="8972" max="8972"/>
    <col width="31.85546875" customWidth="1" style="45" min="8973" max="8973"/>
    <col width="39.140625" customWidth="1" style="45" min="8974" max="8974"/>
    <col width="53" bestFit="1" customWidth="1" style="45" min="8975" max="8975"/>
    <col width="33.42578125" bestFit="1" customWidth="1" style="45" min="8976" max="8976"/>
    <col width="28.140625" customWidth="1" style="45" min="8977" max="8977"/>
    <col width="6.7109375" customWidth="1" style="45" min="8978" max="8982"/>
    <col width="1.7109375" customWidth="1" style="45" min="8983" max="8983"/>
    <col width="9.140625" customWidth="1" style="45" min="8984" max="9207"/>
    <col width="16" customWidth="1" style="45" min="9208" max="9208"/>
    <col width="27.7109375" customWidth="1" style="45" min="9209" max="9209"/>
    <col width="65.7109375" customWidth="1" style="45" min="9210" max="9210"/>
    <col width="21.85546875" bestFit="1" customWidth="1" style="45" min="9211" max="9211"/>
    <col width="30.140625" customWidth="1" style="45" min="9212" max="9212"/>
    <col width="62" customWidth="1" style="45" min="9213" max="9213"/>
    <col width="44" customWidth="1" style="45" min="9214" max="9214"/>
    <col width="43.140625" customWidth="1" style="45" min="9215" max="9215"/>
    <col width="45" customWidth="1" style="45" min="9216" max="9216"/>
    <col width="35.5703125" customWidth="1" style="45" min="9217" max="9217"/>
    <col width="37.140625" customWidth="1" style="45" min="9218" max="9218"/>
    <col width="76.7109375" customWidth="1" style="45" min="9219" max="9219"/>
    <col width="37.7109375" customWidth="1" style="45" min="9220" max="9220"/>
    <col width="37.85546875" customWidth="1" style="45" min="9221" max="9221"/>
    <col width="39.85546875" customWidth="1" style="45" min="9222" max="9222"/>
    <col width="53.140625" customWidth="1" style="45" min="9223" max="9223"/>
    <col width="35.28515625" customWidth="1" style="45" min="9224" max="9224"/>
    <col width="31" customWidth="1" style="45" min="9225" max="9225"/>
    <col width="29.140625" customWidth="1" style="45" min="9226" max="9226"/>
    <col width="30.140625" customWidth="1" style="45" min="9227" max="9227"/>
    <col width="49.140625" customWidth="1" style="45" min="9228" max="9228"/>
    <col width="31.85546875" customWidth="1" style="45" min="9229" max="9229"/>
    <col width="39.140625" customWidth="1" style="45" min="9230" max="9230"/>
    <col width="53" bestFit="1" customWidth="1" style="45" min="9231" max="9231"/>
    <col width="33.42578125" bestFit="1" customWidth="1" style="45" min="9232" max="9232"/>
    <col width="28.140625" customWidth="1" style="45" min="9233" max="9233"/>
    <col width="6.7109375" customWidth="1" style="45" min="9234" max="9238"/>
    <col width="1.7109375" customWidth="1" style="45" min="9239" max="9239"/>
    <col width="9.140625" customWidth="1" style="45" min="9240" max="9463"/>
    <col width="16" customWidth="1" style="45" min="9464" max="9464"/>
    <col width="27.7109375" customWidth="1" style="45" min="9465" max="9465"/>
    <col width="65.7109375" customWidth="1" style="45" min="9466" max="9466"/>
    <col width="21.85546875" bestFit="1" customWidth="1" style="45" min="9467" max="9467"/>
    <col width="30.140625" customWidth="1" style="45" min="9468" max="9468"/>
    <col width="62" customWidth="1" style="45" min="9469" max="9469"/>
    <col width="44" customWidth="1" style="45" min="9470" max="9470"/>
    <col width="43.140625" customWidth="1" style="45" min="9471" max="9471"/>
    <col width="45" customWidth="1" style="45" min="9472" max="9472"/>
    <col width="35.5703125" customWidth="1" style="45" min="9473" max="9473"/>
    <col width="37.140625" customWidth="1" style="45" min="9474" max="9474"/>
    <col width="76.7109375" customWidth="1" style="45" min="9475" max="9475"/>
    <col width="37.7109375" customWidth="1" style="45" min="9476" max="9476"/>
    <col width="37.85546875" customWidth="1" style="45" min="9477" max="9477"/>
    <col width="39.85546875" customWidth="1" style="45" min="9478" max="9478"/>
    <col width="53.140625" customWidth="1" style="45" min="9479" max="9479"/>
    <col width="35.28515625" customWidth="1" style="45" min="9480" max="9480"/>
    <col width="31" customWidth="1" style="45" min="9481" max="9481"/>
    <col width="29.140625" customWidth="1" style="45" min="9482" max="9482"/>
    <col width="30.140625" customWidth="1" style="45" min="9483" max="9483"/>
    <col width="49.140625" customWidth="1" style="45" min="9484" max="9484"/>
    <col width="31.85546875" customWidth="1" style="45" min="9485" max="9485"/>
    <col width="39.140625" customWidth="1" style="45" min="9486" max="9486"/>
    <col width="53" bestFit="1" customWidth="1" style="45" min="9487" max="9487"/>
    <col width="33.42578125" bestFit="1" customWidth="1" style="45" min="9488" max="9488"/>
    <col width="28.140625" customWidth="1" style="45" min="9489" max="9489"/>
    <col width="6.7109375" customWidth="1" style="45" min="9490" max="9494"/>
    <col width="1.7109375" customWidth="1" style="45" min="9495" max="9495"/>
    <col width="9.140625" customWidth="1" style="45" min="9496" max="9719"/>
    <col width="16" customWidth="1" style="45" min="9720" max="9720"/>
    <col width="27.7109375" customWidth="1" style="45" min="9721" max="9721"/>
    <col width="65.7109375" customWidth="1" style="45" min="9722" max="9722"/>
    <col width="21.85546875" bestFit="1" customWidth="1" style="45" min="9723" max="9723"/>
    <col width="30.140625" customWidth="1" style="45" min="9724" max="9724"/>
    <col width="62" customWidth="1" style="45" min="9725" max="9725"/>
    <col width="44" customWidth="1" style="45" min="9726" max="9726"/>
    <col width="43.140625" customWidth="1" style="45" min="9727" max="9727"/>
    <col width="45" customWidth="1" style="45" min="9728" max="9728"/>
    <col width="35.5703125" customWidth="1" style="45" min="9729" max="9729"/>
    <col width="37.140625" customWidth="1" style="45" min="9730" max="9730"/>
    <col width="76.7109375" customWidth="1" style="45" min="9731" max="9731"/>
    <col width="37.7109375" customWidth="1" style="45" min="9732" max="9732"/>
    <col width="37.85546875" customWidth="1" style="45" min="9733" max="9733"/>
    <col width="39.85546875" customWidth="1" style="45" min="9734" max="9734"/>
    <col width="53.140625" customWidth="1" style="45" min="9735" max="9735"/>
    <col width="35.28515625" customWidth="1" style="45" min="9736" max="9736"/>
    <col width="31" customWidth="1" style="45" min="9737" max="9737"/>
    <col width="29.140625" customWidth="1" style="45" min="9738" max="9738"/>
    <col width="30.140625" customWidth="1" style="45" min="9739" max="9739"/>
    <col width="49.140625" customWidth="1" style="45" min="9740" max="9740"/>
    <col width="31.85546875" customWidth="1" style="45" min="9741" max="9741"/>
    <col width="39.140625" customWidth="1" style="45" min="9742" max="9742"/>
    <col width="53" bestFit="1" customWidth="1" style="45" min="9743" max="9743"/>
    <col width="33.42578125" bestFit="1" customWidth="1" style="45" min="9744" max="9744"/>
    <col width="28.140625" customWidth="1" style="45" min="9745" max="9745"/>
    <col width="6.7109375" customWidth="1" style="45" min="9746" max="9750"/>
    <col width="1.7109375" customWidth="1" style="45" min="9751" max="9751"/>
    <col width="9.140625" customWidth="1" style="45" min="9752" max="9975"/>
    <col width="16" customWidth="1" style="45" min="9976" max="9976"/>
    <col width="27.7109375" customWidth="1" style="45" min="9977" max="9977"/>
    <col width="65.7109375" customWidth="1" style="45" min="9978" max="9978"/>
    <col width="21.85546875" bestFit="1" customWidth="1" style="45" min="9979" max="9979"/>
    <col width="30.140625" customWidth="1" style="45" min="9980" max="9980"/>
    <col width="62" customWidth="1" style="45" min="9981" max="9981"/>
    <col width="44" customWidth="1" style="45" min="9982" max="9982"/>
    <col width="43.140625" customWidth="1" style="45" min="9983" max="9983"/>
    <col width="45" customWidth="1" style="45" min="9984" max="9984"/>
    <col width="35.5703125" customWidth="1" style="45" min="9985" max="9985"/>
    <col width="37.140625" customWidth="1" style="45" min="9986" max="9986"/>
    <col width="76.7109375" customWidth="1" style="45" min="9987" max="9987"/>
    <col width="37.7109375" customWidth="1" style="45" min="9988" max="9988"/>
    <col width="37.85546875" customWidth="1" style="45" min="9989" max="9989"/>
    <col width="39.85546875" customWidth="1" style="45" min="9990" max="9990"/>
    <col width="53.140625" customWidth="1" style="45" min="9991" max="9991"/>
    <col width="35.28515625" customWidth="1" style="45" min="9992" max="9992"/>
    <col width="31" customWidth="1" style="45" min="9993" max="9993"/>
    <col width="29.140625" customWidth="1" style="45" min="9994" max="9994"/>
    <col width="30.140625" customWidth="1" style="45" min="9995" max="9995"/>
    <col width="49.140625" customWidth="1" style="45" min="9996" max="9996"/>
    <col width="31.85546875" customWidth="1" style="45" min="9997" max="9997"/>
    <col width="39.140625" customWidth="1" style="45" min="9998" max="9998"/>
    <col width="53" bestFit="1" customWidth="1" style="45" min="9999" max="9999"/>
    <col width="33.42578125" bestFit="1" customWidth="1" style="45" min="10000" max="10000"/>
    <col width="28.140625" customWidth="1" style="45" min="10001" max="10001"/>
    <col width="6.7109375" customWidth="1" style="45" min="10002" max="10006"/>
    <col width="1.7109375" customWidth="1" style="45" min="10007" max="10007"/>
    <col width="9.140625" customWidth="1" style="45" min="10008" max="10231"/>
    <col width="16" customWidth="1" style="45" min="10232" max="10232"/>
    <col width="27.7109375" customWidth="1" style="45" min="10233" max="10233"/>
    <col width="65.7109375" customWidth="1" style="45" min="10234" max="10234"/>
    <col width="21.85546875" bestFit="1" customWidth="1" style="45" min="10235" max="10235"/>
    <col width="30.140625" customWidth="1" style="45" min="10236" max="10236"/>
    <col width="62" customWidth="1" style="45" min="10237" max="10237"/>
    <col width="44" customWidth="1" style="45" min="10238" max="10238"/>
    <col width="43.140625" customWidth="1" style="45" min="10239" max="10239"/>
    <col width="45" customWidth="1" style="45" min="10240" max="10240"/>
    <col width="35.5703125" customWidth="1" style="45" min="10241" max="10241"/>
    <col width="37.140625" customWidth="1" style="45" min="10242" max="10242"/>
    <col width="76.7109375" customWidth="1" style="45" min="10243" max="10243"/>
    <col width="37.7109375" customWidth="1" style="45" min="10244" max="10244"/>
    <col width="37.85546875" customWidth="1" style="45" min="10245" max="10245"/>
    <col width="39.85546875" customWidth="1" style="45" min="10246" max="10246"/>
    <col width="53.140625" customWidth="1" style="45" min="10247" max="10247"/>
    <col width="35.28515625" customWidth="1" style="45" min="10248" max="10248"/>
    <col width="31" customWidth="1" style="45" min="10249" max="10249"/>
    <col width="29.140625" customWidth="1" style="45" min="10250" max="10250"/>
    <col width="30.140625" customWidth="1" style="45" min="10251" max="10251"/>
    <col width="49.140625" customWidth="1" style="45" min="10252" max="10252"/>
    <col width="31.85546875" customWidth="1" style="45" min="10253" max="10253"/>
    <col width="39.140625" customWidth="1" style="45" min="10254" max="10254"/>
    <col width="53" bestFit="1" customWidth="1" style="45" min="10255" max="10255"/>
    <col width="33.42578125" bestFit="1" customWidth="1" style="45" min="10256" max="10256"/>
    <col width="28.140625" customWidth="1" style="45" min="10257" max="10257"/>
    <col width="6.7109375" customWidth="1" style="45" min="10258" max="10262"/>
    <col width="1.7109375" customWidth="1" style="45" min="10263" max="10263"/>
    <col width="9.140625" customWidth="1" style="45" min="10264" max="10487"/>
    <col width="16" customWidth="1" style="45" min="10488" max="10488"/>
    <col width="27.7109375" customWidth="1" style="45" min="10489" max="10489"/>
    <col width="65.7109375" customWidth="1" style="45" min="10490" max="10490"/>
    <col width="21.85546875" bestFit="1" customWidth="1" style="45" min="10491" max="10491"/>
    <col width="30.140625" customWidth="1" style="45" min="10492" max="10492"/>
    <col width="62" customWidth="1" style="45" min="10493" max="10493"/>
    <col width="44" customWidth="1" style="45" min="10494" max="10494"/>
    <col width="43.140625" customWidth="1" style="45" min="10495" max="10495"/>
    <col width="45" customWidth="1" style="45" min="10496" max="10496"/>
    <col width="35.5703125" customWidth="1" style="45" min="10497" max="10497"/>
    <col width="37.140625" customWidth="1" style="45" min="10498" max="10498"/>
    <col width="76.7109375" customWidth="1" style="45" min="10499" max="10499"/>
    <col width="37.7109375" customWidth="1" style="45" min="10500" max="10500"/>
    <col width="37.85546875" customWidth="1" style="45" min="10501" max="10501"/>
    <col width="39.85546875" customWidth="1" style="45" min="10502" max="10502"/>
    <col width="53.140625" customWidth="1" style="45" min="10503" max="10503"/>
    <col width="35.28515625" customWidth="1" style="45" min="10504" max="10504"/>
    <col width="31" customWidth="1" style="45" min="10505" max="10505"/>
    <col width="29.140625" customWidth="1" style="45" min="10506" max="10506"/>
    <col width="30.140625" customWidth="1" style="45" min="10507" max="10507"/>
    <col width="49.140625" customWidth="1" style="45" min="10508" max="10508"/>
    <col width="31.85546875" customWidth="1" style="45" min="10509" max="10509"/>
    <col width="39.140625" customWidth="1" style="45" min="10510" max="10510"/>
    <col width="53" bestFit="1" customWidth="1" style="45" min="10511" max="10511"/>
    <col width="33.42578125" bestFit="1" customWidth="1" style="45" min="10512" max="10512"/>
    <col width="28.140625" customWidth="1" style="45" min="10513" max="10513"/>
    <col width="6.7109375" customWidth="1" style="45" min="10514" max="10518"/>
    <col width="1.7109375" customWidth="1" style="45" min="10519" max="10519"/>
    <col width="9.140625" customWidth="1" style="45" min="10520" max="10743"/>
    <col width="16" customWidth="1" style="45" min="10744" max="10744"/>
    <col width="27.7109375" customWidth="1" style="45" min="10745" max="10745"/>
    <col width="65.7109375" customWidth="1" style="45" min="10746" max="10746"/>
    <col width="21.85546875" bestFit="1" customWidth="1" style="45" min="10747" max="10747"/>
    <col width="30.140625" customWidth="1" style="45" min="10748" max="10748"/>
    <col width="62" customWidth="1" style="45" min="10749" max="10749"/>
    <col width="44" customWidth="1" style="45" min="10750" max="10750"/>
    <col width="43.140625" customWidth="1" style="45" min="10751" max="10751"/>
    <col width="45" customWidth="1" style="45" min="10752" max="10752"/>
    <col width="35.5703125" customWidth="1" style="45" min="10753" max="10753"/>
    <col width="37.140625" customWidth="1" style="45" min="10754" max="10754"/>
    <col width="76.7109375" customWidth="1" style="45" min="10755" max="10755"/>
    <col width="37.7109375" customWidth="1" style="45" min="10756" max="10756"/>
    <col width="37.85546875" customWidth="1" style="45" min="10757" max="10757"/>
    <col width="39.85546875" customWidth="1" style="45" min="10758" max="10758"/>
    <col width="53.140625" customWidth="1" style="45" min="10759" max="10759"/>
    <col width="35.28515625" customWidth="1" style="45" min="10760" max="10760"/>
    <col width="31" customWidth="1" style="45" min="10761" max="10761"/>
    <col width="29.140625" customWidth="1" style="45" min="10762" max="10762"/>
    <col width="30.140625" customWidth="1" style="45" min="10763" max="10763"/>
    <col width="49.140625" customWidth="1" style="45" min="10764" max="10764"/>
    <col width="31.85546875" customWidth="1" style="45" min="10765" max="10765"/>
    <col width="39.140625" customWidth="1" style="45" min="10766" max="10766"/>
    <col width="53" bestFit="1" customWidth="1" style="45" min="10767" max="10767"/>
    <col width="33.42578125" bestFit="1" customWidth="1" style="45" min="10768" max="10768"/>
    <col width="28.140625" customWidth="1" style="45" min="10769" max="10769"/>
    <col width="6.7109375" customWidth="1" style="45" min="10770" max="10774"/>
    <col width="1.7109375" customWidth="1" style="45" min="10775" max="10775"/>
    <col width="9.140625" customWidth="1" style="45" min="10776" max="10999"/>
    <col width="16" customWidth="1" style="45" min="11000" max="11000"/>
    <col width="27.7109375" customWidth="1" style="45" min="11001" max="11001"/>
    <col width="65.7109375" customWidth="1" style="45" min="11002" max="11002"/>
    <col width="21.85546875" bestFit="1" customWidth="1" style="45" min="11003" max="11003"/>
    <col width="30.140625" customWidth="1" style="45" min="11004" max="11004"/>
    <col width="62" customWidth="1" style="45" min="11005" max="11005"/>
    <col width="44" customWidth="1" style="45" min="11006" max="11006"/>
    <col width="43.140625" customWidth="1" style="45" min="11007" max="11007"/>
    <col width="45" customWidth="1" style="45" min="11008" max="11008"/>
    <col width="35.5703125" customWidth="1" style="45" min="11009" max="11009"/>
    <col width="37.140625" customWidth="1" style="45" min="11010" max="11010"/>
    <col width="76.7109375" customWidth="1" style="45" min="11011" max="11011"/>
    <col width="37.7109375" customWidth="1" style="45" min="11012" max="11012"/>
    <col width="37.85546875" customWidth="1" style="45" min="11013" max="11013"/>
    <col width="39.85546875" customWidth="1" style="45" min="11014" max="11014"/>
    <col width="53.140625" customWidth="1" style="45" min="11015" max="11015"/>
    <col width="35.28515625" customWidth="1" style="45" min="11016" max="11016"/>
    <col width="31" customWidth="1" style="45" min="11017" max="11017"/>
    <col width="29.140625" customWidth="1" style="45" min="11018" max="11018"/>
    <col width="30.140625" customWidth="1" style="45" min="11019" max="11019"/>
    <col width="49.140625" customWidth="1" style="45" min="11020" max="11020"/>
    <col width="31.85546875" customWidth="1" style="45" min="11021" max="11021"/>
    <col width="39.140625" customWidth="1" style="45" min="11022" max="11022"/>
    <col width="53" bestFit="1" customWidth="1" style="45" min="11023" max="11023"/>
    <col width="33.42578125" bestFit="1" customWidth="1" style="45" min="11024" max="11024"/>
    <col width="28.140625" customWidth="1" style="45" min="11025" max="11025"/>
    <col width="6.7109375" customWidth="1" style="45" min="11026" max="11030"/>
    <col width="1.7109375" customWidth="1" style="45" min="11031" max="11031"/>
    <col width="9.140625" customWidth="1" style="45" min="11032" max="11255"/>
    <col width="16" customWidth="1" style="45" min="11256" max="11256"/>
    <col width="27.7109375" customWidth="1" style="45" min="11257" max="11257"/>
    <col width="65.7109375" customWidth="1" style="45" min="11258" max="11258"/>
    <col width="21.85546875" bestFit="1" customWidth="1" style="45" min="11259" max="11259"/>
    <col width="30.140625" customWidth="1" style="45" min="11260" max="11260"/>
    <col width="62" customWidth="1" style="45" min="11261" max="11261"/>
    <col width="44" customWidth="1" style="45" min="11262" max="11262"/>
    <col width="43.140625" customWidth="1" style="45" min="11263" max="11263"/>
    <col width="45" customWidth="1" style="45" min="11264" max="11264"/>
    <col width="35.5703125" customWidth="1" style="45" min="11265" max="11265"/>
    <col width="37.140625" customWidth="1" style="45" min="11266" max="11266"/>
    <col width="76.7109375" customWidth="1" style="45" min="11267" max="11267"/>
    <col width="37.7109375" customWidth="1" style="45" min="11268" max="11268"/>
    <col width="37.85546875" customWidth="1" style="45" min="11269" max="11269"/>
    <col width="39.85546875" customWidth="1" style="45" min="11270" max="11270"/>
    <col width="53.140625" customWidth="1" style="45" min="11271" max="11271"/>
    <col width="35.28515625" customWidth="1" style="45" min="11272" max="11272"/>
    <col width="31" customWidth="1" style="45" min="11273" max="11273"/>
    <col width="29.140625" customWidth="1" style="45" min="11274" max="11274"/>
    <col width="30.140625" customWidth="1" style="45" min="11275" max="11275"/>
    <col width="49.140625" customWidth="1" style="45" min="11276" max="11276"/>
    <col width="31.85546875" customWidth="1" style="45" min="11277" max="11277"/>
    <col width="39.140625" customWidth="1" style="45" min="11278" max="11278"/>
    <col width="53" bestFit="1" customWidth="1" style="45" min="11279" max="11279"/>
    <col width="33.42578125" bestFit="1" customWidth="1" style="45" min="11280" max="11280"/>
    <col width="28.140625" customWidth="1" style="45" min="11281" max="11281"/>
    <col width="6.7109375" customWidth="1" style="45" min="11282" max="11286"/>
    <col width="1.7109375" customWidth="1" style="45" min="11287" max="11287"/>
    <col width="9.140625" customWidth="1" style="45" min="11288" max="11511"/>
    <col width="16" customWidth="1" style="45" min="11512" max="11512"/>
    <col width="27.7109375" customWidth="1" style="45" min="11513" max="11513"/>
    <col width="65.7109375" customWidth="1" style="45" min="11514" max="11514"/>
    <col width="21.85546875" bestFit="1" customWidth="1" style="45" min="11515" max="11515"/>
    <col width="30.140625" customWidth="1" style="45" min="11516" max="11516"/>
    <col width="62" customWidth="1" style="45" min="11517" max="11517"/>
    <col width="44" customWidth="1" style="45" min="11518" max="11518"/>
    <col width="43.140625" customWidth="1" style="45" min="11519" max="11519"/>
    <col width="45" customWidth="1" style="45" min="11520" max="11520"/>
    <col width="35.5703125" customWidth="1" style="45" min="11521" max="11521"/>
    <col width="37.140625" customWidth="1" style="45" min="11522" max="11522"/>
    <col width="76.7109375" customWidth="1" style="45" min="11523" max="11523"/>
    <col width="37.7109375" customWidth="1" style="45" min="11524" max="11524"/>
    <col width="37.85546875" customWidth="1" style="45" min="11525" max="11525"/>
    <col width="39.85546875" customWidth="1" style="45" min="11526" max="11526"/>
    <col width="53.140625" customWidth="1" style="45" min="11527" max="11527"/>
    <col width="35.28515625" customWidth="1" style="45" min="11528" max="11528"/>
    <col width="31" customWidth="1" style="45" min="11529" max="11529"/>
    <col width="29.140625" customWidth="1" style="45" min="11530" max="11530"/>
    <col width="30.140625" customWidth="1" style="45" min="11531" max="11531"/>
    <col width="49.140625" customWidth="1" style="45" min="11532" max="11532"/>
    <col width="31.85546875" customWidth="1" style="45" min="11533" max="11533"/>
    <col width="39.140625" customWidth="1" style="45" min="11534" max="11534"/>
    <col width="53" bestFit="1" customWidth="1" style="45" min="11535" max="11535"/>
    <col width="33.42578125" bestFit="1" customWidth="1" style="45" min="11536" max="11536"/>
    <col width="28.140625" customWidth="1" style="45" min="11537" max="11537"/>
    <col width="6.7109375" customWidth="1" style="45" min="11538" max="11542"/>
    <col width="1.7109375" customWidth="1" style="45" min="11543" max="11543"/>
    <col width="9.140625" customWidth="1" style="45" min="11544" max="11767"/>
    <col width="16" customWidth="1" style="45" min="11768" max="11768"/>
    <col width="27.7109375" customWidth="1" style="45" min="11769" max="11769"/>
    <col width="65.7109375" customWidth="1" style="45" min="11770" max="11770"/>
    <col width="21.85546875" bestFit="1" customWidth="1" style="45" min="11771" max="11771"/>
    <col width="30.140625" customWidth="1" style="45" min="11772" max="11772"/>
    <col width="62" customWidth="1" style="45" min="11773" max="11773"/>
    <col width="44" customWidth="1" style="45" min="11774" max="11774"/>
    <col width="43.140625" customWidth="1" style="45" min="11775" max="11775"/>
    <col width="45" customWidth="1" style="45" min="11776" max="11776"/>
    <col width="35.5703125" customWidth="1" style="45" min="11777" max="11777"/>
    <col width="37.140625" customWidth="1" style="45" min="11778" max="11778"/>
    <col width="76.7109375" customWidth="1" style="45" min="11779" max="11779"/>
    <col width="37.7109375" customWidth="1" style="45" min="11780" max="11780"/>
    <col width="37.85546875" customWidth="1" style="45" min="11781" max="11781"/>
    <col width="39.85546875" customWidth="1" style="45" min="11782" max="11782"/>
    <col width="53.140625" customWidth="1" style="45" min="11783" max="11783"/>
    <col width="35.28515625" customWidth="1" style="45" min="11784" max="11784"/>
    <col width="31" customWidth="1" style="45" min="11785" max="11785"/>
    <col width="29.140625" customWidth="1" style="45" min="11786" max="11786"/>
    <col width="30.140625" customWidth="1" style="45" min="11787" max="11787"/>
    <col width="49.140625" customWidth="1" style="45" min="11788" max="11788"/>
    <col width="31.85546875" customWidth="1" style="45" min="11789" max="11789"/>
    <col width="39.140625" customWidth="1" style="45" min="11790" max="11790"/>
    <col width="53" bestFit="1" customWidth="1" style="45" min="11791" max="11791"/>
    <col width="33.42578125" bestFit="1" customWidth="1" style="45" min="11792" max="11792"/>
    <col width="28.140625" customWidth="1" style="45" min="11793" max="11793"/>
    <col width="6.7109375" customWidth="1" style="45" min="11794" max="11798"/>
    <col width="1.7109375" customWidth="1" style="45" min="11799" max="11799"/>
    <col width="9.140625" customWidth="1" style="45" min="11800" max="12023"/>
    <col width="16" customWidth="1" style="45" min="12024" max="12024"/>
    <col width="27.7109375" customWidth="1" style="45" min="12025" max="12025"/>
    <col width="65.7109375" customWidth="1" style="45" min="12026" max="12026"/>
    <col width="21.85546875" bestFit="1" customWidth="1" style="45" min="12027" max="12027"/>
    <col width="30.140625" customWidth="1" style="45" min="12028" max="12028"/>
    <col width="62" customWidth="1" style="45" min="12029" max="12029"/>
    <col width="44" customWidth="1" style="45" min="12030" max="12030"/>
    <col width="43.140625" customWidth="1" style="45" min="12031" max="12031"/>
    <col width="45" customWidth="1" style="45" min="12032" max="12032"/>
    <col width="35.5703125" customWidth="1" style="45" min="12033" max="12033"/>
    <col width="37.140625" customWidth="1" style="45" min="12034" max="12034"/>
    <col width="76.7109375" customWidth="1" style="45" min="12035" max="12035"/>
    <col width="37.7109375" customWidth="1" style="45" min="12036" max="12036"/>
    <col width="37.85546875" customWidth="1" style="45" min="12037" max="12037"/>
    <col width="39.85546875" customWidth="1" style="45" min="12038" max="12038"/>
    <col width="53.140625" customWidth="1" style="45" min="12039" max="12039"/>
    <col width="35.28515625" customWidth="1" style="45" min="12040" max="12040"/>
    <col width="31" customWidth="1" style="45" min="12041" max="12041"/>
    <col width="29.140625" customWidth="1" style="45" min="12042" max="12042"/>
    <col width="30.140625" customWidth="1" style="45" min="12043" max="12043"/>
    <col width="49.140625" customWidth="1" style="45" min="12044" max="12044"/>
    <col width="31.85546875" customWidth="1" style="45" min="12045" max="12045"/>
    <col width="39.140625" customWidth="1" style="45" min="12046" max="12046"/>
    <col width="53" bestFit="1" customWidth="1" style="45" min="12047" max="12047"/>
    <col width="33.42578125" bestFit="1" customWidth="1" style="45" min="12048" max="12048"/>
    <col width="28.140625" customWidth="1" style="45" min="12049" max="12049"/>
    <col width="6.7109375" customWidth="1" style="45" min="12050" max="12054"/>
    <col width="1.7109375" customWidth="1" style="45" min="12055" max="12055"/>
    <col width="9.140625" customWidth="1" style="45" min="12056" max="12279"/>
    <col width="16" customWidth="1" style="45" min="12280" max="12280"/>
    <col width="27.7109375" customWidth="1" style="45" min="12281" max="12281"/>
    <col width="65.7109375" customWidth="1" style="45" min="12282" max="12282"/>
    <col width="21.85546875" bestFit="1" customWidth="1" style="45" min="12283" max="12283"/>
    <col width="30.140625" customWidth="1" style="45" min="12284" max="12284"/>
    <col width="62" customWidth="1" style="45" min="12285" max="12285"/>
    <col width="44" customWidth="1" style="45" min="12286" max="12286"/>
    <col width="43.140625" customWidth="1" style="45" min="12287" max="12287"/>
    <col width="45" customWidth="1" style="45" min="12288" max="12288"/>
    <col width="35.5703125" customWidth="1" style="45" min="12289" max="12289"/>
    <col width="37.140625" customWidth="1" style="45" min="12290" max="12290"/>
    <col width="76.7109375" customWidth="1" style="45" min="12291" max="12291"/>
    <col width="37.7109375" customWidth="1" style="45" min="12292" max="12292"/>
    <col width="37.85546875" customWidth="1" style="45" min="12293" max="12293"/>
    <col width="39.85546875" customWidth="1" style="45" min="12294" max="12294"/>
    <col width="53.140625" customWidth="1" style="45" min="12295" max="12295"/>
    <col width="35.28515625" customWidth="1" style="45" min="12296" max="12296"/>
    <col width="31" customWidth="1" style="45" min="12297" max="12297"/>
    <col width="29.140625" customWidth="1" style="45" min="12298" max="12298"/>
    <col width="30.140625" customWidth="1" style="45" min="12299" max="12299"/>
    <col width="49.140625" customWidth="1" style="45" min="12300" max="12300"/>
    <col width="31.85546875" customWidth="1" style="45" min="12301" max="12301"/>
    <col width="39.140625" customWidth="1" style="45" min="12302" max="12302"/>
    <col width="53" bestFit="1" customWidth="1" style="45" min="12303" max="12303"/>
    <col width="33.42578125" bestFit="1" customWidth="1" style="45" min="12304" max="12304"/>
    <col width="28.140625" customWidth="1" style="45" min="12305" max="12305"/>
    <col width="6.7109375" customWidth="1" style="45" min="12306" max="12310"/>
    <col width="1.7109375" customWidth="1" style="45" min="12311" max="12311"/>
    <col width="9.140625" customWidth="1" style="45" min="12312" max="12535"/>
    <col width="16" customWidth="1" style="45" min="12536" max="12536"/>
    <col width="27.7109375" customWidth="1" style="45" min="12537" max="12537"/>
    <col width="65.7109375" customWidth="1" style="45" min="12538" max="12538"/>
    <col width="21.85546875" bestFit="1" customWidth="1" style="45" min="12539" max="12539"/>
    <col width="30.140625" customWidth="1" style="45" min="12540" max="12540"/>
    <col width="62" customWidth="1" style="45" min="12541" max="12541"/>
    <col width="44" customWidth="1" style="45" min="12542" max="12542"/>
    <col width="43.140625" customWidth="1" style="45" min="12543" max="12543"/>
    <col width="45" customWidth="1" style="45" min="12544" max="12544"/>
    <col width="35.5703125" customWidth="1" style="45" min="12545" max="12545"/>
    <col width="37.140625" customWidth="1" style="45" min="12546" max="12546"/>
    <col width="76.7109375" customWidth="1" style="45" min="12547" max="12547"/>
    <col width="37.7109375" customWidth="1" style="45" min="12548" max="12548"/>
    <col width="37.85546875" customWidth="1" style="45" min="12549" max="12549"/>
    <col width="39.85546875" customWidth="1" style="45" min="12550" max="12550"/>
    <col width="53.140625" customWidth="1" style="45" min="12551" max="12551"/>
    <col width="35.28515625" customWidth="1" style="45" min="12552" max="12552"/>
    <col width="31" customWidth="1" style="45" min="12553" max="12553"/>
    <col width="29.140625" customWidth="1" style="45" min="12554" max="12554"/>
    <col width="30.140625" customWidth="1" style="45" min="12555" max="12555"/>
    <col width="49.140625" customWidth="1" style="45" min="12556" max="12556"/>
    <col width="31.85546875" customWidth="1" style="45" min="12557" max="12557"/>
    <col width="39.140625" customWidth="1" style="45" min="12558" max="12558"/>
    <col width="53" bestFit="1" customWidth="1" style="45" min="12559" max="12559"/>
    <col width="33.42578125" bestFit="1" customWidth="1" style="45" min="12560" max="12560"/>
    <col width="28.140625" customWidth="1" style="45" min="12561" max="12561"/>
    <col width="6.7109375" customWidth="1" style="45" min="12562" max="12566"/>
    <col width="1.7109375" customWidth="1" style="45" min="12567" max="12567"/>
    <col width="9.140625" customWidth="1" style="45" min="12568" max="12791"/>
    <col width="16" customWidth="1" style="45" min="12792" max="12792"/>
    <col width="27.7109375" customWidth="1" style="45" min="12793" max="12793"/>
    <col width="65.7109375" customWidth="1" style="45" min="12794" max="12794"/>
    <col width="21.85546875" bestFit="1" customWidth="1" style="45" min="12795" max="12795"/>
    <col width="30.140625" customWidth="1" style="45" min="12796" max="12796"/>
    <col width="62" customWidth="1" style="45" min="12797" max="12797"/>
    <col width="44" customWidth="1" style="45" min="12798" max="12798"/>
    <col width="43.140625" customWidth="1" style="45" min="12799" max="12799"/>
    <col width="45" customWidth="1" style="45" min="12800" max="12800"/>
    <col width="35.5703125" customWidth="1" style="45" min="12801" max="12801"/>
    <col width="37.140625" customWidth="1" style="45" min="12802" max="12802"/>
    <col width="76.7109375" customWidth="1" style="45" min="12803" max="12803"/>
    <col width="37.7109375" customWidth="1" style="45" min="12804" max="12804"/>
    <col width="37.85546875" customWidth="1" style="45" min="12805" max="12805"/>
    <col width="39.85546875" customWidth="1" style="45" min="12806" max="12806"/>
    <col width="53.140625" customWidth="1" style="45" min="12807" max="12807"/>
    <col width="35.28515625" customWidth="1" style="45" min="12808" max="12808"/>
    <col width="31" customWidth="1" style="45" min="12809" max="12809"/>
    <col width="29.140625" customWidth="1" style="45" min="12810" max="12810"/>
    <col width="30.140625" customWidth="1" style="45" min="12811" max="12811"/>
    <col width="49.140625" customWidth="1" style="45" min="12812" max="12812"/>
    <col width="31.85546875" customWidth="1" style="45" min="12813" max="12813"/>
    <col width="39.140625" customWidth="1" style="45" min="12814" max="12814"/>
    <col width="53" bestFit="1" customWidth="1" style="45" min="12815" max="12815"/>
    <col width="33.42578125" bestFit="1" customWidth="1" style="45" min="12816" max="12816"/>
    <col width="28.140625" customWidth="1" style="45" min="12817" max="12817"/>
    <col width="6.7109375" customWidth="1" style="45" min="12818" max="12822"/>
    <col width="1.7109375" customWidth="1" style="45" min="12823" max="12823"/>
    <col width="9.140625" customWidth="1" style="45" min="12824" max="13047"/>
    <col width="16" customWidth="1" style="45" min="13048" max="13048"/>
    <col width="27.7109375" customWidth="1" style="45" min="13049" max="13049"/>
    <col width="65.7109375" customWidth="1" style="45" min="13050" max="13050"/>
    <col width="21.85546875" bestFit="1" customWidth="1" style="45" min="13051" max="13051"/>
    <col width="30.140625" customWidth="1" style="45" min="13052" max="13052"/>
    <col width="62" customWidth="1" style="45" min="13053" max="13053"/>
    <col width="44" customWidth="1" style="45" min="13054" max="13054"/>
    <col width="43.140625" customWidth="1" style="45" min="13055" max="13055"/>
    <col width="45" customWidth="1" style="45" min="13056" max="13056"/>
    <col width="35.5703125" customWidth="1" style="45" min="13057" max="13057"/>
    <col width="37.140625" customWidth="1" style="45" min="13058" max="13058"/>
    <col width="76.7109375" customWidth="1" style="45" min="13059" max="13059"/>
    <col width="37.7109375" customWidth="1" style="45" min="13060" max="13060"/>
    <col width="37.85546875" customWidth="1" style="45" min="13061" max="13061"/>
    <col width="39.85546875" customWidth="1" style="45" min="13062" max="13062"/>
    <col width="53.140625" customWidth="1" style="45" min="13063" max="13063"/>
    <col width="35.28515625" customWidth="1" style="45" min="13064" max="13064"/>
    <col width="31" customWidth="1" style="45" min="13065" max="13065"/>
    <col width="29.140625" customWidth="1" style="45" min="13066" max="13066"/>
    <col width="30.140625" customWidth="1" style="45" min="13067" max="13067"/>
    <col width="49.140625" customWidth="1" style="45" min="13068" max="13068"/>
    <col width="31.85546875" customWidth="1" style="45" min="13069" max="13069"/>
    <col width="39.140625" customWidth="1" style="45" min="13070" max="13070"/>
    <col width="53" bestFit="1" customWidth="1" style="45" min="13071" max="13071"/>
    <col width="33.42578125" bestFit="1" customWidth="1" style="45" min="13072" max="13072"/>
    <col width="28.140625" customWidth="1" style="45" min="13073" max="13073"/>
    <col width="6.7109375" customWidth="1" style="45" min="13074" max="13078"/>
    <col width="1.7109375" customWidth="1" style="45" min="13079" max="13079"/>
    <col width="9.140625" customWidth="1" style="45" min="13080" max="13303"/>
    <col width="16" customWidth="1" style="45" min="13304" max="13304"/>
    <col width="27.7109375" customWidth="1" style="45" min="13305" max="13305"/>
    <col width="65.7109375" customWidth="1" style="45" min="13306" max="13306"/>
    <col width="21.85546875" bestFit="1" customWidth="1" style="45" min="13307" max="13307"/>
    <col width="30.140625" customWidth="1" style="45" min="13308" max="13308"/>
    <col width="62" customWidth="1" style="45" min="13309" max="13309"/>
    <col width="44" customWidth="1" style="45" min="13310" max="13310"/>
    <col width="43.140625" customWidth="1" style="45" min="13311" max="13311"/>
    <col width="45" customWidth="1" style="45" min="13312" max="13312"/>
    <col width="35.5703125" customWidth="1" style="45" min="13313" max="13313"/>
    <col width="37.140625" customWidth="1" style="45" min="13314" max="13314"/>
    <col width="76.7109375" customWidth="1" style="45" min="13315" max="13315"/>
    <col width="37.7109375" customWidth="1" style="45" min="13316" max="13316"/>
    <col width="37.85546875" customWidth="1" style="45" min="13317" max="13317"/>
    <col width="39.85546875" customWidth="1" style="45" min="13318" max="13318"/>
    <col width="53.140625" customWidth="1" style="45" min="13319" max="13319"/>
    <col width="35.28515625" customWidth="1" style="45" min="13320" max="13320"/>
    <col width="31" customWidth="1" style="45" min="13321" max="13321"/>
    <col width="29.140625" customWidth="1" style="45" min="13322" max="13322"/>
    <col width="30.140625" customWidth="1" style="45" min="13323" max="13323"/>
    <col width="49.140625" customWidth="1" style="45" min="13324" max="13324"/>
    <col width="31.85546875" customWidth="1" style="45" min="13325" max="13325"/>
    <col width="39.140625" customWidth="1" style="45" min="13326" max="13326"/>
    <col width="53" bestFit="1" customWidth="1" style="45" min="13327" max="13327"/>
    <col width="33.42578125" bestFit="1" customWidth="1" style="45" min="13328" max="13328"/>
    <col width="28.140625" customWidth="1" style="45" min="13329" max="13329"/>
    <col width="6.7109375" customWidth="1" style="45" min="13330" max="13334"/>
    <col width="1.7109375" customWidth="1" style="45" min="13335" max="13335"/>
    <col width="9.140625" customWidth="1" style="45" min="13336" max="13559"/>
    <col width="16" customWidth="1" style="45" min="13560" max="13560"/>
    <col width="27.7109375" customWidth="1" style="45" min="13561" max="13561"/>
    <col width="65.7109375" customWidth="1" style="45" min="13562" max="13562"/>
    <col width="21.85546875" bestFit="1" customWidth="1" style="45" min="13563" max="13563"/>
    <col width="30.140625" customWidth="1" style="45" min="13564" max="13564"/>
    <col width="62" customWidth="1" style="45" min="13565" max="13565"/>
    <col width="44" customWidth="1" style="45" min="13566" max="13566"/>
    <col width="43.140625" customWidth="1" style="45" min="13567" max="13567"/>
    <col width="45" customWidth="1" style="45" min="13568" max="13568"/>
    <col width="35.5703125" customWidth="1" style="45" min="13569" max="13569"/>
    <col width="37.140625" customWidth="1" style="45" min="13570" max="13570"/>
    <col width="76.7109375" customWidth="1" style="45" min="13571" max="13571"/>
    <col width="37.7109375" customWidth="1" style="45" min="13572" max="13572"/>
    <col width="37.85546875" customWidth="1" style="45" min="13573" max="13573"/>
    <col width="39.85546875" customWidth="1" style="45" min="13574" max="13574"/>
    <col width="53.140625" customWidth="1" style="45" min="13575" max="13575"/>
    <col width="35.28515625" customWidth="1" style="45" min="13576" max="13576"/>
    <col width="31" customWidth="1" style="45" min="13577" max="13577"/>
    <col width="29.140625" customWidth="1" style="45" min="13578" max="13578"/>
    <col width="30.140625" customWidth="1" style="45" min="13579" max="13579"/>
    <col width="49.140625" customWidth="1" style="45" min="13580" max="13580"/>
    <col width="31.85546875" customWidth="1" style="45" min="13581" max="13581"/>
    <col width="39.140625" customWidth="1" style="45" min="13582" max="13582"/>
    <col width="53" bestFit="1" customWidth="1" style="45" min="13583" max="13583"/>
    <col width="33.42578125" bestFit="1" customWidth="1" style="45" min="13584" max="13584"/>
    <col width="28.140625" customWidth="1" style="45" min="13585" max="13585"/>
    <col width="6.7109375" customWidth="1" style="45" min="13586" max="13590"/>
    <col width="1.7109375" customWidth="1" style="45" min="13591" max="13591"/>
    <col width="9.140625" customWidth="1" style="45" min="13592" max="13815"/>
    <col width="16" customWidth="1" style="45" min="13816" max="13816"/>
    <col width="27.7109375" customWidth="1" style="45" min="13817" max="13817"/>
    <col width="65.7109375" customWidth="1" style="45" min="13818" max="13818"/>
    <col width="21.85546875" bestFit="1" customWidth="1" style="45" min="13819" max="13819"/>
    <col width="30.140625" customWidth="1" style="45" min="13820" max="13820"/>
    <col width="62" customWidth="1" style="45" min="13821" max="13821"/>
    <col width="44" customWidth="1" style="45" min="13822" max="13822"/>
    <col width="43.140625" customWidth="1" style="45" min="13823" max="13823"/>
    <col width="45" customWidth="1" style="45" min="13824" max="13824"/>
    <col width="35.5703125" customWidth="1" style="45" min="13825" max="13825"/>
    <col width="37.140625" customWidth="1" style="45" min="13826" max="13826"/>
    <col width="76.7109375" customWidth="1" style="45" min="13827" max="13827"/>
    <col width="37.7109375" customWidth="1" style="45" min="13828" max="13828"/>
    <col width="37.85546875" customWidth="1" style="45" min="13829" max="13829"/>
    <col width="39.85546875" customWidth="1" style="45" min="13830" max="13830"/>
    <col width="53.140625" customWidth="1" style="45" min="13831" max="13831"/>
    <col width="35.28515625" customWidth="1" style="45" min="13832" max="13832"/>
    <col width="31" customWidth="1" style="45" min="13833" max="13833"/>
    <col width="29.140625" customWidth="1" style="45" min="13834" max="13834"/>
    <col width="30.140625" customWidth="1" style="45" min="13835" max="13835"/>
    <col width="49.140625" customWidth="1" style="45" min="13836" max="13836"/>
    <col width="31.85546875" customWidth="1" style="45" min="13837" max="13837"/>
    <col width="39.140625" customWidth="1" style="45" min="13838" max="13838"/>
    <col width="53" bestFit="1" customWidth="1" style="45" min="13839" max="13839"/>
    <col width="33.42578125" bestFit="1" customWidth="1" style="45" min="13840" max="13840"/>
    <col width="28.140625" customWidth="1" style="45" min="13841" max="13841"/>
    <col width="6.7109375" customWidth="1" style="45" min="13842" max="13846"/>
    <col width="1.7109375" customWidth="1" style="45" min="13847" max="13847"/>
    <col width="9.140625" customWidth="1" style="45" min="13848" max="14071"/>
    <col width="16" customWidth="1" style="45" min="14072" max="14072"/>
    <col width="27.7109375" customWidth="1" style="45" min="14073" max="14073"/>
    <col width="65.7109375" customWidth="1" style="45" min="14074" max="14074"/>
    <col width="21.85546875" bestFit="1" customWidth="1" style="45" min="14075" max="14075"/>
    <col width="30.140625" customWidth="1" style="45" min="14076" max="14076"/>
    <col width="62" customWidth="1" style="45" min="14077" max="14077"/>
    <col width="44" customWidth="1" style="45" min="14078" max="14078"/>
    <col width="43.140625" customWidth="1" style="45" min="14079" max="14079"/>
    <col width="45" customWidth="1" style="45" min="14080" max="14080"/>
    <col width="35.5703125" customWidth="1" style="45" min="14081" max="14081"/>
    <col width="37.140625" customWidth="1" style="45" min="14082" max="14082"/>
    <col width="76.7109375" customWidth="1" style="45" min="14083" max="14083"/>
    <col width="37.7109375" customWidth="1" style="45" min="14084" max="14084"/>
    <col width="37.85546875" customWidth="1" style="45" min="14085" max="14085"/>
    <col width="39.85546875" customWidth="1" style="45" min="14086" max="14086"/>
    <col width="53.140625" customWidth="1" style="45" min="14087" max="14087"/>
    <col width="35.28515625" customWidth="1" style="45" min="14088" max="14088"/>
    <col width="31" customWidth="1" style="45" min="14089" max="14089"/>
    <col width="29.140625" customWidth="1" style="45" min="14090" max="14090"/>
    <col width="30.140625" customWidth="1" style="45" min="14091" max="14091"/>
    <col width="49.140625" customWidth="1" style="45" min="14092" max="14092"/>
    <col width="31.85546875" customWidth="1" style="45" min="14093" max="14093"/>
    <col width="39.140625" customWidth="1" style="45" min="14094" max="14094"/>
    <col width="53" bestFit="1" customWidth="1" style="45" min="14095" max="14095"/>
    <col width="33.42578125" bestFit="1" customWidth="1" style="45" min="14096" max="14096"/>
    <col width="28.140625" customWidth="1" style="45" min="14097" max="14097"/>
    <col width="6.7109375" customWidth="1" style="45" min="14098" max="14102"/>
    <col width="1.7109375" customWidth="1" style="45" min="14103" max="14103"/>
    <col width="9.140625" customWidth="1" style="45" min="14104" max="14327"/>
    <col width="16" customWidth="1" style="45" min="14328" max="14328"/>
    <col width="27.7109375" customWidth="1" style="45" min="14329" max="14329"/>
    <col width="65.7109375" customWidth="1" style="45" min="14330" max="14330"/>
    <col width="21.85546875" bestFit="1" customWidth="1" style="45" min="14331" max="14331"/>
    <col width="30.140625" customWidth="1" style="45" min="14332" max="14332"/>
    <col width="62" customWidth="1" style="45" min="14333" max="14333"/>
    <col width="44" customWidth="1" style="45" min="14334" max="14334"/>
    <col width="43.140625" customWidth="1" style="45" min="14335" max="14335"/>
    <col width="45" customWidth="1" style="45" min="14336" max="14336"/>
    <col width="35.5703125" customWidth="1" style="45" min="14337" max="14337"/>
    <col width="37.140625" customWidth="1" style="45" min="14338" max="14338"/>
    <col width="76.7109375" customWidth="1" style="45" min="14339" max="14339"/>
    <col width="37.7109375" customWidth="1" style="45" min="14340" max="14340"/>
    <col width="37.85546875" customWidth="1" style="45" min="14341" max="14341"/>
    <col width="39.85546875" customWidth="1" style="45" min="14342" max="14342"/>
    <col width="53.140625" customWidth="1" style="45" min="14343" max="14343"/>
    <col width="35.28515625" customWidth="1" style="45" min="14344" max="14344"/>
    <col width="31" customWidth="1" style="45" min="14345" max="14345"/>
    <col width="29.140625" customWidth="1" style="45" min="14346" max="14346"/>
    <col width="30.140625" customWidth="1" style="45" min="14347" max="14347"/>
    <col width="49.140625" customWidth="1" style="45" min="14348" max="14348"/>
    <col width="31.85546875" customWidth="1" style="45" min="14349" max="14349"/>
    <col width="39.140625" customWidth="1" style="45" min="14350" max="14350"/>
    <col width="53" bestFit="1" customWidth="1" style="45" min="14351" max="14351"/>
    <col width="33.42578125" bestFit="1" customWidth="1" style="45" min="14352" max="14352"/>
    <col width="28.140625" customWidth="1" style="45" min="14353" max="14353"/>
    <col width="6.7109375" customWidth="1" style="45" min="14354" max="14358"/>
    <col width="1.7109375" customWidth="1" style="45" min="14359" max="14359"/>
    <col width="9.140625" customWidth="1" style="45" min="14360" max="14583"/>
    <col width="16" customWidth="1" style="45" min="14584" max="14584"/>
    <col width="27.7109375" customWidth="1" style="45" min="14585" max="14585"/>
    <col width="65.7109375" customWidth="1" style="45" min="14586" max="14586"/>
    <col width="21.85546875" bestFit="1" customWidth="1" style="45" min="14587" max="14587"/>
    <col width="30.140625" customWidth="1" style="45" min="14588" max="14588"/>
    <col width="62" customWidth="1" style="45" min="14589" max="14589"/>
    <col width="44" customWidth="1" style="45" min="14590" max="14590"/>
    <col width="43.140625" customWidth="1" style="45" min="14591" max="14591"/>
    <col width="45" customWidth="1" style="45" min="14592" max="14592"/>
    <col width="35.5703125" customWidth="1" style="45" min="14593" max="14593"/>
    <col width="37.140625" customWidth="1" style="45" min="14594" max="14594"/>
    <col width="76.7109375" customWidth="1" style="45" min="14595" max="14595"/>
    <col width="37.7109375" customWidth="1" style="45" min="14596" max="14596"/>
    <col width="37.85546875" customWidth="1" style="45" min="14597" max="14597"/>
    <col width="39.85546875" customWidth="1" style="45" min="14598" max="14598"/>
    <col width="53.140625" customWidth="1" style="45" min="14599" max="14599"/>
    <col width="35.28515625" customWidth="1" style="45" min="14600" max="14600"/>
    <col width="31" customWidth="1" style="45" min="14601" max="14601"/>
    <col width="29.140625" customWidth="1" style="45" min="14602" max="14602"/>
    <col width="30.140625" customWidth="1" style="45" min="14603" max="14603"/>
    <col width="49.140625" customWidth="1" style="45" min="14604" max="14604"/>
    <col width="31.85546875" customWidth="1" style="45" min="14605" max="14605"/>
    <col width="39.140625" customWidth="1" style="45" min="14606" max="14606"/>
    <col width="53" bestFit="1" customWidth="1" style="45" min="14607" max="14607"/>
    <col width="33.42578125" bestFit="1" customWidth="1" style="45" min="14608" max="14608"/>
    <col width="28.140625" customWidth="1" style="45" min="14609" max="14609"/>
    <col width="6.7109375" customWidth="1" style="45" min="14610" max="14614"/>
    <col width="1.7109375" customWidth="1" style="45" min="14615" max="14615"/>
    <col width="9.140625" customWidth="1" style="45" min="14616" max="14839"/>
    <col width="16" customWidth="1" style="45" min="14840" max="14840"/>
    <col width="27.7109375" customWidth="1" style="45" min="14841" max="14841"/>
    <col width="65.7109375" customWidth="1" style="45" min="14842" max="14842"/>
    <col width="21.85546875" bestFit="1" customWidth="1" style="45" min="14843" max="14843"/>
    <col width="30.140625" customWidth="1" style="45" min="14844" max="14844"/>
    <col width="62" customWidth="1" style="45" min="14845" max="14845"/>
    <col width="44" customWidth="1" style="45" min="14846" max="14846"/>
    <col width="43.140625" customWidth="1" style="45" min="14847" max="14847"/>
    <col width="45" customWidth="1" style="45" min="14848" max="14848"/>
    <col width="35.5703125" customWidth="1" style="45" min="14849" max="14849"/>
    <col width="37.140625" customWidth="1" style="45" min="14850" max="14850"/>
    <col width="76.7109375" customWidth="1" style="45" min="14851" max="14851"/>
    <col width="37.7109375" customWidth="1" style="45" min="14852" max="14852"/>
    <col width="37.85546875" customWidth="1" style="45" min="14853" max="14853"/>
    <col width="39.85546875" customWidth="1" style="45" min="14854" max="14854"/>
    <col width="53.140625" customWidth="1" style="45" min="14855" max="14855"/>
    <col width="35.28515625" customWidth="1" style="45" min="14856" max="14856"/>
    <col width="31" customWidth="1" style="45" min="14857" max="14857"/>
    <col width="29.140625" customWidth="1" style="45" min="14858" max="14858"/>
    <col width="30.140625" customWidth="1" style="45" min="14859" max="14859"/>
    <col width="49.140625" customWidth="1" style="45" min="14860" max="14860"/>
    <col width="31.85546875" customWidth="1" style="45" min="14861" max="14861"/>
    <col width="39.140625" customWidth="1" style="45" min="14862" max="14862"/>
    <col width="53" bestFit="1" customWidth="1" style="45" min="14863" max="14863"/>
    <col width="33.42578125" bestFit="1" customWidth="1" style="45" min="14864" max="14864"/>
    <col width="28.140625" customWidth="1" style="45" min="14865" max="14865"/>
    <col width="6.7109375" customWidth="1" style="45" min="14866" max="14870"/>
    <col width="1.7109375" customWidth="1" style="45" min="14871" max="14871"/>
    <col width="9.140625" customWidth="1" style="45" min="14872" max="15095"/>
    <col width="16" customWidth="1" style="45" min="15096" max="15096"/>
    <col width="27.7109375" customWidth="1" style="45" min="15097" max="15097"/>
    <col width="65.7109375" customWidth="1" style="45" min="15098" max="15098"/>
    <col width="21.85546875" bestFit="1" customWidth="1" style="45" min="15099" max="15099"/>
    <col width="30.140625" customWidth="1" style="45" min="15100" max="15100"/>
    <col width="62" customWidth="1" style="45" min="15101" max="15101"/>
    <col width="44" customWidth="1" style="45" min="15102" max="15102"/>
    <col width="43.140625" customWidth="1" style="45" min="15103" max="15103"/>
    <col width="45" customWidth="1" style="45" min="15104" max="15104"/>
    <col width="35.5703125" customWidth="1" style="45" min="15105" max="15105"/>
    <col width="37.140625" customWidth="1" style="45" min="15106" max="15106"/>
    <col width="76.7109375" customWidth="1" style="45" min="15107" max="15107"/>
    <col width="37.7109375" customWidth="1" style="45" min="15108" max="15108"/>
    <col width="37.85546875" customWidth="1" style="45" min="15109" max="15109"/>
    <col width="39.85546875" customWidth="1" style="45" min="15110" max="15110"/>
    <col width="53.140625" customWidth="1" style="45" min="15111" max="15111"/>
    <col width="35.28515625" customWidth="1" style="45" min="15112" max="15112"/>
    <col width="31" customWidth="1" style="45" min="15113" max="15113"/>
    <col width="29.140625" customWidth="1" style="45" min="15114" max="15114"/>
    <col width="30.140625" customWidth="1" style="45" min="15115" max="15115"/>
    <col width="49.140625" customWidth="1" style="45" min="15116" max="15116"/>
    <col width="31.85546875" customWidth="1" style="45" min="15117" max="15117"/>
    <col width="39.140625" customWidth="1" style="45" min="15118" max="15118"/>
    <col width="53" bestFit="1" customWidth="1" style="45" min="15119" max="15119"/>
    <col width="33.42578125" bestFit="1" customWidth="1" style="45" min="15120" max="15120"/>
    <col width="28.140625" customWidth="1" style="45" min="15121" max="15121"/>
    <col width="6.7109375" customWidth="1" style="45" min="15122" max="15126"/>
    <col width="1.7109375" customWidth="1" style="45" min="15127" max="15127"/>
    <col width="9.140625" customWidth="1" style="45" min="15128" max="15351"/>
    <col width="16" customWidth="1" style="45" min="15352" max="15352"/>
    <col width="27.7109375" customWidth="1" style="45" min="15353" max="15353"/>
    <col width="65.7109375" customWidth="1" style="45" min="15354" max="15354"/>
    <col width="21.85546875" bestFit="1" customWidth="1" style="45" min="15355" max="15355"/>
    <col width="30.140625" customWidth="1" style="45" min="15356" max="15356"/>
    <col width="62" customWidth="1" style="45" min="15357" max="15357"/>
    <col width="44" customWidth="1" style="45" min="15358" max="15358"/>
    <col width="43.140625" customWidth="1" style="45" min="15359" max="15359"/>
    <col width="45" customWidth="1" style="45" min="15360" max="15360"/>
    <col width="35.5703125" customWidth="1" style="45" min="15361" max="15361"/>
    <col width="37.140625" customWidth="1" style="45" min="15362" max="15362"/>
    <col width="76.7109375" customWidth="1" style="45" min="15363" max="15363"/>
    <col width="37.7109375" customWidth="1" style="45" min="15364" max="15364"/>
    <col width="37.85546875" customWidth="1" style="45" min="15365" max="15365"/>
    <col width="39.85546875" customWidth="1" style="45" min="15366" max="15366"/>
    <col width="53.140625" customWidth="1" style="45" min="15367" max="15367"/>
    <col width="35.28515625" customWidth="1" style="45" min="15368" max="15368"/>
    <col width="31" customWidth="1" style="45" min="15369" max="15369"/>
    <col width="29.140625" customWidth="1" style="45" min="15370" max="15370"/>
    <col width="30.140625" customWidth="1" style="45" min="15371" max="15371"/>
    <col width="49.140625" customWidth="1" style="45" min="15372" max="15372"/>
    <col width="31.85546875" customWidth="1" style="45" min="15373" max="15373"/>
    <col width="39.140625" customWidth="1" style="45" min="15374" max="15374"/>
    <col width="53" bestFit="1" customWidth="1" style="45" min="15375" max="15375"/>
    <col width="33.42578125" bestFit="1" customWidth="1" style="45" min="15376" max="15376"/>
    <col width="28.140625" customWidth="1" style="45" min="15377" max="15377"/>
    <col width="6.7109375" customWidth="1" style="45" min="15378" max="15382"/>
    <col width="1.7109375" customWidth="1" style="45" min="15383" max="15383"/>
    <col width="9.140625" customWidth="1" style="45" min="15384" max="15607"/>
    <col width="16" customWidth="1" style="45" min="15608" max="15608"/>
    <col width="27.7109375" customWidth="1" style="45" min="15609" max="15609"/>
    <col width="65.7109375" customWidth="1" style="45" min="15610" max="15610"/>
    <col width="21.85546875" bestFit="1" customWidth="1" style="45" min="15611" max="15611"/>
    <col width="30.140625" customWidth="1" style="45" min="15612" max="15612"/>
    <col width="62" customWidth="1" style="45" min="15613" max="15613"/>
    <col width="44" customWidth="1" style="45" min="15614" max="15614"/>
    <col width="43.140625" customWidth="1" style="45" min="15615" max="15615"/>
    <col width="45" customWidth="1" style="45" min="15616" max="15616"/>
    <col width="35.5703125" customWidth="1" style="45" min="15617" max="15617"/>
    <col width="37.140625" customWidth="1" style="45" min="15618" max="15618"/>
    <col width="76.7109375" customWidth="1" style="45" min="15619" max="15619"/>
    <col width="37.7109375" customWidth="1" style="45" min="15620" max="15620"/>
    <col width="37.85546875" customWidth="1" style="45" min="15621" max="15621"/>
    <col width="39.85546875" customWidth="1" style="45" min="15622" max="15622"/>
    <col width="53.140625" customWidth="1" style="45" min="15623" max="15623"/>
    <col width="35.28515625" customWidth="1" style="45" min="15624" max="15624"/>
    <col width="31" customWidth="1" style="45" min="15625" max="15625"/>
    <col width="29.140625" customWidth="1" style="45" min="15626" max="15626"/>
    <col width="30.140625" customWidth="1" style="45" min="15627" max="15627"/>
    <col width="49.140625" customWidth="1" style="45" min="15628" max="15628"/>
    <col width="31.85546875" customWidth="1" style="45" min="15629" max="15629"/>
    <col width="39.140625" customWidth="1" style="45" min="15630" max="15630"/>
    <col width="53" bestFit="1" customWidth="1" style="45" min="15631" max="15631"/>
    <col width="33.42578125" bestFit="1" customWidth="1" style="45" min="15632" max="15632"/>
    <col width="28.140625" customWidth="1" style="45" min="15633" max="15633"/>
    <col width="6.7109375" customWidth="1" style="45" min="15634" max="15638"/>
    <col width="1.7109375" customWidth="1" style="45" min="15639" max="15639"/>
    <col width="9.140625" customWidth="1" style="45" min="15640" max="15863"/>
    <col width="16" customWidth="1" style="45" min="15864" max="15864"/>
    <col width="27.7109375" customWidth="1" style="45" min="15865" max="15865"/>
    <col width="65.7109375" customWidth="1" style="45" min="15866" max="15866"/>
    <col width="21.85546875" bestFit="1" customWidth="1" style="45" min="15867" max="15867"/>
    <col width="30.140625" customWidth="1" style="45" min="15868" max="15868"/>
    <col width="62" customWidth="1" style="45" min="15869" max="15869"/>
    <col width="44" customWidth="1" style="45" min="15870" max="15870"/>
    <col width="43.140625" customWidth="1" style="45" min="15871" max="15871"/>
    <col width="45" customWidth="1" style="45" min="15872" max="15872"/>
    <col width="35.5703125" customWidth="1" style="45" min="15873" max="15873"/>
    <col width="37.140625" customWidth="1" style="45" min="15874" max="15874"/>
    <col width="76.7109375" customWidth="1" style="45" min="15875" max="15875"/>
    <col width="37.7109375" customWidth="1" style="45" min="15876" max="15876"/>
    <col width="37.85546875" customWidth="1" style="45" min="15877" max="15877"/>
    <col width="39.85546875" customWidth="1" style="45" min="15878" max="15878"/>
    <col width="53.140625" customWidth="1" style="45" min="15879" max="15879"/>
    <col width="35.28515625" customWidth="1" style="45" min="15880" max="15880"/>
    <col width="31" customWidth="1" style="45" min="15881" max="15881"/>
    <col width="29.140625" customWidth="1" style="45" min="15882" max="15882"/>
    <col width="30.140625" customWidth="1" style="45" min="15883" max="15883"/>
    <col width="49.140625" customWidth="1" style="45" min="15884" max="15884"/>
    <col width="31.85546875" customWidth="1" style="45" min="15885" max="15885"/>
    <col width="39.140625" customWidth="1" style="45" min="15886" max="15886"/>
    <col width="53" bestFit="1" customWidth="1" style="45" min="15887" max="15887"/>
    <col width="33.42578125" bestFit="1" customWidth="1" style="45" min="15888" max="15888"/>
    <col width="28.140625" customWidth="1" style="45" min="15889" max="15889"/>
    <col width="6.7109375" customWidth="1" style="45" min="15890" max="15894"/>
    <col width="1.7109375" customWidth="1" style="45" min="15895" max="15895"/>
    <col width="9.140625" customWidth="1" style="45" min="15896" max="16119"/>
    <col width="16" customWidth="1" style="45" min="16120" max="16120"/>
    <col width="27.7109375" customWidth="1" style="45" min="16121" max="16121"/>
    <col width="65.7109375" customWidth="1" style="45" min="16122" max="16122"/>
    <col width="21.85546875" bestFit="1" customWidth="1" style="45" min="16123" max="16123"/>
    <col width="30.140625" customWidth="1" style="45" min="16124" max="16124"/>
    <col width="62" customWidth="1" style="45" min="16125" max="16125"/>
    <col width="44" customWidth="1" style="45" min="16126" max="16126"/>
    <col width="43.140625" customWidth="1" style="45" min="16127" max="16127"/>
    <col width="45" customWidth="1" style="45" min="16128" max="16128"/>
    <col width="35.5703125" customWidth="1" style="45" min="16129" max="16129"/>
    <col width="37.140625" customWidth="1" style="45" min="16130" max="16130"/>
    <col width="76.7109375" customWidth="1" style="45" min="16131" max="16131"/>
    <col width="37.7109375" customWidth="1" style="45" min="16132" max="16132"/>
    <col width="37.85546875" customWidth="1" style="45" min="16133" max="16133"/>
    <col width="39.85546875" customWidth="1" style="45" min="16134" max="16134"/>
    <col width="53.140625" customWidth="1" style="45" min="16135" max="16135"/>
    <col width="35.28515625" customWidth="1" style="45" min="16136" max="16136"/>
    <col width="31" customWidth="1" style="45" min="16137" max="16137"/>
    <col width="29.140625" customWidth="1" style="45" min="16138" max="16138"/>
    <col width="30.140625" customWidth="1" style="45" min="16139" max="16139"/>
    <col width="49.140625" customWidth="1" style="45" min="16140" max="16140"/>
    <col width="31.85546875" customWidth="1" style="45" min="16141" max="16141"/>
    <col width="39.140625" customWidth="1" style="45" min="16142" max="16142"/>
    <col width="53" bestFit="1" customWidth="1" style="45" min="16143" max="16143"/>
    <col width="33.42578125" bestFit="1" customWidth="1" style="45" min="16144" max="16144"/>
    <col width="28.140625" customWidth="1" style="45" min="16145" max="16145"/>
    <col width="6.7109375" customWidth="1" style="45" min="16146" max="16150"/>
    <col width="1.7109375" customWidth="1" style="45" min="16151" max="16151"/>
    <col width="9.140625" customWidth="1" style="45" min="16152" max="16384"/>
  </cols>
  <sheetData>
    <row r="1" ht="30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60.75" customHeight="1">
      <c r="A2" s="1" t="n"/>
      <c r="B2" s="366" t="n"/>
      <c r="C2" s="527" t="n"/>
      <c r="D2" s="527" t="n"/>
      <c r="E2" s="528" t="n"/>
      <c r="F2" s="351" t="inlineStr">
        <is>
          <t>CBA SWITCHGEAR TEST SHEET (PMU/PPU/SSU) - Page Extra</t>
        </is>
      </c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8" t="n"/>
      <c r="V2" s="529">
        <f>'11kV (Main)'!V2</f>
        <v/>
      </c>
      <c r="W2" s="530" t="n"/>
    </row>
    <row r="3" ht="65.25" customHeight="1">
      <c r="A3" s="1" t="n"/>
      <c r="B3" s="531" t="n"/>
      <c r="C3" s="532" t="n"/>
      <c r="D3" s="532" t="n"/>
      <c r="E3" s="533" t="n"/>
      <c r="F3" s="531" t="n"/>
      <c r="G3" s="532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3" t="n"/>
      <c r="V3" s="267" t="inlineStr">
        <is>
          <t>Page No:</t>
        </is>
      </c>
      <c r="W3" s="146" t="n"/>
    </row>
    <row r="4" ht="60.75" customHeight="1">
      <c r="A4" s="1" t="n"/>
      <c r="B4" s="2" t="n"/>
      <c r="C4" s="1" t="n"/>
      <c r="D4" s="1" t="n"/>
      <c r="E4" s="1" t="n"/>
      <c r="F4" s="1" t="n"/>
      <c r="G4" s="3" t="n"/>
      <c r="H4" s="324" t="n"/>
      <c r="I4" s="3" t="n"/>
      <c r="J4" s="1" t="n"/>
      <c r="K4" s="3" t="n"/>
      <c r="L4" s="3" t="n"/>
      <c r="M4" s="1" t="n"/>
      <c r="N4" s="1" t="n"/>
      <c r="O4" s="1" t="n"/>
      <c r="P4" s="1" t="n"/>
      <c r="Q4" s="1" t="n"/>
      <c r="R4" s="3" t="n"/>
      <c r="S4" s="3" t="n"/>
      <c r="T4" s="1" t="n"/>
      <c r="U4" s="1" t="n"/>
      <c r="V4" s="268" t="inlineStr">
        <is>
          <t>CBM Condition</t>
        </is>
      </c>
      <c r="W4" s="146" t="n"/>
    </row>
    <row r="5" ht="60" customHeight="1">
      <c r="A5" s="1" t="n"/>
      <c r="B5" s="5" t="inlineStr">
        <is>
          <t>1.0 Job Details:</t>
        </is>
      </c>
      <c r="C5" s="3" t="n"/>
      <c r="D5" s="3" t="n"/>
      <c r="E5" s="3" t="n"/>
      <c r="F5" s="3" t="n"/>
      <c r="G5" s="6" t="n"/>
      <c r="H5" s="7" t="n"/>
      <c r="I5" s="3" t="n"/>
      <c r="J5" s="324" t="inlineStr">
        <is>
          <t>2.0 Switchgear Details:</t>
        </is>
      </c>
      <c r="K5" s="3" t="n"/>
      <c r="L5" s="1" t="n"/>
      <c r="M5" s="3" t="n"/>
      <c r="N5" s="3" t="n"/>
      <c r="O5" s="1" t="n"/>
      <c r="P5" s="1" t="n"/>
      <c r="Q5" s="1" t="n"/>
      <c r="R5" s="324" t="inlineStr">
        <is>
          <t>3.0 Background Data</t>
        </is>
      </c>
      <c r="S5" s="1" t="n"/>
      <c r="T5" s="1" t="n"/>
      <c r="U5" s="1" t="n"/>
      <c r="V5" s="1" t="n"/>
      <c r="W5" s="8" t="n"/>
    </row>
    <row r="6" ht="65.09999999999999" customHeight="1">
      <c r="A6" s="1" t="n"/>
      <c r="B6" s="9" t="inlineStr">
        <is>
          <t>1.1 Substation Name:</t>
        </is>
      </c>
      <c r="C6" s="7" t="n"/>
      <c r="D6" s="259">
        <f>'11kV (Main)'!D6</f>
        <v/>
      </c>
      <c r="E6" s="6" t="n"/>
      <c r="F6" s="1" t="n"/>
      <c r="G6" s="51" t="n"/>
      <c r="H6" s="7" t="n"/>
      <c r="I6" s="1" t="n"/>
      <c r="J6" s="7" t="inlineStr">
        <is>
          <t>2.1 Manufacture:</t>
        </is>
      </c>
      <c r="K6" s="3" t="n"/>
      <c r="L6" s="257">
        <f>'11kV (Main)'!L6</f>
        <v/>
      </c>
      <c r="M6" s="326">
        <f>'11kV (Main)'!M6</f>
        <v/>
      </c>
      <c r="N6" s="1" t="n"/>
      <c r="O6" s="1" t="n"/>
      <c r="P6" s="1" t="n"/>
      <c r="Q6" s="1" t="n"/>
      <c r="R6" s="3" t="inlineStr">
        <is>
          <t xml:space="preserve">3.1 Background Temp (ɛ = 1.0):               </t>
        </is>
      </c>
      <c r="S6" s="11" t="n"/>
      <c r="T6" s="1" t="n"/>
      <c r="U6" s="265">
        <f>'33kV (Main)'!U6</f>
        <v/>
      </c>
      <c r="V6" s="1" t="n"/>
      <c r="W6" s="52" t="n"/>
    </row>
    <row r="7" ht="65.09999999999999" customHeight="1">
      <c r="A7" s="1" t="n"/>
      <c r="B7" s="9" t="inlineStr">
        <is>
          <t>1.2 Substation Location:</t>
        </is>
      </c>
      <c r="C7" s="7" t="n"/>
      <c r="D7" s="259">
        <f>'11kV (Main)'!D7</f>
        <v/>
      </c>
      <c r="E7" s="51" t="n"/>
      <c r="F7" s="1" t="n"/>
      <c r="G7" s="1" t="n"/>
      <c r="H7" s="7" t="n"/>
      <c r="I7" s="1" t="n"/>
      <c r="J7" s="7" t="inlineStr">
        <is>
          <t>2.2 Manufacturing Year:</t>
        </is>
      </c>
      <c r="K7" s="1" t="n"/>
      <c r="L7" s="258">
        <f>'11kV (Main)'!L7</f>
        <v/>
      </c>
      <c r="M7" s="272" t="n"/>
      <c r="N7" s="1" t="n"/>
      <c r="O7" s="1" t="n"/>
      <c r="P7" s="1" t="n"/>
      <c r="Q7" s="1" t="n"/>
      <c r="R7" s="3" t="inlineStr">
        <is>
          <t xml:space="preserve">3.2 Humidity:              </t>
        </is>
      </c>
      <c r="S7" s="11" t="n"/>
      <c r="T7" s="1" t="n"/>
      <c r="U7" s="266">
        <f>'33kV (Main)'!U7</f>
        <v/>
      </c>
      <c r="V7" s="1" t="n"/>
      <c r="W7" s="52" t="n"/>
    </row>
    <row r="8" ht="65.09999999999999" customHeight="1">
      <c r="A8" s="1" t="n"/>
      <c r="B8" s="9" t="inlineStr">
        <is>
          <t>1.3 Date of Scanning:</t>
        </is>
      </c>
      <c r="C8" s="7" t="n"/>
      <c r="D8" s="303">
        <f>'11kV (Main)'!D8</f>
        <v/>
      </c>
      <c r="E8" s="536" t="n"/>
      <c r="F8" s="1" t="n"/>
      <c r="G8" s="1" t="n"/>
      <c r="H8" s="7" t="n"/>
      <c r="I8" s="1" t="n"/>
      <c r="J8" s="7" t="inlineStr">
        <is>
          <t>2.3 Model:</t>
        </is>
      </c>
      <c r="K8" s="1" t="n"/>
      <c r="L8" s="271">
        <f>'11kV (Main)'!L8</f>
        <v/>
      </c>
      <c r="M8" s="272" t="n"/>
      <c r="N8" s="1" t="n"/>
      <c r="O8" s="1" t="n"/>
      <c r="P8" s="1" t="n"/>
      <c r="Q8" s="1" t="n"/>
      <c r="R8" s="3" t="inlineStr">
        <is>
          <t>3.3 Background (TEV):</t>
        </is>
      </c>
      <c r="S8" s="11" t="n"/>
      <c r="T8" s="1" t="n"/>
      <c r="U8" s="264">
        <f>'33kV (Main)'!U8</f>
        <v/>
      </c>
      <c r="V8" s="1" t="n"/>
      <c r="W8" s="52" t="n"/>
    </row>
    <row r="9" ht="65.09999999999999" customHeight="1">
      <c r="A9" s="1" t="n"/>
      <c r="B9" s="12" t="inlineStr">
        <is>
          <t>1.4 Time:</t>
        </is>
      </c>
      <c r="C9" s="1" t="n"/>
      <c r="D9" s="262">
        <f>'11kV (Main)'!D9</f>
        <v/>
      </c>
      <c r="E9" s="15" t="n"/>
      <c r="F9" s="1" t="n"/>
      <c r="G9" s="3" t="n"/>
      <c r="H9" s="7" t="n"/>
      <c r="I9" s="3" t="n"/>
      <c r="J9" s="7" t="inlineStr">
        <is>
          <t>2.4 Last Preventive Maintenance Date:</t>
        </is>
      </c>
      <c r="K9" s="1" t="n"/>
      <c r="L9" s="271">
        <f>'11kV (Main)'!L9</f>
        <v/>
      </c>
      <c r="M9" s="272" t="n"/>
      <c r="N9" s="1" t="n"/>
      <c r="O9" s="1" t="n"/>
      <c r="P9" s="1" t="n"/>
      <c r="Q9" s="1" t="n"/>
      <c r="R9" s="3" t="n"/>
      <c r="S9" s="3" t="n"/>
      <c r="T9" s="1" t="n"/>
      <c r="U9" s="1" t="n"/>
      <c r="V9" s="1" t="n"/>
      <c r="W9" s="8" t="n"/>
    </row>
    <row r="10" ht="65.09999999999999" customHeight="1">
      <c r="A10" s="1" t="n"/>
      <c r="B10" s="48" t="n"/>
      <c r="C10" s="3" t="n"/>
      <c r="D10" s="3" t="n"/>
      <c r="E10" s="7" t="n"/>
      <c r="F10" s="1" t="n"/>
      <c r="G10" s="7" t="n"/>
      <c r="H10" s="7" t="n"/>
      <c r="I10" s="3" t="n"/>
      <c r="J10" s="7" t="inlineStr">
        <is>
          <t>2.4 Type of Busbar:</t>
        </is>
      </c>
      <c r="K10" s="3" t="n"/>
      <c r="L10" s="260">
        <f>'11kV (Main)'!L10</f>
        <v/>
      </c>
      <c r="M10" s="270" t="n"/>
      <c r="N10" s="1" t="n"/>
      <c r="O10" s="1" t="n"/>
      <c r="P10" s="1" t="n"/>
      <c r="Q10" s="1" t="n"/>
      <c r="R10" s="3" t="n"/>
      <c r="S10" s="1" t="n"/>
      <c r="T10" s="1" t="n"/>
      <c r="U10" s="1" t="n"/>
      <c r="V10" s="1" t="n"/>
      <c r="W10" s="8" t="n"/>
    </row>
    <row r="11" ht="65.09999999999999" customHeight="1">
      <c r="A11" s="1" t="n"/>
      <c r="B11" s="9" t="n"/>
      <c r="C11" s="3" t="n"/>
      <c r="D11" s="1" t="n"/>
      <c r="E11" s="32" t="n"/>
      <c r="F11" s="47" t="n"/>
      <c r="G11" s="1" t="n"/>
      <c r="H11" s="7" t="n"/>
      <c r="I11" s="3" t="n"/>
      <c r="J11" s="7" t="inlineStr">
        <is>
          <t>2.5 Rating (kV):</t>
        </is>
      </c>
      <c r="K11" s="3" t="n"/>
      <c r="L11" s="259">
        <f>'11kV (Main)'!L11</f>
        <v/>
      </c>
      <c r="M11" s="270" t="n"/>
      <c r="N11" s="3" t="n"/>
      <c r="O11" s="1" t="n"/>
      <c r="P11" s="3" t="n"/>
      <c r="Q11" s="1" t="n"/>
      <c r="R11" s="1" t="n"/>
      <c r="S11" s="7" t="n"/>
      <c r="T11" s="7" t="n"/>
      <c r="U11" s="7" t="n"/>
      <c r="V11" s="1" t="n"/>
      <c r="W11" s="8" t="n"/>
    </row>
    <row r="12" ht="12.75" customHeight="1">
      <c r="A12" s="1" t="n"/>
      <c r="B12" s="54" t="n"/>
      <c r="C12" s="3" t="n"/>
      <c r="D12" s="1" t="n"/>
      <c r="E12" s="32" t="n"/>
      <c r="F12" s="47" t="n"/>
      <c r="G12" s="1" t="n"/>
      <c r="H12" s="7" t="n"/>
      <c r="I12" s="3" t="n"/>
      <c r="J12" s="7" t="n"/>
      <c r="K12" s="3" t="n"/>
      <c r="L12" s="32" t="n"/>
      <c r="M12" s="32" t="n"/>
      <c r="N12" s="7" t="n"/>
      <c r="O12" s="3" t="n"/>
      <c r="P12" s="3" t="n"/>
      <c r="Q12" s="1" t="n"/>
      <c r="R12" s="1" t="n"/>
      <c r="S12" s="7" t="n"/>
      <c r="T12" s="7" t="n"/>
      <c r="U12" s="7" t="n"/>
      <c r="V12" s="1" t="n"/>
      <c r="W12" s="8" t="n"/>
    </row>
    <row r="13" ht="59.25" customHeight="1">
      <c r="A13" s="1" t="n"/>
      <c r="B13" s="366" t="inlineStr">
        <is>
          <t>NO.</t>
        </is>
      </c>
      <c r="C13" s="351" t="inlineStr">
        <is>
          <t>PANEL NO.</t>
        </is>
      </c>
      <c r="D13" s="351" t="inlineStr">
        <is>
          <t>FEEDER NAME</t>
        </is>
      </c>
      <c r="E13" s="351" t="inlineStr">
        <is>
          <t>CABLE TYPE</t>
        </is>
      </c>
      <c r="F13" s="351" t="inlineStr">
        <is>
          <t>BREAKER POSITION</t>
        </is>
      </c>
      <c r="G13" s="351" t="inlineStr">
        <is>
          <t>BREAKER STATUS</t>
        </is>
      </c>
      <c r="H13" s="351" t="inlineStr">
        <is>
          <t>BUSBAR POSITION</t>
        </is>
      </c>
      <c r="I13" s="351" t="inlineStr">
        <is>
          <t>LOAD (A)</t>
        </is>
      </c>
      <c r="J13" s="351" t="inlineStr">
        <is>
          <t>HEATER (A) WHEN 
ON / OFF</t>
        </is>
      </c>
      <c r="K13" s="351" t="inlineStr">
        <is>
          <t>COMPARTMENT</t>
        </is>
      </c>
      <c r="L13" s="372" t="inlineStr">
        <is>
          <t>THERMOGRAPHY</t>
        </is>
      </c>
      <c r="M13" s="538" t="n"/>
      <c r="N13" s="538" t="n"/>
      <c r="O13" s="538" t="n"/>
      <c r="P13" s="538" t="n"/>
      <c r="Q13" s="530" t="n"/>
      <c r="R13" s="373" t="inlineStr">
        <is>
          <t xml:space="preserve">TEV </t>
        </is>
      </c>
      <c r="S13" s="530" t="n"/>
      <c r="T13" s="539" t="inlineStr">
        <is>
          <t>ULTRASOUND</t>
        </is>
      </c>
      <c r="U13" s="538" t="n"/>
      <c r="V13" s="538" t="n"/>
      <c r="W13" s="530" t="n"/>
    </row>
    <row r="14" ht="103.5" customHeight="1">
      <c r="A14" s="1" t="n"/>
      <c r="B14" s="540" t="n"/>
      <c r="C14" s="540" t="n"/>
      <c r="D14" s="540" t="n"/>
      <c r="E14" s="540" t="n"/>
      <c r="F14" s="540" t="n"/>
      <c r="G14" s="540" t="n"/>
      <c r="H14" s="540" t="n"/>
      <c r="I14" s="540" t="n"/>
      <c r="J14" s="540" t="n"/>
      <c r="K14" s="540" t="n"/>
      <c r="L14" s="123" t="inlineStr">
        <is>
          <t>REF. TEMP (°C)</t>
        </is>
      </c>
      <c r="M14" s="123" t="inlineStr">
        <is>
          <t>MAX TEMP (°C)</t>
        </is>
      </c>
      <c r="N14" s="123" t="inlineStr">
        <is>
          <t>∆T</t>
        </is>
      </c>
      <c r="O14" s="123" t="inlineStr">
        <is>
          <t>AVG TEMP (°C)</t>
        </is>
      </c>
      <c r="P14" s="123" t="inlineStr">
        <is>
          <t>Image No.</t>
        </is>
      </c>
      <c r="Q14" s="128" t="inlineStr">
        <is>
          <t>Remarks / Other Defects</t>
        </is>
      </c>
      <c r="R14" s="123" t="inlineStr">
        <is>
          <t>Reading (dB)</t>
        </is>
      </c>
      <c r="S14" s="123" t="inlineStr">
        <is>
          <t>Pulses / Cycle</t>
        </is>
      </c>
      <c r="T14" s="123" t="inlineStr">
        <is>
          <t xml:space="preserve">Reading (dB) </t>
        </is>
      </c>
      <c r="U14" s="123" t="inlineStr">
        <is>
          <t>Type of Characteristic</t>
        </is>
      </c>
      <c r="V14" s="128" t="inlineStr">
        <is>
          <t>Remarks / Other Defects</t>
        </is>
      </c>
      <c r="W14" s="530" t="n"/>
    </row>
    <row r="15" ht="69.95" customHeight="1">
      <c r="A15" s="1" t="n"/>
      <c r="B15" s="335" t="n">
        <v>25</v>
      </c>
      <c r="C15" s="335" t="n"/>
      <c r="D15" s="541" t="n"/>
      <c r="E15" s="335" t="n"/>
      <c r="F15" s="124" t="n"/>
      <c r="G15" s="124" t="n"/>
      <c r="H15" s="124" t="n"/>
      <c r="I15" s="124" t="n"/>
      <c r="J15" s="132" t="inlineStr">
        <is>
          <t>ON</t>
        </is>
      </c>
      <c r="K15" s="335" t="inlineStr">
        <is>
          <t>BREAKER</t>
        </is>
      </c>
      <c r="L15" s="145" t="n"/>
      <c r="M15" s="145" t="n"/>
      <c r="N15" s="145">
        <f>IF(M15="","",M15-L15)</f>
        <v/>
      </c>
      <c r="O15" s="145">
        <f>IF(M15="","",((L15+M15)/2))</f>
        <v/>
      </c>
      <c r="P15" s="16" t="n"/>
      <c r="Q15" s="130" t="n"/>
      <c r="R15" s="124" t="n"/>
      <c r="S15" s="123">
        <f>IF(R15&lt;&gt;"", 0, "")</f>
        <v/>
      </c>
      <c r="T15" s="124" t="n"/>
      <c r="U15" s="123" t="n"/>
      <c r="V15" s="291" t="n"/>
      <c r="W15" s="292" t="n"/>
    </row>
    <row r="16" ht="69.95" customHeight="1">
      <c r="A16" s="1" t="n"/>
      <c r="B16" s="542" t="n"/>
      <c r="C16" s="542" t="n"/>
      <c r="D16" s="543" t="n"/>
      <c r="E16" s="542" t="n"/>
      <c r="F16" s="542" t="n"/>
      <c r="G16" s="542" t="n"/>
      <c r="H16" s="542" t="n"/>
      <c r="I16" s="542" t="n"/>
      <c r="J16" s="124" t="n"/>
      <c r="K16" s="335" t="inlineStr">
        <is>
          <t xml:space="preserve">CABLE </t>
        </is>
      </c>
      <c r="L16" s="145" t="n"/>
      <c r="M16" s="304" t="n"/>
      <c r="N16" s="145">
        <f>IF(M16="","",M16-L16)</f>
        <v/>
      </c>
      <c r="O16" s="145">
        <f>IF(M16="","",((L16+M16)/2))</f>
        <v/>
      </c>
      <c r="P16" s="16" t="n"/>
      <c r="Q16" s="148" t="n"/>
      <c r="R16" s="124" t="n"/>
      <c r="S16" s="123">
        <f>IF(R16&lt;&gt;"", 0, "")</f>
        <v/>
      </c>
      <c r="T16" s="124" t="n"/>
      <c r="U16" s="123" t="n"/>
      <c r="V16" s="293" t="n"/>
      <c r="W16" s="62" t="n"/>
    </row>
    <row r="17" ht="69.95" customHeight="1">
      <c r="A17" s="1" t="n"/>
      <c r="B17" s="542" t="n"/>
      <c r="C17" s="542" t="n"/>
      <c r="D17" s="543" t="n"/>
      <c r="E17" s="542" t="n"/>
      <c r="F17" s="542" t="n"/>
      <c r="G17" s="542" t="n"/>
      <c r="H17" s="542" t="n"/>
      <c r="I17" s="542" t="n"/>
      <c r="J17" s="132" t="inlineStr">
        <is>
          <t>OFF</t>
        </is>
      </c>
      <c r="K17" s="335" t="inlineStr">
        <is>
          <t>BUSBAR (TOP)</t>
        </is>
      </c>
      <c r="L17" s="145" t="n"/>
      <c r="M17" s="304" t="n"/>
      <c r="N17" s="145">
        <f>IF(M17="","",M17-L17)</f>
        <v/>
      </c>
      <c r="O17" s="145">
        <f>IF(M17="","",((L17+M17)/2))</f>
        <v/>
      </c>
      <c r="P17" s="16" t="n"/>
      <c r="Q17" s="148" t="n"/>
      <c r="R17" s="31" t="n"/>
      <c r="S17" s="129" t="n"/>
      <c r="T17" s="124" t="n"/>
      <c r="U17" s="123" t="n"/>
      <c r="V17" s="293" t="n"/>
      <c r="W17" s="62" t="n"/>
    </row>
    <row r="18" ht="69.95" customHeight="1">
      <c r="A18" s="1" t="n"/>
      <c r="B18" s="542" t="n"/>
      <c r="C18" s="542" t="n"/>
      <c r="D18" s="543" t="n"/>
      <c r="E18" s="542" t="n"/>
      <c r="F18" s="542" t="n"/>
      <c r="G18" s="542" t="n"/>
      <c r="H18" s="542" t="n"/>
      <c r="I18" s="542" t="n"/>
      <c r="J18" s="124">
        <f>IF(J16="","","0.0")</f>
        <v/>
      </c>
      <c r="K18" s="335" t="inlineStr">
        <is>
          <t>PT COMPARTMENT</t>
        </is>
      </c>
      <c r="L18" s="145" t="n"/>
      <c r="M18" s="304" t="n"/>
      <c r="N18" s="145">
        <f>IF(M18="","",M18-L18)</f>
        <v/>
      </c>
      <c r="O18" s="145">
        <f>IF(M18="","",((L18+M18)/2))</f>
        <v/>
      </c>
      <c r="P18" s="16" t="n"/>
      <c r="Q18" s="148" t="n"/>
      <c r="R18" s="124" t="n"/>
      <c r="S18" s="123">
        <f>IF(R18&lt;&gt;"", 0, "")</f>
        <v/>
      </c>
      <c r="T18" s="124" t="n"/>
      <c r="U18" s="123" t="n"/>
      <c r="V18" s="293" t="n"/>
      <c r="W18" s="62" t="n"/>
    </row>
    <row r="19" ht="69.95" customHeight="1">
      <c r="A19" s="1" t="n"/>
      <c r="B19" s="542" t="n"/>
      <c r="C19" s="542" t="n"/>
      <c r="D19" s="543" t="n"/>
      <c r="E19" s="542" t="n"/>
      <c r="F19" s="542" t="n"/>
      <c r="G19" s="542" t="n"/>
      <c r="H19" s="542" t="n"/>
      <c r="I19" s="542" t="n"/>
      <c r="J19" s="43" t="n"/>
      <c r="K19" s="335" t="inlineStr">
        <is>
          <t>CABLE ENTRY</t>
        </is>
      </c>
      <c r="L19" s="145" t="n"/>
      <c r="M19" s="304" t="n"/>
      <c r="N19" s="145">
        <f>IF(M19="","",M19-L19)</f>
        <v/>
      </c>
      <c r="O19" s="145">
        <f>IF(M19="","",((L19+M19)/2))</f>
        <v/>
      </c>
      <c r="P19" s="16" t="n"/>
      <c r="Q19" s="148" t="n"/>
      <c r="R19" s="31" t="n"/>
      <c r="S19" s="129" t="n"/>
      <c r="T19" s="124" t="n"/>
      <c r="U19" s="123" t="n"/>
      <c r="V19" s="293" t="n"/>
      <c r="W19" s="62" t="n"/>
    </row>
    <row r="20" ht="69.95" customHeight="1">
      <c r="A20" s="1" t="n"/>
      <c r="B20" s="544" t="n"/>
      <c r="C20" s="544" t="n"/>
      <c r="D20" s="545" t="n"/>
      <c r="E20" s="544" t="n"/>
      <c r="F20" s="544" t="n"/>
      <c r="G20" s="544" t="n"/>
      <c r="H20" s="544" t="n"/>
      <c r="I20" s="544" t="n"/>
      <c r="J20" s="43" t="n"/>
      <c r="K20" s="335" t="inlineStr">
        <is>
          <t>LINK BOX</t>
        </is>
      </c>
      <c r="L20" s="145" t="n"/>
      <c r="M20" s="145" t="n"/>
      <c r="N20" s="145">
        <f>IF(M20="","",M20-L20)</f>
        <v/>
      </c>
      <c r="O20" s="145">
        <f>IF(M20="","",((L20+M20)/2))</f>
        <v/>
      </c>
      <c r="P20" s="16" t="n"/>
      <c r="Q20" s="149" t="n"/>
      <c r="R20" s="31" t="n"/>
      <c r="S20" s="129" t="n"/>
      <c r="T20" s="124" t="n"/>
      <c r="U20" s="123" t="n"/>
      <c r="V20" s="294" t="n"/>
      <c r="W20" s="295" t="n"/>
    </row>
    <row r="21" ht="69.95" customHeight="1">
      <c r="A21" s="1" t="n"/>
      <c r="B21" s="335" t="n">
        <v>26</v>
      </c>
      <c r="C21" s="335" t="n"/>
      <c r="D21" s="541" t="n"/>
      <c r="E21" s="335" t="n"/>
      <c r="F21" s="124" t="n"/>
      <c r="G21" s="124" t="n"/>
      <c r="H21" s="124" t="n"/>
      <c r="I21" s="124" t="n"/>
      <c r="J21" s="132" t="inlineStr">
        <is>
          <t>ON</t>
        </is>
      </c>
      <c r="K21" s="335" t="inlineStr">
        <is>
          <t>BREAKER</t>
        </is>
      </c>
      <c r="L21" s="145" t="n"/>
      <c r="M21" s="145" t="n"/>
      <c r="N21" s="145">
        <f>IF(M21="","",M21-L21)</f>
        <v/>
      </c>
      <c r="O21" s="145">
        <f>IF(M21="","",((L21+M21)/2))</f>
        <v/>
      </c>
      <c r="P21" s="16" t="n"/>
      <c r="Q21" s="153" t="n"/>
      <c r="R21" s="124" t="n"/>
      <c r="S21" s="123">
        <f>IF(R21&lt;&gt;"", 0, "")</f>
        <v/>
      </c>
      <c r="T21" s="124" t="n"/>
      <c r="U21" s="123" t="n"/>
      <c r="V21" s="291" t="n"/>
      <c r="W21" s="292" t="n"/>
    </row>
    <row r="22" ht="69.95" customHeight="1">
      <c r="A22" s="1" t="n"/>
      <c r="B22" s="542" t="n"/>
      <c r="C22" s="542" t="n"/>
      <c r="D22" s="543" t="n"/>
      <c r="E22" s="542" t="n"/>
      <c r="F22" s="542" t="n"/>
      <c r="G22" s="542" t="n"/>
      <c r="H22" s="542" t="n"/>
      <c r="I22" s="542" t="n"/>
      <c r="J22" s="124" t="n"/>
      <c r="K22" s="335" t="inlineStr">
        <is>
          <t xml:space="preserve">CABLE </t>
        </is>
      </c>
      <c r="L22" s="145" t="n"/>
      <c r="M22" s="304" t="n"/>
      <c r="N22" s="145">
        <f>IF(M22="","",M22-L22)</f>
        <v/>
      </c>
      <c r="O22" s="145">
        <f>IF(M22="","",((L22+M22)/2))</f>
        <v/>
      </c>
      <c r="P22" s="16" t="n"/>
      <c r="Q22" s="154" t="n"/>
      <c r="R22" s="124" t="n"/>
      <c r="S22" s="123">
        <f>IF(R22&lt;&gt;"", 0, "")</f>
        <v/>
      </c>
      <c r="T22" s="124" t="n"/>
      <c r="U22" s="123" t="n"/>
      <c r="V22" s="293" t="n"/>
      <c r="W22" s="62" t="n"/>
    </row>
    <row r="23" ht="69.95" customHeight="1">
      <c r="A23" s="1" t="n"/>
      <c r="B23" s="542" t="n"/>
      <c r="C23" s="542" t="n"/>
      <c r="D23" s="543" t="n"/>
      <c r="E23" s="542" t="n"/>
      <c r="F23" s="542" t="n"/>
      <c r="G23" s="542" t="n"/>
      <c r="H23" s="542" t="n"/>
      <c r="I23" s="542" t="n"/>
      <c r="J23" s="132" t="inlineStr">
        <is>
          <t>OFF</t>
        </is>
      </c>
      <c r="K23" s="335" t="inlineStr">
        <is>
          <t>BUSBAR (TOP)</t>
        </is>
      </c>
      <c r="L23" s="145" t="n"/>
      <c r="M23" s="304" t="n"/>
      <c r="N23" s="145">
        <f>IF(M23="","",M23-L23)</f>
        <v/>
      </c>
      <c r="O23" s="145">
        <f>IF(M23="","",((L23+M23)/2))</f>
        <v/>
      </c>
      <c r="P23" s="16" t="n"/>
      <c r="Q23" s="154" t="n"/>
      <c r="R23" s="31" t="n"/>
      <c r="S23" s="129" t="n"/>
      <c r="T23" s="124" t="n"/>
      <c r="U23" s="123" t="n"/>
      <c r="V23" s="293" t="n"/>
      <c r="W23" s="62" t="n"/>
    </row>
    <row r="24" ht="69.95" customHeight="1">
      <c r="A24" s="1" t="n"/>
      <c r="B24" s="542" t="n"/>
      <c r="C24" s="542" t="n"/>
      <c r="D24" s="543" t="n"/>
      <c r="E24" s="542" t="n"/>
      <c r="F24" s="542" t="n"/>
      <c r="G24" s="542" t="n"/>
      <c r="H24" s="542" t="n"/>
      <c r="I24" s="542" t="n"/>
      <c r="J24" s="124">
        <f>IF(J22="","","0.0")</f>
        <v/>
      </c>
      <c r="K24" s="335" t="inlineStr">
        <is>
          <t>PT COMPARTMENT</t>
        </is>
      </c>
      <c r="L24" s="145" t="n"/>
      <c r="M24" s="304" t="n"/>
      <c r="N24" s="145">
        <f>IF(M24="","",M24-L24)</f>
        <v/>
      </c>
      <c r="O24" s="145">
        <f>IF(M24="","",((L24+M24)/2))</f>
        <v/>
      </c>
      <c r="P24" s="16" t="n"/>
      <c r="Q24" s="154" t="n"/>
      <c r="R24" s="124" t="n"/>
      <c r="S24" s="123">
        <f>IF(R24&lt;&gt;"", 0, "")</f>
        <v/>
      </c>
      <c r="T24" s="124" t="n"/>
      <c r="U24" s="123" t="n"/>
      <c r="V24" s="293" t="n"/>
      <c r="W24" s="62" t="n"/>
    </row>
    <row r="25" ht="69.95" customHeight="1">
      <c r="A25" s="1" t="n"/>
      <c r="B25" s="542" t="n"/>
      <c r="C25" s="542" t="n"/>
      <c r="D25" s="543" t="n"/>
      <c r="E25" s="542" t="n"/>
      <c r="F25" s="542" t="n"/>
      <c r="G25" s="542" t="n"/>
      <c r="H25" s="542" t="n"/>
      <c r="I25" s="542" t="n"/>
      <c r="J25" s="43" t="n"/>
      <c r="K25" s="335" t="inlineStr">
        <is>
          <t>CABLE ENTRY</t>
        </is>
      </c>
      <c r="L25" s="145" t="n"/>
      <c r="M25" s="304" t="n"/>
      <c r="N25" s="145">
        <f>IF(M25="","",M25-L25)</f>
        <v/>
      </c>
      <c r="O25" s="145">
        <f>IF(M25="","",((L25+M25)/2))</f>
        <v/>
      </c>
      <c r="P25" s="16" t="n"/>
      <c r="Q25" s="154" t="n"/>
      <c r="R25" s="31" t="n"/>
      <c r="S25" s="129" t="n"/>
      <c r="T25" s="124" t="n"/>
      <c r="U25" s="123" t="n"/>
      <c r="V25" s="293" t="n"/>
      <c r="W25" s="62" t="n"/>
    </row>
    <row r="26" ht="69.95" customHeight="1">
      <c r="A26" s="1" t="n"/>
      <c r="B26" s="544" t="n"/>
      <c r="C26" s="544" t="n"/>
      <c r="D26" s="545" t="n"/>
      <c r="E26" s="544" t="n"/>
      <c r="F26" s="544" t="n"/>
      <c r="G26" s="544" t="n"/>
      <c r="H26" s="544" t="n"/>
      <c r="I26" s="544" t="n"/>
      <c r="J26" s="43" t="n"/>
      <c r="K26" s="335" t="inlineStr">
        <is>
          <t>LINK BOX</t>
        </is>
      </c>
      <c r="L26" s="145" t="n"/>
      <c r="M26" s="145" t="n"/>
      <c r="N26" s="145">
        <f>IF(M26="","",M26-L26)</f>
        <v/>
      </c>
      <c r="O26" s="145">
        <f>IF(M26="","",((L26+M26)/2))</f>
        <v/>
      </c>
      <c r="P26" s="16" t="n"/>
      <c r="Q26" s="155" t="n"/>
      <c r="R26" s="31" t="n"/>
      <c r="S26" s="129" t="n"/>
      <c r="T26" s="124" t="n"/>
      <c r="U26" s="123" t="n"/>
      <c r="V26" s="294" t="n"/>
      <c r="W26" s="295" t="n"/>
    </row>
    <row r="27" ht="69.95" customHeight="1">
      <c r="A27" s="1" t="n"/>
      <c r="B27" s="335" t="n">
        <v>27</v>
      </c>
      <c r="C27" s="335" t="n"/>
      <c r="D27" s="541" t="n"/>
      <c r="E27" s="335" t="n"/>
      <c r="F27" s="124" t="n"/>
      <c r="G27" s="124" t="n"/>
      <c r="H27" s="124" t="n"/>
      <c r="I27" s="124" t="n"/>
      <c r="J27" s="132" t="inlineStr">
        <is>
          <t>ON</t>
        </is>
      </c>
      <c r="K27" s="335" t="inlineStr">
        <is>
          <t>BREAKER</t>
        </is>
      </c>
      <c r="L27" s="145" t="n"/>
      <c r="M27" s="145" t="n"/>
      <c r="N27" s="145">
        <f>IF(M27="","",M27-L27)</f>
        <v/>
      </c>
      <c r="O27" s="145">
        <f>IF(M27="","",((L27+M27)/2))</f>
        <v/>
      </c>
      <c r="P27" s="16" t="n"/>
      <c r="Q27" s="153" t="n"/>
      <c r="R27" s="124" t="n"/>
      <c r="S27" s="123">
        <f>IF(R27&lt;&gt;"", 0, "")</f>
        <v/>
      </c>
      <c r="T27" s="124" t="n"/>
      <c r="U27" s="123" t="n"/>
      <c r="V27" s="291" t="n"/>
      <c r="W27" s="292" t="n"/>
    </row>
    <row r="28" ht="69.95" customHeight="1">
      <c r="A28" s="1" t="n"/>
      <c r="B28" s="542" t="n"/>
      <c r="C28" s="542" t="n"/>
      <c r="D28" s="543" t="n"/>
      <c r="E28" s="542" t="n"/>
      <c r="F28" s="542" t="n"/>
      <c r="G28" s="542" t="n"/>
      <c r="H28" s="542" t="n"/>
      <c r="I28" s="542" t="n"/>
      <c r="J28" s="124" t="n"/>
      <c r="K28" s="335" t="inlineStr">
        <is>
          <t xml:space="preserve">CABLE </t>
        </is>
      </c>
      <c r="L28" s="145" t="n"/>
      <c r="M28" s="304" t="n"/>
      <c r="N28" s="145">
        <f>IF(M28="","",M28-L28)</f>
        <v/>
      </c>
      <c r="O28" s="145">
        <f>IF(M28="","",((L28+M28)/2))</f>
        <v/>
      </c>
      <c r="P28" s="16" t="n"/>
      <c r="Q28" s="154" t="n"/>
      <c r="R28" s="124" t="n"/>
      <c r="S28" s="123">
        <f>IF(R28&lt;&gt;"", 0, "")</f>
        <v/>
      </c>
      <c r="T28" s="124" t="n"/>
      <c r="U28" s="123" t="n"/>
      <c r="V28" s="293" t="n"/>
      <c r="W28" s="62" t="n"/>
    </row>
    <row r="29" ht="69.95" customHeight="1">
      <c r="A29" s="1" t="n"/>
      <c r="B29" s="542" t="n"/>
      <c r="C29" s="542" t="n"/>
      <c r="D29" s="543" t="n"/>
      <c r="E29" s="542" t="n"/>
      <c r="F29" s="542" t="n"/>
      <c r="G29" s="542" t="n"/>
      <c r="H29" s="542" t="n"/>
      <c r="I29" s="542" t="n"/>
      <c r="J29" s="132" t="inlineStr">
        <is>
          <t>OFF</t>
        </is>
      </c>
      <c r="K29" s="335" t="inlineStr">
        <is>
          <t>BUSBAR (TOP)</t>
        </is>
      </c>
      <c r="L29" s="145" t="n"/>
      <c r="M29" s="304" t="n"/>
      <c r="N29" s="145">
        <f>IF(M29="","",M29-L29)</f>
        <v/>
      </c>
      <c r="O29" s="145">
        <f>IF(M29="","",((L29+M29)/2))</f>
        <v/>
      </c>
      <c r="P29" s="16" t="n"/>
      <c r="Q29" s="154" t="n"/>
      <c r="R29" s="31" t="n"/>
      <c r="S29" s="129" t="n"/>
      <c r="T29" s="124" t="n"/>
      <c r="U29" s="123" t="n"/>
      <c r="V29" s="293" t="n"/>
      <c r="W29" s="62" t="n"/>
    </row>
    <row r="30" ht="69.95" customHeight="1">
      <c r="A30" s="1" t="n"/>
      <c r="B30" s="542" t="n"/>
      <c r="C30" s="542" t="n"/>
      <c r="D30" s="543" t="n"/>
      <c r="E30" s="542" t="n"/>
      <c r="F30" s="542" t="n"/>
      <c r="G30" s="542" t="n"/>
      <c r="H30" s="542" t="n"/>
      <c r="I30" s="542" t="n"/>
      <c r="J30" s="124">
        <f>IF(J28="","","0.0")</f>
        <v/>
      </c>
      <c r="K30" s="335" t="inlineStr">
        <is>
          <t>PT COMPARTMENT</t>
        </is>
      </c>
      <c r="L30" s="145" t="n"/>
      <c r="M30" s="304" t="n"/>
      <c r="N30" s="145">
        <f>IF(M30="","",M30-L30)</f>
        <v/>
      </c>
      <c r="O30" s="145">
        <f>IF(M30="","",((L30+M30)/2))</f>
        <v/>
      </c>
      <c r="P30" s="16" t="n"/>
      <c r="Q30" s="154" t="n"/>
      <c r="R30" s="124" t="n"/>
      <c r="S30" s="123">
        <f>IF(R30&lt;&gt;"", 0, "")</f>
        <v/>
      </c>
      <c r="T30" s="124" t="n"/>
      <c r="U30" s="123" t="n"/>
      <c r="V30" s="293" t="n"/>
      <c r="W30" s="62" t="n"/>
    </row>
    <row r="31" ht="69.95" customHeight="1">
      <c r="A31" s="1" t="n"/>
      <c r="B31" s="542" t="n"/>
      <c r="C31" s="542" t="n"/>
      <c r="D31" s="543" t="n"/>
      <c r="E31" s="542" t="n"/>
      <c r="F31" s="542" t="n"/>
      <c r="G31" s="542" t="n"/>
      <c r="H31" s="542" t="n"/>
      <c r="I31" s="542" t="n"/>
      <c r="J31" s="43" t="n"/>
      <c r="K31" s="335" t="inlineStr">
        <is>
          <t>CABLE ENTRY</t>
        </is>
      </c>
      <c r="L31" s="145" t="n"/>
      <c r="M31" s="304" t="n"/>
      <c r="N31" s="145">
        <f>IF(M31="","",M31-L31)</f>
        <v/>
      </c>
      <c r="O31" s="145">
        <f>IF(M31="","",((L31+M31)/2))</f>
        <v/>
      </c>
      <c r="P31" s="16" t="n"/>
      <c r="Q31" s="154" t="n"/>
      <c r="R31" s="31" t="n"/>
      <c r="S31" s="129" t="n"/>
      <c r="T31" s="124" t="n"/>
      <c r="U31" s="123" t="n"/>
      <c r="V31" s="293" t="n"/>
      <c r="W31" s="62" t="n"/>
    </row>
    <row r="32" ht="69.95" customHeight="1">
      <c r="A32" s="1" t="n"/>
      <c r="B32" s="544" t="n"/>
      <c r="C32" s="544" t="n"/>
      <c r="D32" s="545" t="n"/>
      <c r="E32" s="544" t="n"/>
      <c r="F32" s="544" t="n"/>
      <c r="G32" s="544" t="n"/>
      <c r="H32" s="544" t="n"/>
      <c r="I32" s="544" t="n"/>
      <c r="J32" s="43" t="n"/>
      <c r="K32" s="335" t="inlineStr">
        <is>
          <t>LINK BOX</t>
        </is>
      </c>
      <c r="L32" s="145" t="n"/>
      <c r="M32" s="145" t="n"/>
      <c r="N32" s="145">
        <f>IF(M32="","",M32-L32)</f>
        <v/>
      </c>
      <c r="O32" s="145">
        <f>IF(M32="","",((L32+M32)/2))</f>
        <v/>
      </c>
      <c r="P32" s="16" t="n"/>
      <c r="Q32" s="155" t="n"/>
      <c r="R32" s="31" t="n"/>
      <c r="S32" s="129" t="n"/>
      <c r="T32" s="124" t="n"/>
      <c r="U32" s="123" t="n"/>
      <c r="V32" s="294" t="n"/>
      <c r="W32" s="295" t="n"/>
    </row>
    <row r="33" ht="69.95" customHeight="1">
      <c r="A33" s="1" t="n"/>
      <c r="B33" s="335" t="n">
        <v>28</v>
      </c>
      <c r="C33" s="335" t="n"/>
      <c r="D33" s="541" t="n"/>
      <c r="E33" s="335" t="n"/>
      <c r="F33" s="124" t="n"/>
      <c r="G33" s="124" t="n"/>
      <c r="H33" s="124" t="n"/>
      <c r="I33" s="124" t="n"/>
      <c r="J33" s="132" t="inlineStr">
        <is>
          <t>ON</t>
        </is>
      </c>
      <c r="K33" s="335" t="inlineStr">
        <is>
          <t>BREAKER</t>
        </is>
      </c>
      <c r="L33" s="145" t="n"/>
      <c r="M33" s="145" t="n"/>
      <c r="N33" s="145">
        <f>IF(M33="","",M33-L33)</f>
        <v/>
      </c>
      <c r="O33" s="145">
        <f>IF(M33="","",((L33+M33)/2))</f>
        <v/>
      </c>
      <c r="P33" s="16" t="n"/>
      <c r="Q33" s="153" t="n"/>
      <c r="R33" s="124" t="n"/>
      <c r="S33" s="123">
        <f>IF(R33&lt;&gt;"", 0, "")</f>
        <v/>
      </c>
      <c r="T33" s="124" t="n"/>
      <c r="U33" s="123" t="n"/>
      <c r="V33" s="291" t="n"/>
      <c r="W33" s="292" t="n"/>
    </row>
    <row r="34" ht="69.95" customHeight="1">
      <c r="A34" s="1" t="n"/>
      <c r="B34" s="542" t="n"/>
      <c r="C34" s="542" t="n"/>
      <c r="D34" s="543" t="n"/>
      <c r="E34" s="542" t="n"/>
      <c r="F34" s="542" t="n"/>
      <c r="G34" s="542" t="n"/>
      <c r="H34" s="542" t="n"/>
      <c r="I34" s="542" t="n"/>
      <c r="J34" s="124" t="n"/>
      <c r="K34" s="335" t="inlineStr">
        <is>
          <t xml:space="preserve">CABLE </t>
        </is>
      </c>
      <c r="L34" s="145" t="n"/>
      <c r="M34" s="304" t="n"/>
      <c r="N34" s="145">
        <f>IF(M34="","",M34-L34)</f>
        <v/>
      </c>
      <c r="O34" s="145">
        <f>IF(M34="","",((L34+M34)/2))</f>
        <v/>
      </c>
      <c r="P34" s="16" t="n"/>
      <c r="Q34" s="154" t="n"/>
      <c r="R34" s="124" t="n"/>
      <c r="S34" s="123">
        <f>IF(R34&lt;&gt;"", 0, "")</f>
        <v/>
      </c>
      <c r="T34" s="124" t="n"/>
      <c r="U34" s="123" t="n"/>
      <c r="V34" s="293" t="n"/>
      <c r="W34" s="62" t="n"/>
    </row>
    <row r="35" ht="69.95" customHeight="1">
      <c r="A35" s="1" t="n"/>
      <c r="B35" s="542" t="n"/>
      <c r="C35" s="542" t="n"/>
      <c r="D35" s="543" t="n"/>
      <c r="E35" s="542" t="n"/>
      <c r="F35" s="542" t="n"/>
      <c r="G35" s="542" t="n"/>
      <c r="H35" s="542" t="n"/>
      <c r="I35" s="542" t="n"/>
      <c r="J35" s="132" t="inlineStr">
        <is>
          <t>OFF</t>
        </is>
      </c>
      <c r="K35" s="335" t="inlineStr">
        <is>
          <t>BUSBAR (TOP)</t>
        </is>
      </c>
      <c r="L35" s="145" t="n"/>
      <c r="M35" s="304" t="n"/>
      <c r="N35" s="145">
        <f>IF(M35="","",M35-L35)</f>
        <v/>
      </c>
      <c r="O35" s="145">
        <f>IF(M35="","",((L35+M35)/2))</f>
        <v/>
      </c>
      <c r="P35" s="16" t="n"/>
      <c r="Q35" s="154" t="n"/>
      <c r="R35" s="31" t="n"/>
      <c r="S35" s="129" t="n"/>
      <c r="T35" s="124" t="n"/>
      <c r="U35" s="123" t="n"/>
      <c r="V35" s="293" t="n"/>
      <c r="W35" s="62" t="n"/>
    </row>
    <row r="36" ht="69.95" customHeight="1">
      <c r="A36" s="1" t="n"/>
      <c r="B36" s="542" t="n"/>
      <c r="C36" s="542" t="n"/>
      <c r="D36" s="543" t="n"/>
      <c r="E36" s="542" t="n"/>
      <c r="F36" s="542" t="n"/>
      <c r="G36" s="542" t="n"/>
      <c r="H36" s="542" t="n"/>
      <c r="I36" s="542" t="n"/>
      <c r="J36" s="124">
        <f>IF(J34="","","0.0")</f>
        <v/>
      </c>
      <c r="K36" s="335" t="inlineStr">
        <is>
          <t>PT COMPARTMENT</t>
        </is>
      </c>
      <c r="L36" s="145" t="n"/>
      <c r="M36" s="304" t="n"/>
      <c r="N36" s="145">
        <f>IF(M36="","",M36-L36)</f>
        <v/>
      </c>
      <c r="O36" s="145">
        <f>IF(M36="","",((L36+M36)/2))</f>
        <v/>
      </c>
      <c r="P36" s="16" t="n"/>
      <c r="Q36" s="154" t="n"/>
      <c r="R36" s="124" t="n"/>
      <c r="S36" s="123">
        <f>IF(R36&lt;&gt;"", 0, "")</f>
        <v/>
      </c>
      <c r="T36" s="124" t="n"/>
      <c r="U36" s="123" t="n"/>
      <c r="V36" s="293" t="n"/>
      <c r="W36" s="62" t="n"/>
    </row>
    <row r="37" ht="69.95" customHeight="1">
      <c r="A37" s="1" t="n"/>
      <c r="B37" s="542" t="n"/>
      <c r="C37" s="542" t="n"/>
      <c r="D37" s="543" t="n"/>
      <c r="E37" s="542" t="n"/>
      <c r="F37" s="542" t="n"/>
      <c r="G37" s="542" t="n"/>
      <c r="H37" s="542" t="n"/>
      <c r="I37" s="542" t="n"/>
      <c r="J37" s="43" t="n"/>
      <c r="K37" s="335" t="inlineStr">
        <is>
          <t>CABLE ENTRY</t>
        </is>
      </c>
      <c r="L37" s="145" t="n"/>
      <c r="M37" s="304" t="n"/>
      <c r="N37" s="145">
        <f>IF(M37="","",M37-L37)</f>
        <v/>
      </c>
      <c r="O37" s="145">
        <f>IF(M37="","",((L37+M37)/2))</f>
        <v/>
      </c>
      <c r="P37" s="16" t="n"/>
      <c r="Q37" s="154" t="n"/>
      <c r="R37" s="31" t="n"/>
      <c r="S37" s="129" t="n"/>
      <c r="T37" s="124" t="n"/>
      <c r="U37" s="123" t="n"/>
      <c r="V37" s="293" t="n"/>
      <c r="W37" s="62" t="n"/>
    </row>
    <row r="38" ht="69.95" customHeight="1">
      <c r="A38" s="1" t="n"/>
      <c r="B38" s="544" t="n"/>
      <c r="C38" s="544" t="n"/>
      <c r="D38" s="545" t="n"/>
      <c r="E38" s="544" t="n"/>
      <c r="F38" s="544" t="n"/>
      <c r="G38" s="544" t="n"/>
      <c r="H38" s="544" t="n"/>
      <c r="I38" s="544" t="n"/>
      <c r="J38" s="43" t="n"/>
      <c r="K38" s="335" t="inlineStr">
        <is>
          <t>LINK BOX</t>
        </is>
      </c>
      <c r="L38" s="145" t="n"/>
      <c r="M38" s="145" t="n"/>
      <c r="N38" s="145">
        <f>IF(M38="","",M38-L38)</f>
        <v/>
      </c>
      <c r="O38" s="145">
        <f>IF(M38="","",((L38+M38)/2))</f>
        <v/>
      </c>
      <c r="P38" s="16" t="n"/>
      <c r="Q38" s="155" t="n"/>
      <c r="R38" s="31" t="n"/>
      <c r="S38" s="129" t="n"/>
      <c r="T38" s="124" t="n"/>
      <c r="U38" s="123" t="n"/>
      <c r="V38" s="294" t="n"/>
      <c r="W38" s="295" t="n"/>
    </row>
    <row r="39" ht="69.95" customHeight="1">
      <c r="A39" s="1" t="n"/>
      <c r="B39" s="335" t="n">
        <v>29</v>
      </c>
      <c r="C39" s="335" t="n"/>
      <c r="D39" s="541" t="n"/>
      <c r="E39" s="335" t="n"/>
      <c r="F39" s="124" t="n"/>
      <c r="G39" s="124" t="n"/>
      <c r="H39" s="124" t="n"/>
      <c r="I39" s="124" t="n"/>
      <c r="J39" s="132" t="inlineStr">
        <is>
          <t>ON</t>
        </is>
      </c>
      <c r="K39" s="335" t="inlineStr">
        <is>
          <t>BREAKER</t>
        </is>
      </c>
      <c r="L39" s="145" t="n"/>
      <c r="M39" s="145" t="n"/>
      <c r="N39" s="145">
        <f>IF(M39="","",M39-L39)</f>
        <v/>
      </c>
      <c r="O39" s="145">
        <f>IF(M39="","",((L39+M39)/2))</f>
        <v/>
      </c>
      <c r="P39" s="16" t="n"/>
      <c r="Q39" s="153" t="n"/>
      <c r="R39" s="124" t="n"/>
      <c r="S39" s="123">
        <f>IF(R39&lt;&gt;"", 0, "")</f>
        <v/>
      </c>
      <c r="T39" s="124" t="n"/>
      <c r="U39" s="123" t="n"/>
      <c r="V39" s="291" t="n"/>
      <c r="W39" s="292" t="n"/>
    </row>
    <row r="40" ht="69.95" customHeight="1">
      <c r="A40" s="1" t="n"/>
      <c r="B40" s="542" t="n"/>
      <c r="C40" s="542" t="n"/>
      <c r="D40" s="543" t="n"/>
      <c r="E40" s="542" t="n"/>
      <c r="F40" s="542" t="n"/>
      <c r="G40" s="542" t="n"/>
      <c r="H40" s="542" t="n"/>
      <c r="I40" s="542" t="n"/>
      <c r="J40" s="124" t="n"/>
      <c r="K40" s="335" t="inlineStr">
        <is>
          <t xml:space="preserve">CABLE </t>
        </is>
      </c>
      <c r="L40" s="145" t="n"/>
      <c r="M40" s="304" t="n"/>
      <c r="N40" s="145">
        <f>IF(M40="","",M40-L40)</f>
        <v/>
      </c>
      <c r="O40" s="145">
        <f>IF(M40="","",((L40+M40)/2))</f>
        <v/>
      </c>
      <c r="P40" s="16" t="n"/>
      <c r="Q40" s="154" t="n"/>
      <c r="R40" s="124" t="n"/>
      <c r="S40" s="123">
        <f>IF(R40&lt;&gt;"", 0, "")</f>
        <v/>
      </c>
      <c r="T40" s="124" t="n"/>
      <c r="U40" s="123" t="n"/>
      <c r="V40" s="293" t="n"/>
      <c r="W40" s="62" t="n"/>
    </row>
    <row r="41" ht="69.95" customHeight="1">
      <c r="A41" s="1" t="n"/>
      <c r="B41" s="542" t="n"/>
      <c r="C41" s="542" t="n"/>
      <c r="D41" s="543" t="n"/>
      <c r="E41" s="542" t="n"/>
      <c r="F41" s="542" t="n"/>
      <c r="G41" s="542" t="n"/>
      <c r="H41" s="542" t="n"/>
      <c r="I41" s="542" t="n"/>
      <c r="J41" s="132" t="inlineStr">
        <is>
          <t>OFF</t>
        </is>
      </c>
      <c r="K41" s="335" t="inlineStr">
        <is>
          <t>BUSBAR (TOP)</t>
        </is>
      </c>
      <c r="L41" s="145" t="n"/>
      <c r="M41" s="304" t="n"/>
      <c r="N41" s="145">
        <f>IF(M41="","",M41-L41)</f>
        <v/>
      </c>
      <c r="O41" s="145">
        <f>IF(M41="","",((L41+M41)/2))</f>
        <v/>
      </c>
      <c r="P41" s="16" t="n"/>
      <c r="Q41" s="154" t="n"/>
      <c r="R41" s="31" t="n"/>
      <c r="S41" s="129" t="n"/>
      <c r="T41" s="124" t="n"/>
      <c r="U41" s="123" t="n"/>
      <c r="V41" s="293" t="n"/>
      <c r="W41" s="62" t="n"/>
    </row>
    <row r="42" ht="69.95" customHeight="1">
      <c r="A42" s="1" t="n"/>
      <c r="B42" s="542" t="n"/>
      <c r="C42" s="542" t="n"/>
      <c r="D42" s="543" t="n"/>
      <c r="E42" s="542" t="n"/>
      <c r="F42" s="542" t="n"/>
      <c r="G42" s="542" t="n"/>
      <c r="H42" s="542" t="n"/>
      <c r="I42" s="542" t="n"/>
      <c r="J42" s="124">
        <f>IF(J40="","","0.0")</f>
        <v/>
      </c>
      <c r="K42" s="335" t="inlineStr">
        <is>
          <t>PT COMPARTMENT</t>
        </is>
      </c>
      <c r="L42" s="145" t="n"/>
      <c r="M42" s="304" t="n"/>
      <c r="N42" s="145">
        <f>IF(M42="","",M42-L42)</f>
        <v/>
      </c>
      <c r="O42" s="145">
        <f>IF(M42="","",((L42+M42)/2))</f>
        <v/>
      </c>
      <c r="P42" s="16" t="n"/>
      <c r="Q42" s="154" t="n"/>
      <c r="R42" s="124" t="n"/>
      <c r="S42" s="123">
        <f>IF(R42&lt;&gt;"", 0, "")</f>
        <v/>
      </c>
      <c r="T42" s="124" t="n"/>
      <c r="U42" s="123" t="n"/>
      <c r="V42" s="293" t="n"/>
      <c r="W42" s="62" t="n"/>
    </row>
    <row r="43" ht="69.95" customHeight="1">
      <c r="A43" s="1" t="n"/>
      <c r="B43" s="542" t="n"/>
      <c r="C43" s="542" t="n"/>
      <c r="D43" s="543" t="n"/>
      <c r="E43" s="542" t="n"/>
      <c r="F43" s="542" t="n"/>
      <c r="G43" s="542" t="n"/>
      <c r="H43" s="542" t="n"/>
      <c r="I43" s="542" t="n"/>
      <c r="J43" s="43" t="n"/>
      <c r="K43" s="335" t="inlineStr">
        <is>
          <t>CABLE ENTRY</t>
        </is>
      </c>
      <c r="L43" s="145" t="n"/>
      <c r="M43" s="304" t="n"/>
      <c r="N43" s="145">
        <f>IF(M43="","",M43-L43)</f>
        <v/>
      </c>
      <c r="O43" s="145">
        <f>IF(M43="","",((L43+M43)/2))</f>
        <v/>
      </c>
      <c r="P43" s="16" t="n"/>
      <c r="Q43" s="154" t="n"/>
      <c r="R43" s="31" t="n"/>
      <c r="S43" s="129" t="n"/>
      <c r="T43" s="124" t="n"/>
      <c r="U43" s="123" t="n"/>
      <c r="V43" s="293" t="n"/>
      <c r="W43" s="62" t="n"/>
    </row>
    <row r="44" ht="69.95" customHeight="1">
      <c r="A44" s="1" t="n"/>
      <c r="B44" s="544" t="n"/>
      <c r="C44" s="544" t="n"/>
      <c r="D44" s="545" t="n"/>
      <c r="E44" s="544" t="n"/>
      <c r="F44" s="544" t="n"/>
      <c r="G44" s="544" t="n"/>
      <c r="H44" s="544" t="n"/>
      <c r="I44" s="544" t="n"/>
      <c r="J44" s="43" t="n"/>
      <c r="K44" s="335" t="inlineStr">
        <is>
          <t>LINK BOX</t>
        </is>
      </c>
      <c r="L44" s="145" t="n"/>
      <c r="M44" s="145" t="n"/>
      <c r="N44" s="145">
        <f>IF(M44="","",M44-L44)</f>
        <v/>
      </c>
      <c r="O44" s="145">
        <f>IF(M44="","",((L44+M44)/2))</f>
        <v/>
      </c>
      <c r="P44" s="16" t="n"/>
      <c r="Q44" s="155" t="n"/>
      <c r="R44" s="31" t="n"/>
      <c r="S44" s="129" t="n"/>
      <c r="T44" s="124" t="n"/>
      <c r="U44" s="123" t="n"/>
      <c r="V44" s="294" t="n"/>
      <c r="W44" s="295" t="n"/>
    </row>
    <row r="45" ht="69.95" customHeight="1">
      <c r="A45" s="1" t="n"/>
      <c r="B45" s="335" t="n">
        <v>30</v>
      </c>
      <c r="C45" s="335" t="n"/>
      <c r="D45" s="541" t="n"/>
      <c r="E45" s="335" t="n"/>
      <c r="F45" s="124" t="n"/>
      <c r="G45" s="124" t="n"/>
      <c r="H45" s="124" t="n"/>
      <c r="I45" s="124" t="n"/>
      <c r="J45" s="132" t="inlineStr">
        <is>
          <t>ON</t>
        </is>
      </c>
      <c r="K45" s="335" t="inlineStr">
        <is>
          <t>BREAKER</t>
        </is>
      </c>
      <c r="L45" s="145" t="n"/>
      <c r="M45" s="145" t="n"/>
      <c r="N45" s="145">
        <f>IF(M45="","",M45-L45)</f>
        <v/>
      </c>
      <c r="O45" s="145">
        <f>IF(M45="","",((L45+M45)/2))</f>
        <v/>
      </c>
      <c r="P45" s="16" t="n"/>
      <c r="Q45" s="153" t="n"/>
      <c r="R45" s="124" t="n"/>
      <c r="S45" s="123">
        <f>IF(R45&lt;&gt;"", 0, "")</f>
        <v/>
      </c>
      <c r="T45" s="124" t="n"/>
      <c r="U45" s="123" t="n"/>
      <c r="V45" s="291" t="n"/>
      <c r="W45" s="292" t="n"/>
    </row>
    <row r="46" ht="69.95" customHeight="1">
      <c r="A46" s="1" t="n"/>
      <c r="B46" s="542" t="n"/>
      <c r="C46" s="542" t="n"/>
      <c r="D46" s="543" t="n"/>
      <c r="E46" s="542" t="n"/>
      <c r="F46" s="542" t="n"/>
      <c r="G46" s="542" t="n"/>
      <c r="H46" s="542" t="n"/>
      <c r="I46" s="542" t="n"/>
      <c r="J46" s="124" t="n"/>
      <c r="K46" s="335" t="inlineStr">
        <is>
          <t xml:space="preserve">CABLE </t>
        </is>
      </c>
      <c r="L46" s="145" t="n"/>
      <c r="M46" s="304" t="n"/>
      <c r="N46" s="145">
        <f>IF(M46="","",M46-L46)</f>
        <v/>
      </c>
      <c r="O46" s="145">
        <f>IF(M46="","",((L46+M46)/2))</f>
        <v/>
      </c>
      <c r="P46" s="16" t="n"/>
      <c r="Q46" s="154" t="n"/>
      <c r="R46" s="124" t="n"/>
      <c r="S46" s="123">
        <f>IF(R46&lt;&gt;"", 0, "")</f>
        <v/>
      </c>
      <c r="T46" s="124" t="n"/>
      <c r="U46" s="123" t="n"/>
      <c r="V46" s="293" t="n"/>
      <c r="W46" s="62" t="n"/>
    </row>
    <row r="47" ht="69.95" customHeight="1">
      <c r="A47" s="1" t="n"/>
      <c r="B47" s="542" t="n"/>
      <c r="C47" s="542" t="n"/>
      <c r="D47" s="543" t="n"/>
      <c r="E47" s="542" t="n"/>
      <c r="F47" s="542" t="n"/>
      <c r="G47" s="542" t="n"/>
      <c r="H47" s="542" t="n"/>
      <c r="I47" s="542" t="n"/>
      <c r="J47" s="132" t="inlineStr">
        <is>
          <t>OFF</t>
        </is>
      </c>
      <c r="K47" s="335" t="inlineStr">
        <is>
          <t>BUSBAR (TOP)</t>
        </is>
      </c>
      <c r="L47" s="145" t="n"/>
      <c r="M47" s="304" t="n"/>
      <c r="N47" s="145">
        <f>IF(M47="","",M47-L47)</f>
        <v/>
      </c>
      <c r="O47" s="145">
        <f>IF(M47="","",((L47+M47)/2))</f>
        <v/>
      </c>
      <c r="P47" s="16" t="n"/>
      <c r="Q47" s="154" t="n"/>
      <c r="R47" s="31" t="n"/>
      <c r="S47" s="129" t="n"/>
      <c r="T47" s="124" t="n"/>
      <c r="U47" s="123" t="n"/>
      <c r="V47" s="293" t="n"/>
      <c r="W47" s="62" t="n"/>
    </row>
    <row r="48" ht="69.95" customHeight="1">
      <c r="A48" s="1" t="n"/>
      <c r="B48" s="542" t="n"/>
      <c r="C48" s="542" t="n"/>
      <c r="D48" s="543" t="n"/>
      <c r="E48" s="542" t="n"/>
      <c r="F48" s="542" t="n"/>
      <c r="G48" s="542" t="n"/>
      <c r="H48" s="542" t="n"/>
      <c r="I48" s="542" t="n"/>
      <c r="J48" s="124">
        <f>IF(J46="","","0.0")</f>
        <v/>
      </c>
      <c r="K48" s="335" t="inlineStr">
        <is>
          <t>PT COMPARTMENT</t>
        </is>
      </c>
      <c r="L48" s="145" t="n"/>
      <c r="M48" s="304" t="n"/>
      <c r="N48" s="145">
        <f>IF(M48="","",M48-L48)</f>
        <v/>
      </c>
      <c r="O48" s="145">
        <f>IF(M48="","",((L48+M48)/2))</f>
        <v/>
      </c>
      <c r="P48" s="16" t="n"/>
      <c r="Q48" s="154" t="n"/>
      <c r="R48" s="124" t="n"/>
      <c r="S48" s="123">
        <f>IF(R48&lt;&gt;"", 0, "")</f>
        <v/>
      </c>
      <c r="T48" s="124" t="n"/>
      <c r="U48" s="123" t="n"/>
      <c r="V48" s="293" t="n"/>
      <c r="W48" s="62" t="n"/>
    </row>
    <row r="49" ht="69.95" customHeight="1">
      <c r="A49" s="1" t="n"/>
      <c r="B49" s="542" t="n"/>
      <c r="C49" s="542" t="n"/>
      <c r="D49" s="543" t="n"/>
      <c r="E49" s="542" t="n"/>
      <c r="F49" s="542" t="n"/>
      <c r="G49" s="542" t="n"/>
      <c r="H49" s="542" t="n"/>
      <c r="I49" s="542" t="n"/>
      <c r="J49" s="43" t="n"/>
      <c r="K49" s="335" t="inlineStr">
        <is>
          <t>CABLE ENTRY</t>
        </is>
      </c>
      <c r="L49" s="145" t="n"/>
      <c r="M49" s="304" t="n"/>
      <c r="N49" s="145">
        <f>IF(M49="","",M49-L49)</f>
        <v/>
      </c>
      <c r="O49" s="145">
        <f>IF(M49="","",((L49+M49)/2))</f>
        <v/>
      </c>
      <c r="P49" s="16" t="n"/>
      <c r="Q49" s="154" t="n"/>
      <c r="R49" s="31" t="n"/>
      <c r="S49" s="129" t="n"/>
      <c r="T49" s="124" t="n"/>
      <c r="U49" s="123" t="n"/>
      <c r="V49" s="293" t="n"/>
      <c r="W49" s="62" t="n"/>
    </row>
    <row r="50" ht="69.95" customHeight="1">
      <c r="A50" s="1" t="n"/>
      <c r="B50" s="544" t="n"/>
      <c r="C50" s="544" t="n"/>
      <c r="D50" s="545" t="n"/>
      <c r="E50" s="544" t="n"/>
      <c r="F50" s="544" t="n"/>
      <c r="G50" s="544" t="n"/>
      <c r="H50" s="544" t="n"/>
      <c r="I50" s="544" t="n"/>
      <c r="J50" s="43" t="n"/>
      <c r="K50" s="335" t="inlineStr">
        <is>
          <t>LINK BOX</t>
        </is>
      </c>
      <c r="L50" s="145" t="n"/>
      <c r="M50" s="145" t="n"/>
      <c r="N50" s="145">
        <f>IF(M50="","",M50-L50)</f>
        <v/>
      </c>
      <c r="O50" s="145">
        <f>IF(M50="","",((L50+M50)/2))</f>
        <v/>
      </c>
      <c r="P50" s="16" t="n"/>
      <c r="Q50" s="155" t="n"/>
      <c r="R50" s="31" t="n"/>
      <c r="S50" s="129" t="n"/>
      <c r="T50" s="124" t="n"/>
      <c r="U50" s="123" t="n"/>
      <c r="V50" s="294" t="n"/>
      <c r="W50" s="295" t="n"/>
    </row>
    <row r="51" ht="69.95" customHeight="1">
      <c r="A51" s="1" t="n"/>
      <c r="B51" s="335" t="n">
        <v>31</v>
      </c>
      <c r="C51" s="335" t="n"/>
      <c r="D51" s="541" t="n"/>
      <c r="E51" s="335" t="n"/>
      <c r="F51" s="124" t="n"/>
      <c r="G51" s="124" t="n"/>
      <c r="H51" s="124" t="n"/>
      <c r="I51" s="124" t="n"/>
      <c r="J51" s="132" t="inlineStr">
        <is>
          <t>ON</t>
        </is>
      </c>
      <c r="K51" s="335" t="inlineStr">
        <is>
          <t>BREAKER</t>
        </is>
      </c>
      <c r="L51" s="145" t="n"/>
      <c r="M51" s="145" t="n"/>
      <c r="N51" s="145">
        <f>IF(M51="","",M51-L51)</f>
        <v/>
      </c>
      <c r="O51" s="145">
        <f>IF(M51="","",((L51+M51)/2))</f>
        <v/>
      </c>
      <c r="P51" s="16" t="n"/>
      <c r="Q51" s="153" t="n"/>
      <c r="R51" s="124" t="n"/>
      <c r="S51" s="123">
        <f>IF(R51&lt;&gt;"", 0, "")</f>
        <v/>
      </c>
      <c r="T51" s="124" t="n"/>
      <c r="U51" s="123" t="n"/>
      <c r="V51" s="291" t="n"/>
      <c r="W51" s="292" t="n"/>
    </row>
    <row r="52" ht="69.95" customHeight="1">
      <c r="A52" s="1" t="n"/>
      <c r="B52" s="542" t="n"/>
      <c r="C52" s="542" t="n"/>
      <c r="D52" s="543" t="n"/>
      <c r="E52" s="542" t="n"/>
      <c r="F52" s="542" t="n"/>
      <c r="G52" s="542" t="n"/>
      <c r="H52" s="542" t="n"/>
      <c r="I52" s="542" t="n"/>
      <c r="J52" s="124" t="n"/>
      <c r="K52" s="335" t="inlineStr">
        <is>
          <t xml:space="preserve">CABLE </t>
        </is>
      </c>
      <c r="L52" s="145" t="n"/>
      <c r="M52" s="304" t="n"/>
      <c r="N52" s="145">
        <f>IF(M52="","",M52-L52)</f>
        <v/>
      </c>
      <c r="O52" s="145">
        <f>IF(M52="","",((L52+M52)/2))</f>
        <v/>
      </c>
      <c r="P52" s="16" t="n"/>
      <c r="Q52" s="154" t="n"/>
      <c r="R52" s="124" t="n"/>
      <c r="S52" s="123">
        <f>IF(R52&lt;&gt;"", 0, "")</f>
        <v/>
      </c>
      <c r="T52" s="124" t="n"/>
      <c r="U52" s="123" t="n"/>
      <c r="V52" s="293" t="n"/>
      <c r="W52" s="62" t="n"/>
    </row>
    <row r="53" ht="69.95" customHeight="1">
      <c r="A53" s="1" t="n"/>
      <c r="B53" s="542" t="n"/>
      <c r="C53" s="542" t="n"/>
      <c r="D53" s="543" t="n"/>
      <c r="E53" s="542" t="n"/>
      <c r="F53" s="542" t="n"/>
      <c r="G53" s="542" t="n"/>
      <c r="H53" s="542" t="n"/>
      <c r="I53" s="542" t="n"/>
      <c r="J53" s="132" t="inlineStr">
        <is>
          <t>OFF</t>
        </is>
      </c>
      <c r="K53" s="335" t="inlineStr">
        <is>
          <t>BUSBAR (TOP)</t>
        </is>
      </c>
      <c r="L53" s="145" t="n"/>
      <c r="M53" s="304" t="n"/>
      <c r="N53" s="145">
        <f>IF(M53="","",M53-L53)</f>
        <v/>
      </c>
      <c r="O53" s="145">
        <f>IF(M53="","",((L53+M53)/2))</f>
        <v/>
      </c>
      <c r="P53" s="16" t="n"/>
      <c r="Q53" s="154" t="n"/>
      <c r="R53" s="31" t="n"/>
      <c r="S53" s="129" t="n"/>
      <c r="T53" s="124" t="n"/>
      <c r="U53" s="123" t="n"/>
      <c r="V53" s="293" t="n"/>
      <c r="W53" s="62" t="n"/>
    </row>
    <row r="54" ht="69.95" customHeight="1">
      <c r="A54" s="1" t="n"/>
      <c r="B54" s="542" t="n"/>
      <c r="C54" s="542" t="n"/>
      <c r="D54" s="543" t="n"/>
      <c r="E54" s="542" t="n"/>
      <c r="F54" s="542" t="n"/>
      <c r="G54" s="542" t="n"/>
      <c r="H54" s="542" t="n"/>
      <c r="I54" s="542" t="n"/>
      <c r="J54" s="124">
        <f>IF(J52="","","0.0")</f>
        <v/>
      </c>
      <c r="K54" s="335" t="inlineStr">
        <is>
          <t>PT COMPARTMENT</t>
        </is>
      </c>
      <c r="L54" s="145" t="n"/>
      <c r="M54" s="304" t="n"/>
      <c r="N54" s="145">
        <f>IF(M54="","",M54-L54)</f>
        <v/>
      </c>
      <c r="O54" s="145">
        <f>IF(M54="","",((L54+M54)/2))</f>
        <v/>
      </c>
      <c r="P54" s="16" t="n"/>
      <c r="Q54" s="154" t="n"/>
      <c r="R54" s="124" t="n"/>
      <c r="S54" s="123">
        <f>IF(R54&lt;&gt;"", 0, "")</f>
        <v/>
      </c>
      <c r="T54" s="124" t="n"/>
      <c r="U54" s="123" t="n"/>
      <c r="V54" s="293" t="n"/>
      <c r="W54" s="62" t="n"/>
    </row>
    <row r="55" ht="69.95" customHeight="1">
      <c r="A55" s="1" t="n"/>
      <c r="B55" s="542" t="n"/>
      <c r="C55" s="542" t="n"/>
      <c r="D55" s="543" t="n"/>
      <c r="E55" s="542" t="n"/>
      <c r="F55" s="542" t="n"/>
      <c r="G55" s="542" t="n"/>
      <c r="H55" s="542" t="n"/>
      <c r="I55" s="542" t="n"/>
      <c r="J55" s="43" t="n"/>
      <c r="K55" s="335" t="inlineStr">
        <is>
          <t>CABLE ENTRY</t>
        </is>
      </c>
      <c r="L55" s="145" t="n"/>
      <c r="M55" s="304" t="n"/>
      <c r="N55" s="145">
        <f>IF(M55="","",M55-L55)</f>
        <v/>
      </c>
      <c r="O55" s="145">
        <f>IF(M55="","",((L55+M55)/2))</f>
        <v/>
      </c>
      <c r="P55" s="16" t="n"/>
      <c r="Q55" s="154" t="n"/>
      <c r="R55" s="31" t="n"/>
      <c r="S55" s="129" t="n"/>
      <c r="T55" s="124" t="n"/>
      <c r="U55" s="123" t="n"/>
      <c r="V55" s="293" t="n"/>
      <c r="W55" s="62" t="n"/>
    </row>
    <row r="56" ht="69.95" customHeight="1">
      <c r="A56" s="1" t="n"/>
      <c r="B56" s="544" t="n"/>
      <c r="C56" s="544" t="n"/>
      <c r="D56" s="545" t="n"/>
      <c r="E56" s="544" t="n"/>
      <c r="F56" s="544" t="n"/>
      <c r="G56" s="544" t="n"/>
      <c r="H56" s="544" t="n"/>
      <c r="I56" s="544" t="n"/>
      <c r="J56" s="43" t="n"/>
      <c r="K56" s="335" t="inlineStr">
        <is>
          <t>LINK BOX</t>
        </is>
      </c>
      <c r="L56" s="145" t="n"/>
      <c r="M56" s="145" t="n"/>
      <c r="N56" s="145">
        <f>IF(M56="","",M56-L56)</f>
        <v/>
      </c>
      <c r="O56" s="145">
        <f>IF(M56="","",((L56+M56)/2))</f>
        <v/>
      </c>
      <c r="P56" s="16" t="n"/>
      <c r="Q56" s="155" t="n"/>
      <c r="R56" s="31" t="n"/>
      <c r="S56" s="129" t="n"/>
      <c r="T56" s="124" t="n"/>
      <c r="U56" s="123" t="n"/>
      <c r="V56" s="294" t="n"/>
      <c r="W56" s="295" t="n"/>
    </row>
    <row r="57" ht="69.95" customHeight="1">
      <c r="A57" s="1" t="n"/>
      <c r="B57" s="332" t="n">
        <v>32</v>
      </c>
      <c r="C57" s="332" t="n"/>
      <c r="D57" s="339" t="n"/>
      <c r="E57" s="335" t="n"/>
      <c r="F57" s="124" t="n"/>
      <c r="G57" s="124" t="n"/>
      <c r="H57" s="124" t="n"/>
      <c r="I57" s="348" t="n"/>
      <c r="J57" s="132" t="inlineStr">
        <is>
          <t>ON</t>
        </is>
      </c>
      <c r="K57" s="335" t="inlineStr">
        <is>
          <t>BREAKER</t>
        </is>
      </c>
      <c r="L57" s="145" t="n"/>
      <c r="M57" s="145" t="n"/>
      <c r="N57" s="145">
        <f>IF(M57="","",M57-L57)</f>
        <v/>
      </c>
      <c r="O57" s="145">
        <f>IF(M57="","",((L57+M57)/2))</f>
        <v/>
      </c>
      <c r="P57" s="16" t="n"/>
      <c r="Q57" s="153" t="n"/>
      <c r="R57" s="124" t="n"/>
      <c r="S57" s="123">
        <f>IF(R57&lt;&gt;"", 0, "")</f>
        <v/>
      </c>
      <c r="T57" s="124" t="n"/>
      <c r="U57" s="123" t="n"/>
      <c r="V57" s="291" t="n"/>
      <c r="W57" s="292" t="n"/>
    </row>
    <row r="58" ht="69.95" customHeight="1">
      <c r="A58" s="1" t="n"/>
      <c r="B58" s="542" t="n"/>
      <c r="C58" s="542" t="n"/>
      <c r="D58" s="543" t="n"/>
      <c r="E58" s="542" t="n"/>
      <c r="F58" s="542" t="n"/>
      <c r="G58" s="542" t="n"/>
      <c r="H58" s="542" t="n"/>
      <c r="I58" s="542" t="n"/>
      <c r="J58" s="124" t="n"/>
      <c r="K58" s="335" t="inlineStr">
        <is>
          <t xml:space="preserve">CABLE </t>
        </is>
      </c>
      <c r="L58" s="145" t="n"/>
      <c r="M58" s="304" t="n"/>
      <c r="N58" s="145">
        <f>IF(M58="","",M58-L58)</f>
        <v/>
      </c>
      <c r="O58" s="145">
        <f>IF(M58="","",((L58+M58)/2))</f>
        <v/>
      </c>
      <c r="P58" s="16" t="n"/>
      <c r="Q58" s="154" t="n"/>
      <c r="R58" s="124" t="n"/>
      <c r="S58" s="123">
        <f>IF(R58&lt;&gt;"", 0, "")</f>
        <v/>
      </c>
      <c r="T58" s="124" t="n"/>
      <c r="U58" s="123" t="n"/>
      <c r="V58" s="293" t="n"/>
      <c r="W58" s="62" t="n"/>
    </row>
    <row r="59" ht="69.95" customHeight="1">
      <c r="A59" s="1" t="n"/>
      <c r="B59" s="542" t="n"/>
      <c r="C59" s="542" t="n"/>
      <c r="D59" s="543" t="n"/>
      <c r="E59" s="542" t="n"/>
      <c r="F59" s="542" t="n"/>
      <c r="G59" s="542" t="n"/>
      <c r="H59" s="542" t="n"/>
      <c r="I59" s="542" t="n"/>
      <c r="J59" s="132" t="inlineStr">
        <is>
          <t>OFF</t>
        </is>
      </c>
      <c r="K59" s="335" t="inlineStr">
        <is>
          <t>BUSBAR (TOP)</t>
        </is>
      </c>
      <c r="L59" s="145" t="n"/>
      <c r="M59" s="304" t="n"/>
      <c r="N59" s="145">
        <f>IF(M59="","",M59-L59)</f>
        <v/>
      </c>
      <c r="O59" s="145">
        <f>IF(M59="","",((L59+M59)/2))</f>
        <v/>
      </c>
      <c r="P59" s="16" t="n"/>
      <c r="Q59" s="154" t="n"/>
      <c r="R59" s="31" t="n"/>
      <c r="S59" s="129" t="n"/>
      <c r="T59" s="124" t="n"/>
      <c r="U59" s="123" t="n"/>
      <c r="V59" s="293" t="n"/>
      <c r="W59" s="62" t="n"/>
    </row>
    <row r="60" ht="69.95" customHeight="1">
      <c r="A60" s="1" t="n"/>
      <c r="B60" s="542" t="n"/>
      <c r="C60" s="542" t="n"/>
      <c r="D60" s="543" t="n"/>
      <c r="E60" s="542" t="n"/>
      <c r="F60" s="542" t="n"/>
      <c r="G60" s="542" t="n"/>
      <c r="H60" s="542" t="n"/>
      <c r="I60" s="542" t="n"/>
      <c r="J60" s="124">
        <f>IF(J58="","","0.0")</f>
        <v/>
      </c>
      <c r="K60" s="335" t="inlineStr">
        <is>
          <t>PT COMPARTMENT</t>
        </is>
      </c>
      <c r="L60" s="145" t="n"/>
      <c r="M60" s="304" t="n"/>
      <c r="N60" s="145">
        <f>IF(M60="","",M60-L60)</f>
        <v/>
      </c>
      <c r="O60" s="145">
        <f>IF(M60="","",((L60+M60)/2))</f>
        <v/>
      </c>
      <c r="P60" s="16" t="n"/>
      <c r="Q60" s="154" t="n"/>
      <c r="R60" s="124" t="n"/>
      <c r="S60" s="123">
        <f>IF(R60&lt;&gt;"", 0, "")</f>
        <v/>
      </c>
      <c r="T60" s="124" t="n"/>
      <c r="U60" s="123" t="n"/>
      <c r="V60" s="293" t="n"/>
      <c r="W60" s="62" t="n"/>
    </row>
    <row r="61" ht="69.95" customHeight="1">
      <c r="A61" s="1" t="n"/>
      <c r="B61" s="542" t="n"/>
      <c r="C61" s="542" t="n"/>
      <c r="D61" s="543" t="n"/>
      <c r="E61" s="542" t="n"/>
      <c r="F61" s="542" t="n"/>
      <c r="G61" s="542" t="n"/>
      <c r="H61" s="542" t="n"/>
      <c r="I61" s="542" t="n"/>
      <c r="J61" s="43" t="n"/>
      <c r="K61" s="335" t="inlineStr">
        <is>
          <t>CABLE ENTRY</t>
        </is>
      </c>
      <c r="L61" s="145" t="n"/>
      <c r="M61" s="304" t="n"/>
      <c r="N61" s="145">
        <f>IF(M61="","",M61-L61)</f>
        <v/>
      </c>
      <c r="O61" s="145">
        <f>IF(M61="","",((L61+M61)/2))</f>
        <v/>
      </c>
      <c r="P61" s="16" t="n"/>
      <c r="Q61" s="154" t="n"/>
      <c r="R61" s="31" t="n"/>
      <c r="S61" s="129" t="n"/>
      <c r="T61" s="124" t="n"/>
      <c r="U61" s="123" t="n"/>
      <c r="V61" s="293" t="n"/>
      <c r="W61" s="62" t="n"/>
    </row>
    <row r="62" ht="69.95" customHeight="1">
      <c r="A62" s="1" t="n"/>
      <c r="B62" s="542" t="n"/>
      <c r="C62" s="542" t="n"/>
      <c r="D62" s="543" t="n"/>
      <c r="E62" s="544" t="n"/>
      <c r="F62" s="544" t="n"/>
      <c r="G62" s="544" t="n"/>
      <c r="H62" s="544" t="n"/>
      <c r="I62" s="542" t="n"/>
      <c r="J62" s="43" t="n"/>
      <c r="K62" s="335" t="inlineStr">
        <is>
          <t>LINK BOX</t>
        </is>
      </c>
      <c r="L62" s="145" t="n"/>
      <c r="M62" s="145" t="n"/>
      <c r="N62" s="145">
        <f>IF(M62="","",M62-L62)</f>
        <v/>
      </c>
      <c r="O62" s="145">
        <f>IF(M62="","",((L62+M62)/2))</f>
        <v/>
      </c>
      <c r="P62" s="16" t="n"/>
      <c r="Q62" s="155" t="n"/>
      <c r="R62" s="18" t="n"/>
      <c r="S62" s="33" t="n"/>
      <c r="T62" s="348" t="n"/>
      <c r="U62" s="130" t="n"/>
      <c r="V62" s="294" t="n"/>
      <c r="W62" s="295" t="n"/>
    </row>
    <row r="63" ht="69.95" customHeight="1">
      <c r="A63" s="1" t="n"/>
      <c r="B63" s="384" t="n"/>
      <c r="C63" s="382" t="n"/>
      <c r="D63" s="546" t="n"/>
      <c r="E63" s="546" t="n"/>
      <c r="F63" s="546" t="n"/>
      <c r="G63" s="546" t="n"/>
      <c r="H63" s="546" t="n"/>
      <c r="I63" s="546" t="n"/>
      <c r="J63" s="546" t="n"/>
      <c r="K63" s="382" t="n"/>
      <c r="L63" s="376" t="n"/>
      <c r="M63" s="382" t="n"/>
      <c r="N63" s="382" t="n"/>
      <c r="O63" s="382" t="n"/>
      <c r="P63" s="137" t="n"/>
      <c r="Q63" s="376" t="n"/>
      <c r="R63" s="138" t="n"/>
      <c r="S63" s="138" t="n"/>
      <c r="T63" s="138" t="n"/>
      <c r="U63" s="138" t="n"/>
      <c r="V63" s="383" t="n"/>
      <c r="W63" s="547" t="n"/>
    </row>
    <row r="64" ht="69.95" customHeight="1">
      <c r="A64" s="1" t="n"/>
      <c r="B64" s="543" t="n"/>
      <c r="C64" s="548" t="n"/>
      <c r="D64" s="548" t="n"/>
      <c r="E64" s="548" t="n"/>
      <c r="F64" s="548" t="n"/>
      <c r="G64" s="548" t="n"/>
      <c r="H64" s="548" t="n"/>
      <c r="I64" s="548" t="n"/>
      <c r="J64" s="548" t="n"/>
      <c r="K64" s="375" t="n"/>
      <c r="L64" s="377" t="n"/>
      <c r="M64" s="375" t="n"/>
      <c r="N64" s="375" t="n"/>
      <c r="O64" s="375" t="n"/>
      <c r="P64" s="141" t="n"/>
      <c r="R64" s="142" t="n"/>
      <c r="S64" s="142" t="n"/>
      <c r="T64" s="142" t="n"/>
      <c r="U64" s="142" t="n"/>
      <c r="V64" s="548" t="n"/>
      <c r="W64" s="549" t="n"/>
    </row>
    <row r="65" ht="69.95" customHeight="1">
      <c r="A65" s="1" t="n"/>
      <c r="B65" s="543" t="n"/>
      <c r="C65" s="548" t="n"/>
      <c r="D65" s="548" t="n"/>
      <c r="E65" s="548" t="n"/>
      <c r="F65" s="548" t="n"/>
      <c r="G65" s="548" t="n"/>
      <c r="H65" s="548" t="n"/>
      <c r="I65" s="548" t="n"/>
      <c r="J65" s="548" t="n"/>
      <c r="K65" s="375" t="n"/>
      <c r="L65" s="377" t="n"/>
      <c r="M65" s="375" t="n"/>
      <c r="N65" s="375" t="n"/>
      <c r="O65" s="375" t="n"/>
      <c r="P65" s="141" t="n"/>
      <c r="R65" s="142" t="n"/>
      <c r="S65" s="142" t="n"/>
      <c r="T65" s="142" t="n"/>
      <c r="U65" s="142" t="n"/>
      <c r="V65" s="548" t="n"/>
      <c r="W65" s="549" t="n"/>
    </row>
    <row r="66" ht="69.95" customHeight="1">
      <c r="A66" s="1" t="n"/>
      <c r="B66" s="543" t="n"/>
      <c r="C66" s="548" t="n"/>
      <c r="D66" s="548" t="n"/>
      <c r="E66" s="548" t="n"/>
      <c r="F66" s="548" t="n"/>
      <c r="G66" s="548" t="n"/>
      <c r="H66" s="548" t="n"/>
      <c r="I66" s="548" t="n"/>
      <c r="J66" s="548" t="n"/>
      <c r="K66" s="375" t="n"/>
      <c r="L66" s="377" t="n"/>
      <c r="M66" s="375" t="n"/>
      <c r="N66" s="375" t="n"/>
      <c r="O66" s="375" t="n"/>
      <c r="P66" s="141" t="n"/>
      <c r="R66" s="142" t="n"/>
      <c r="S66" s="142" t="n"/>
      <c r="T66" s="142" t="n"/>
      <c r="U66" s="142" t="n"/>
      <c r="V66" s="548" t="n"/>
      <c r="W66" s="549" t="n"/>
    </row>
    <row r="67" ht="69.95" customHeight="1">
      <c r="A67" s="1" t="n"/>
      <c r="B67" s="543" t="n"/>
      <c r="C67" s="548" t="n"/>
      <c r="D67" s="548" t="n"/>
      <c r="E67" s="548" t="n"/>
      <c r="F67" s="548" t="n"/>
      <c r="G67" s="548" t="n"/>
      <c r="H67" s="548" t="n"/>
      <c r="I67" s="548" t="n"/>
      <c r="J67" s="548" t="n"/>
      <c r="K67" s="375" t="n"/>
      <c r="L67" s="377" t="n"/>
      <c r="M67" s="375" t="n"/>
      <c r="N67" s="375" t="n"/>
      <c r="O67" s="375" t="n"/>
      <c r="P67" s="141" t="n"/>
      <c r="R67" s="142" t="n"/>
      <c r="S67" s="142" t="n"/>
      <c r="T67" s="142" t="n"/>
      <c r="U67" s="142" t="n"/>
      <c r="V67" s="548" t="n"/>
      <c r="W67" s="549" t="n"/>
    </row>
    <row r="68" ht="69.95" customHeight="1">
      <c r="A68" s="1" t="n"/>
      <c r="B68" s="543" t="n"/>
      <c r="C68" s="548" t="n"/>
      <c r="D68" s="548" t="n"/>
      <c r="E68" s="548" t="n"/>
      <c r="F68" s="548" t="n"/>
      <c r="G68" s="548" t="n"/>
      <c r="H68" s="548" t="n"/>
      <c r="I68" s="548" t="n"/>
      <c r="J68" s="548" t="n"/>
      <c r="K68" s="375" t="n"/>
      <c r="L68" s="377" t="n"/>
      <c r="M68" s="375" t="n"/>
      <c r="N68" s="375" t="n"/>
      <c r="O68" s="375" t="n"/>
      <c r="P68" s="141" t="n"/>
      <c r="R68" s="142" t="n"/>
      <c r="S68" s="142" t="n"/>
      <c r="T68" s="142" t="n"/>
      <c r="U68" s="142" t="n"/>
      <c r="V68" s="548" t="n"/>
      <c r="W68" s="549" t="n"/>
    </row>
    <row r="69" ht="69.95" customHeight="1">
      <c r="A69" s="1" t="n"/>
      <c r="B69" s="374" t="n"/>
      <c r="C69" s="375" t="n"/>
      <c r="D69" s="548" t="n"/>
      <c r="E69" s="548" t="n"/>
      <c r="F69" s="548" t="n"/>
      <c r="G69" s="548" t="n"/>
      <c r="H69" s="548" t="n"/>
      <c r="I69" s="548" t="n"/>
      <c r="J69" s="548" t="n"/>
      <c r="K69" s="375" t="n"/>
      <c r="L69" s="377" t="n"/>
      <c r="M69" s="375" t="n"/>
      <c r="N69" s="375" t="n"/>
      <c r="O69" s="375" t="n"/>
      <c r="P69" s="141" t="n"/>
      <c r="Q69" s="377" t="n"/>
      <c r="R69" s="142" t="n"/>
      <c r="S69" s="142" t="n"/>
      <c r="T69" s="142" t="n"/>
      <c r="U69" s="142" t="n"/>
      <c r="V69" s="378" t="n"/>
      <c r="W69" s="549" t="n"/>
    </row>
    <row r="70" ht="69.95" customHeight="1">
      <c r="A70" s="1" t="n"/>
      <c r="B70" s="543" t="n"/>
      <c r="C70" s="548" t="n"/>
      <c r="D70" s="548" t="n"/>
      <c r="E70" s="548" t="n"/>
      <c r="F70" s="548" t="n"/>
      <c r="G70" s="548" t="n"/>
      <c r="H70" s="548" t="n"/>
      <c r="I70" s="548" t="n"/>
      <c r="J70" s="548" t="n"/>
      <c r="K70" s="375" t="n"/>
      <c r="L70" s="377" t="n"/>
      <c r="M70" s="375" t="n"/>
      <c r="N70" s="375" t="n"/>
      <c r="O70" s="375" t="n"/>
      <c r="P70" s="141" t="n"/>
      <c r="R70" s="142" t="n"/>
      <c r="S70" s="142" t="n"/>
      <c r="T70" s="142" t="n"/>
      <c r="U70" s="142" t="n"/>
      <c r="V70" s="548" t="n"/>
      <c r="W70" s="549" t="n"/>
    </row>
    <row r="71" ht="69.95" customHeight="1">
      <c r="A71" s="1" t="n"/>
      <c r="B71" s="543" t="n"/>
      <c r="C71" s="548" t="n"/>
      <c r="D71" s="548" t="n"/>
      <c r="E71" s="548" t="n"/>
      <c r="F71" s="548" t="n"/>
      <c r="G71" s="548" t="n"/>
      <c r="H71" s="548" t="n"/>
      <c r="I71" s="548" t="n"/>
      <c r="J71" s="548" t="n"/>
      <c r="K71" s="375" t="n"/>
      <c r="L71" s="377" t="n"/>
      <c r="M71" s="375" t="n"/>
      <c r="N71" s="375" t="n"/>
      <c r="O71" s="375" t="n"/>
      <c r="P71" s="141" t="n"/>
      <c r="R71" s="142" t="n"/>
      <c r="S71" s="142" t="n"/>
      <c r="T71" s="142" t="n"/>
      <c r="U71" s="142" t="n"/>
      <c r="V71" s="548" t="n"/>
      <c r="W71" s="549" t="n"/>
    </row>
    <row r="72" ht="69.95" customHeight="1">
      <c r="A72" s="1" t="n"/>
      <c r="B72" s="543" t="n"/>
      <c r="C72" s="548" t="n"/>
      <c r="D72" s="548" t="n"/>
      <c r="E72" s="548" t="n"/>
      <c r="F72" s="548" t="n"/>
      <c r="G72" s="548" t="n"/>
      <c r="H72" s="548" t="n"/>
      <c r="I72" s="548" t="n"/>
      <c r="J72" s="548" t="n"/>
      <c r="K72" s="375" t="n"/>
      <c r="L72" s="377" t="n"/>
      <c r="M72" s="375" t="n"/>
      <c r="N72" s="375" t="n"/>
      <c r="O72" s="375" t="n"/>
      <c r="P72" s="141" t="n"/>
      <c r="R72" s="142" t="n"/>
      <c r="S72" s="142" t="n"/>
      <c r="T72" s="142" t="n"/>
      <c r="U72" s="142" t="n"/>
      <c r="V72" s="548" t="n"/>
      <c r="W72" s="549" t="n"/>
    </row>
    <row r="73" ht="69.95" customHeight="1">
      <c r="A73" s="1" t="n"/>
      <c r="B73" s="543" t="n"/>
      <c r="C73" s="548" t="n"/>
      <c r="D73" s="548" t="n"/>
      <c r="E73" s="548" t="n"/>
      <c r="F73" s="548" t="n"/>
      <c r="G73" s="548" t="n"/>
      <c r="H73" s="548" t="n"/>
      <c r="I73" s="548" t="n"/>
      <c r="J73" s="548" t="n"/>
      <c r="K73" s="375" t="n"/>
      <c r="L73" s="377" t="n"/>
      <c r="M73" s="375" t="n"/>
      <c r="N73" s="375" t="n"/>
      <c r="O73" s="375" t="n"/>
      <c r="P73" s="141" t="n"/>
      <c r="R73" s="142" t="n"/>
      <c r="S73" s="142" t="n"/>
      <c r="T73" s="142" t="n"/>
      <c r="U73" s="142" t="n"/>
      <c r="V73" s="548" t="n"/>
      <c r="W73" s="549" t="n"/>
    </row>
    <row r="74" ht="69.95" customHeight="1">
      <c r="A74" s="1" t="n"/>
      <c r="B74" s="543" t="n"/>
      <c r="C74" s="548" t="n"/>
      <c r="D74" s="548" t="n"/>
      <c r="E74" s="548" t="n"/>
      <c r="F74" s="548" t="n"/>
      <c r="G74" s="548" t="n"/>
      <c r="H74" s="548" t="n"/>
      <c r="I74" s="548" t="n"/>
      <c r="J74" s="548" t="n"/>
      <c r="K74" s="375" t="n"/>
      <c r="L74" s="377" t="n"/>
      <c r="M74" s="375" t="n"/>
      <c r="N74" s="375" t="n"/>
      <c r="O74" s="375" t="n"/>
      <c r="P74" s="141" t="n"/>
      <c r="R74" s="142" t="n"/>
      <c r="S74" s="142" t="n"/>
      <c r="T74" s="142" t="n"/>
      <c r="U74" s="142" t="n"/>
      <c r="V74" s="548" t="n"/>
      <c r="W74" s="549" t="n"/>
    </row>
    <row r="75" ht="69.95" customHeight="1">
      <c r="A75" s="1" t="n"/>
      <c r="B75" s="374" t="n"/>
      <c r="C75" s="375" t="n"/>
      <c r="D75" s="375" t="n"/>
      <c r="E75" s="375" t="n"/>
      <c r="F75" s="375" t="n"/>
      <c r="G75" s="375" t="n"/>
      <c r="H75" s="375" t="n"/>
      <c r="I75" s="375" t="n"/>
      <c r="J75" s="375" t="n"/>
      <c r="K75" s="375" t="n"/>
      <c r="L75" s="377" t="n"/>
      <c r="M75" s="375" t="n"/>
      <c r="N75" s="375" t="n"/>
      <c r="O75" s="375" t="n"/>
      <c r="P75" s="141" t="n"/>
      <c r="Q75" s="377" t="n"/>
      <c r="R75" s="142" t="n"/>
      <c r="S75" s="142" t="n"/>
      <c r="T75" s="142" t="n"/>
      <c r="U75" s="142" t="n"/>
      <c r="V75" s="375" t="n"/>
      <c r="W75" s="378" t="n"/>
    </row>
    <row r="76" ht="39" customHeight="1">
      <c r="A76" s="1" t="n"/>
      <c r="B76" s="336" t="n"/>
      <c r="C76" s="548" t="n"/>
      <c r="D76" s="548" t="n"/>
      <c r="E76" s="548" t="n"/>
      <c r="F76" s="548" t="n"/>
      <c r="G76" s="548" t="n"/>
      <c r="H76" s="548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48" t="n"/>
      <c r="V76" s="548" t="n"/>
      <c r="W76" s="127" t="n"/>
    </row>
    <row r="77" ht="60" customHeight="1">
      <c r="A77" s="1" t="n"/>
      <c r="B77" s="21" t="n"/>
      <c r="C77" s="323" t="inlineStr">
        <is>
          <t>Tested by (Name &amp; Signature):</t>
        </is>
      </c>
      <c r="E77" s="338" t="inlineStr">
        <is>
          <t>{{signvendor}}</t>
        </is>
      </c>
      <c r="F77" s="550" t="n"/>
      <c r="G77" s="22" t="n"/>
      <c r="H77" s="49" t="n"/>
      <c r="I77" s="323" t="inlineStr">
        <is>
          <t>TNB Supervisor / Engineer (Name &amp; Signature):</t>
        </is>
      </c>
      <c r="L77" s="331" t="inlineStr">
        <is>
          <t>{{signtnb}}</t>
        </is>
      </c>
      <c r="M77" s="550" t="n"/>
      <c r="N77" s="49" t="n"/>
      <c r="O77" s="49" t="n"/>
      <c r="P77" s="49" t="n"/>
      <c r="Q77" s="49" t="n"/>
      <c r="R77" s="1" t="n"/>
      <c r="S77" s="55" t="n"/>
      <c r="T77" s="56" t="n"/>
      <c r="U77" s="1" t="n"/>
      <c r="V77" s="1" t="n"/>
      <c r="W77" s="8" t="n"/>
    </row>
    <row r="78" ht="60" customFormat="1" customHeight="1" s="46">
      <c r="A78" s="27" t="n"/>
      <c r="B78" s="24" t="n"/>
      <c r="C78" s="25" t="n"/>
      <c r="D78" s="25" t="n"/>
      <c r="E78" s="25" t="n"/>
      <c r="F78" s="25" t="n"/>
      <c r="G78" s="25" t="n"/>
      <c r="H78" s="25" t="n"/>
      <c r="L78" s="57" t="n"/>
      <c r="M78" s="25" t="n"/>
      <c r="N78" s="25" t="n"/>
      <c r="O78" s="25" t="n"/>
      <c r="P78" s="25" t="n"/>
      <c r="Q78" s="26" t="n"/>
      <c r="R78" s="58" t="n"/>
      <c r="S78" s="27" t="n"/>
      <c r="T78" s="27" t="n"/>
      <c r="U78" s="30" t="inlineStr">
        <is>
          <t>** N/A = NOT ACCESSIBLE</t>
        </is>
      </c>
      <c r="V78" s="27" t="n"/>
      <c r="W78" s="59" t="n"/>
    </row>
    <row r="79" ht="60" customHeight="1">
      <c r="A79" s="1" t="n"/>
      <c r="B79" s="21" t="n"/>
      <c r="C79" s="323" t="inlineStr">
        <is>
          <t>Date:</t>
        </is>
      </c>
      <c r="E79" s="381" t="n"/>
      <c r="F79" s="60" t="n"/>
      <c r="G79" s="61" t="n"/>
      <c r="H79" s="50" t="n"/>
      <c r="I79" s="324" t="inlineStr">
        <is>
          <t>Date:</t>
        </is>
      </c>
      <c r="K79" s="1" t="n"/>
      <c r="L79" s="379" t="n"/>
      <c r="M79" s="532" t="n"/>
      <c r="N79" s="50" t="n"/>
      <c r="O79" s="50" t="n"/>
      <c r="P79" s="50" t="n"/>
      <c r="Q79" s="50" t="n"/>
      <c r="R79" s="1" t="n"/>
      <c r="S79" s="1" t="n"/>
      <c r="T79" s="1" t="n"/>
      <c r="U79" s="1" t="n"/>
      <c r="V79" s="3" t="n"/>
      <c r="W79" s="62" t="n"/>
    </row>
    <row r="80" ht="39" customFormat="1" customHeight="1" s="46">
      <c r="A80" s="27" t="n"/>
      <c r="B80" s="28" t="n"/>
      <c r="C80" s="25" t="n"/>
      <c r="D80" s="25" t="n"/>
      <c r="E80" s="25" t="n"/>
      <c r="F80" s="25" t="n"/>
      <c r="G80" s="25" t="n"/>
      <c r="H80" s="25" t="n"/>
      <c r="I80" s="25" t="n"/>
      <c r="J80" s="29" t="n"/>
      <c r="K80" s="25" t="n"/>
      <c r="L80" s="26" t="n"/>
      <c r="M80" s="26" t="n"/>
      <c r="N80" s="26" t="n"/>
      <c r="O80" s="26" t="n"/>
      <c r="P80" s="26" t="n"/>
      <c r="Q80" s="26" t="n"/>
      <c r="R80" s="27" t="n"/>
      <c r="S80" s="27" t="n"/>
      <c r="T80" s="27" t="n"/>
      <c r="U80" s="27" t="n"/>
      <c r="V80" s="328" t="inlineStr">
        <is>
          <t>Ver. : 1-2019</t>
        </is>
      </c>
      <c r="W80" s="554" t="n"/>
    </row>
    <row r="81" ht="54" customFormat="1" customHeight="1" s="46">
      <c r="A81" s="27" t="n"/>
      <c r="B81" s="63" t="n"/>
      <c r="C81" s="64" t="n"/>
      <c r="D81" s="65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8" t="n"/>
      <c r="Q81" s="68" t="n"/>
      <c r="R81" s="69" t="n"/>
      <c r="S81" s="69" t="n"/>
      <c r="T81" s="69" t="n"/>
      <c r="U81" s="69" t="n"/>
      <c r="V81" s="329" t="n"/>
      <c r="W81" s="533" t="n"/>
    </row>
  </sheetData>
  <mergeCells count="99">
    <mergeCell ref="F57:F62"/>
    <mergeCell ref="V2:W2"/>
    <mergeCell ref="E21:E26"/>
    <mergeCell ref="G21:G26"/>
    <mergeCell ref="E39:E44"/>
    <mergeCell ref="I15:I20"/>
    <mergeCell ref="C79:D79"/>
    <mergeCell ref="B27:B32"/>
    <mergeCell ref="D27:D32"/>
    <mergeCell ref="B13:B14"/>
    <mergeCell ref="D13:D14"/>
    <mergeCell ref="H39:H44"/>
    <mergeCell ref="E51:E56"/>
    <mergeCell ref="F33:F38"/>
    <mergeCell ref="F13:F14"/>
    <mergeCell ref="H13:H14"/>
    <mergeCell ref="B69:B74"/>
    <mergeCell ref="G33:G38"/>
    <mergeCell ref="L79:M79"/>
    <mergeCell ref="I33:I38"/>
    <mergeCell ref="I51:I56"/>
    <mergeCell ref="C27:C32"/>
    <mergeCell ref="E27:E32"/>
    <mergeCell ref="D15:D20"/>
    <mergeCell ref="V69:W74"/>
    <mergeCell ref="E13:E14"/>
    <mergeCell ref="T13:W13"/>
    <mergeCell ref="G13:G14"/>
    <mergeCell ref="B2:E3"/>
    <mergeCell ref="C45:C50"/>
    <mergeCell ref="G39:G44"/>
    <mergeCell ref="B57:B62"/>
    <mergeCell ref="D57:D62"/>
    <mergeCell ref="C21:C26"/>
    <mergeCell ref="E15:E20"/>
    <mergeCell ref="B76:V76"/>
    <mergeCell ref="G15:G20"/>
    <mergeCell ref="C51:C56"/>
    <mergeCell ref="H57:H62"/>
    <mergeCell ref="B45:B50"/>
    <mergeCell ref="D39:D44"/>
    <mergeCell ref="F39:F44"/>
    <mergeCell ref="V63:W68"/>
    <mergeCell ref="C57:C62"/>
    <mergeCell ref="E57:E62"/>
    <mergeCell ref="C77:D77"/>
    <mergeCell ref="C33:C38"/>
    <mergeCell ref="E33:E38"/>
    <mergeCell ref="I27:I32"/>
    <mergeCell ref="F15:F20"/>
    <mergeCell ref="F2:U3"/>
    <mergeCell ref="I45:I50"/>
    <mergeCell ref="G57:G62"/>
    <mergeCell ref="I77:K78"/>
    <mergeCell ref="F21:F26"/>
    <mergeCell ref="H21:H26"/>
    <mergeCell ref="F51:F56"/>
    <mergeCell ref="H51:H56"/>
    <mergeCell ref="E77:F77"/>
    <mergeCell ref="Q69:Q74"/>
    <mergeCell ref="I21:I26"/>
    <mergeCell ref="I39:I44"/>
    <mergeCell ref="B33:B38"/>
    <mergeCell ref="D33:D38"/>
    <mergeCell ref="F27:F32"/>
    <mergeCell ref="I79:J79"/>
    <mergeCell ref="C39:C44"/>
    <mergeCell ref="H27:H32"/>
    <mergeCell ref="E45:E50"/>
    <mergeCell ref="H33:H38"/>
    <mergeCell ref="V80:W80"/>
    <mergeCell ref="L77:M77"/>
    <mergeCell ref="B51:B56"/>
    <mergeCell ref="J13:J14"/>
    <mergeCell ref="C63:J68"/>
    <mergeCell ref="C15:C20"/>
    <mergeCell ref="V14:W14"/>
    <mergeCell ref="R13:S13"/>
    <mergeCell ref="G27:G32"/>
    <mergeCell ref="D45:D50"/>
    <mergeCell ref="V81:W81"/>
    <mergeCell ref="F45:F50"/>
    <mergeCell ref="B21:B26"/>
    <mergeCell ref="D21:D26"/>
    <mergeCell ref="B39:B44"/>
    <mergeCell ref="I57:I62"/>
    <mergeCell ref="Q63:Q68"/>
    <mergeCell ref="I13:I14"/>
    <mergeCell ref="K13:K14"/>
    <mergeCell ref="H45:H50"/>
    <mergeCell ref="B15:B20"/>
    <mergeCell ref="C69:J74"/>
    <mergeCell ref="C13:C14"/>
    <mergeCell ref="G45:G50"/>
    <mergeCell ref="G51:G56"/>
    <mergeCell ref="L13:Q13"/>
    <mergeCell ref="H15:H20"/>
    <mergeCell ref="D51:D56"/>
    <mergeCell ref="B63:B68"/>
  </mergeCells>
  <conditionalFormatting sqref="W4">
    <cfRule type="cellIs" priority="1" operator="equal" dxfId="1">
      <formula>"DEFECT"</formula>
    </cfRule>
    <cfRule type="cellIs" priority="2" operator="equal" dxfId="0">
      <formula>"MONITOR"</formula>
    </cfRule>
  </conditionalFormatting>
  <dataValidations count="5">
    <dataValidation sqref="W4" showDropDown="0" showInputMessage="1" showErrorMessage="1" allowBlank="1" type="list">
      <formula1>"NORMAL,DEFECT,MONITOR"</formula1>
    </dataValidation>
    <dataValidation sqref="H15:H62" showDropDown="0" showInputMessage="1" showErrorMessage="0" allowBlank="1" type="list">
      <formula1>"MAIN,RESERVE,N/A"</formula1>
    </dataValidation>
    <dataValidation sqref="G15:G62" showDropDown="0" showInputMessage="1" showErrorMessage="0" allowBlank="1" type="list">
      <formula1>"CLOSE,TRIP,N/A"</formula1>
    </dataValidation>
    <dataValidation sqref="F15:F62" showDropDown="0" showInputMessage="1" showErrorMessage="0" allowBlank="1" type="list">
      <formula1>"SERVICE,TEST,RACK OUT,N/A"</formula1>
    </dataValidation>
    <dataValidation sqref="E15:E62" showDropDown="0" showInputMessage="1" showErrorMessage="0" allowBlank="1" type="list">
      <formula1>"XLPE,PILC,N/A,NOT ACCESSIBLE"</formula1>
    </dataValidation>
  </dataValidations>
  <pageMargins left="0.03937007874015748" right="0.03937007874015748" top="0" bottom="0" header="0.3149606299212598" footer="0.3149606299212598"/>
  <pageSetup orientation="landscape" scale="11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2:AK87"/>
  <sheetViews>
    <sheetView view="pageBreakPreview" zoomScale="25" zoomScaleNormal="40" zoomScaleSheetLayoutView="25" workbookViewId="0">
      <selection activeCell="AC3" sqref="AC3"/>
    </sheetView>
  </sheetViews>
  <sheetFormatPr baseColWidth="8" defaultRowHeight="27"/>
  <cols>
    <col width="1.140625" customWidth="1" style="162" min="1" max="1"/>
    <col width="15.7109375" customWidth="1" style="162" min="2" max="2"/>
    <col width="39.7109375" customWidth="1" style="162" min="3" max="3"/>
    <col width="18.28515625" customWidth="1" style="162" min="4" max="4"/>
    <col width="12" customWidth="1" style="162" min="5" max="5"/>
    <col width="32.7109375" customWidth="1" style="162" min="6" max="6"/>
    <col width="31.7109375" customWidth="1" style="162" min="7" max="7"/>
    <col width="32.7109375" customWidth="1" style="162" min="8" max="8"/>
    <col width="34.42578125" customWidth="1" style="162" min="9" max="9"/>
    <col width="33.28515625" customWidth="1" style="162" min="10" max="10"/>
    <col width="43.42578125" customWidth="1" style="162" min="11" max="11"/>
    <col width="39.28515625" customWidth="1" style="162" min="12" max="12"/>
    <col width="35.42578125" customWidth="1" style="162" min="13" max="13"/>
    <col width="38.85546875" customWidth="1" style="162" min="14" max="14"/>
    <col width="36.7109375" customWidth="1" style="162" min="15" max="15"/>
    <col width="32.140625" customWidth="1" style="162" min="16" max="16"/>
    <col width="45.42578125" customWidth="1" style="162" min="17" max="17"/>
    <col width="36.7109375" customWidth="1" style="162" min="18" max="18"/>
    <col width="32.140625" customWidth="1" style="162" min="19" max="19"/>
    <col width="42.140625" customWidth="1" style="162" min="20" max="20"/>
    <col width="36.7109375" customWidth="1" style="162" min="21" max="21"/>
    <col width="32.140625" customWidth="1" style="162" min="22" max="23"/>
    <col width="36.7109375" customWidth="1" style="162" min="24" max="24"/>
    <col width="32.140625" customWidth="1" style="162" min="25" max="25"/>
    <col width="36.7109375" customWidth="1" style="162" min="26" max="27"/>
    <col width="32.140625" customWidth="1" style="162" min="28" max="28"/>
    <col width="41.140625" customWidth="1" style="162" min="29" max="29"/>
    <col width="45.7109375" customWidth="1" style="162" min="30" max="30"/>
    <col width="10.42578125" customWidth="1" style="163" min="31" max="31"/>
    <col width="10.28515625" customWidth="1" style="162" min="32" max="32"/>
    <col width="7.28515625" customWidth="1" style="162" min="33" max="33"/>
    <col hidden="1" width="12.85546875" customWidth="1" style="162" min="34" max="34"/>
    <col hidden="1" width="9.140625" customWidth="1" style="162" min="35" max="35"/>
    <col width="9.140625" customWidth="1" style="162" min="36" max="262"/>
    <col width="1.7109375" customWidth="1" style="162" min="263" max="263"/>
    <col width="6.140625" customWidth="1" style="162" min="264" max="264"/>
    <col width="27.140625" customWidth="1" style="162" min="265" max="265"/>
    <col width="51.140625" customWidth="1" style="162" min="266" max="266"/>
    <col width="69.28515625" customWidth="1" style="162" min="267" max="267"/>
    <col width="40.7109375" customWidth="1" style="162" min="268" max="268"/>
    <col width="8.7109375" customWidth="1" style="162" min="269" max="269"/>
    <col width="32.140625" customWidth="1" style="162" min="270" max="270"/>
    <col width="35.7109375" customWidth="1" style="162" min="271" max="271"/>
    <col width="8.7109375" customWidth="1" style="162" min="272" max="272"/>
    <col width="28.140625" customWidth="1" style="162" min="273" max="273"/>
    <col width="27.5703125" customWidth="1" style="162" min="274" max="274"/>
    <col width="41.42578125" customWidth="1" style="162" min="275" max="275"/>
    <col width="39.140625" customWidth="1" style="162" min="276" max="276"/>
    <col width="27" customWidth="1" style="162" min="277" max="277"/>
    <col width="36.140625" customWidth="1" style="162" min="278" max="278"/>
    <col width="31.28515625" customWidth="1" style="162" min="279" max="279"/>
    <col width="44.140625" customWidth="1" style="162" min="280" max="280"/>
    <col width="42.5703125" customWidth="1" style="162" min="281" max="281"/>
    <col width="27.140625" customWidth="1" style="162" min="282" max="282"/>
    <col width="33.28515625" customWidth="1" style="162" min="283" max="283"/>
    <col width="27" customWidth="1" style="162" min="284" max="284"/>
    <col width="38.5703125" customWidth="1" style="162" min="285" max="285"/>
    <col width="23.85546875" customWidth="1" style="162" min="286" max="286"/>
    <col width="10.42578125" customWidth="1" style="162" min="287" max="287"/>
    <col width="10.28515625" customWidth="1" style="162" min="288" max="288"/>
    <col width="7.28515625" customWidth="1" style="162" min="289" max="289"/>
    <col hidden="1" style="162" min="290" max="291"/>
    <col width="9.140625" customWidth="1" style="162" min="292" max="518"/>
    <col width="1.7109375" customWidth="1" style="162" min="519" max="519"/>
    <col width="6.140625" customWidth="1" style="162" min="520" max="520"/>
    <col width="27.140625" customWidth="1" style="162" min="521" max="521"/>
    <col width="51.140625" customWidth="1" style="162" min="522" max="522"/>
    <col width="69.28515625" customWidth="1" style="162" min="523" max="523"/>
    <col width="40.7109375" customWidth="1" style="162" min="524" max="524"/>
    <col width="8.7109375" customWidth="1" style="162" min="525" max="525"/>
    <col width="32.140625" customWidth="1" style="162" min="526" max="526"/>
    <col width="35.7109375" customWidth="1" style="162" min="527" max="527"/>
    <col width="8.7109375" customWidth="1" style="162" min="528" max="528"/>
    <col width="28.140625" customWidth="1" style="162" min="529" max="529"/>
    <col width="27.5703125" customWidth="1" style="162" min="530" max="530"/>
    <col width="41.42578125" customWidth="1" style="162" min="531" max="531"/>
    <col width="39.140625" customWidth="1" style="162" min="532" max="532"/>
    <col width="27" customWidth="1" style="162" min="533" max="533"/>
    <col width="36.140625" customWidth="1" style="162" min="534" max="534"/>
    <col width="31.28515625" customWidth="1" style="162" min="535" max="535"/>
    <col width="44.140625" customWidth="1" style="162" min="536" max="536"/>
    <col width="42.5703125" customWidth="1" style="162" min="537" max="537"/>
    <col width="27.140625" customWidth="1" style="162" min="538" max="538"/>
    <col width="33.28515625" customWidth="1" style="162" min="539" max="539"/>
    <col width="27" customWidth="1" style="162" min="540" max="540"/>
    <col width="38.5703125" customWidth="1" style="162" min="541" max="541"/>
    <col width="23.85546875" customWidth="1" style="162" min="542" max="542"/>
    <col width="10.42578125" customWidth="1" style="162" min="543" max="543"/>
    <col width="10.28515625" customWidth="1" style="162" min="544" max="544"/>
    <col width="7.28515625" customWidth="1" style="162" min="545" max="545"/>
    <col hidden="1" style="162" min="546" max="547"/>
    <col width="9.140625" customWidth="1" style="162" min="548" max="774"/>
    <col width="1.7109375" customWidth="1" style="162" min="775" max="775"/>
    <col width="6.140625" customWidth="1" style="162" min="776" max="776"/>
    <col width="27.140625" customWidth="1" style="162" min="777" max="777"/>
    <col width="51.140625" customWidth="1" style="162" min="778" max="778"/>
    <col width="69.28515625" customWidth="1" style="162" min="779" max="779"/>
    <col width="40.7109375" customWidth="1" style="162" min="780" max="780"/>
    <col width="8.7109375" customWidth="1" style="162" min="781" max="781"/>
    <col width="32.140625" customWidth="1" style="162" min="782" max="782"/>
    <col width="35.7109375" customWidth="1" style="162" min="783" max="783"/>
    <col width="8.7109375" customWidth="1" style="162" min="784" max="784"/>
    <col width="28.140625" customWidth="1" style="162" min="785" max="785"/>
    <col width="27.5703125" customWidth="1" style="162" min="786" max="786"/>
    <col width="41.42578125" customWidth="1" style="162" min="787" max="787"/>
    <col width="39.140625" customWidth="1" style="162" min="788" max="788"/>
    <col width="27" customWidth="1" style="162" min="789" max="789"/>
    <col width="36.140625" customWidth="1" style="162" min="790" max="790"/>
    <col width="31.28515625" customWidth="1" style="162" min="791" max="791"/>
    <col width="44.140625" customWidth="1" style="162" min="792" max="792"/>
    <col width="42.5703125" customWidth="1" style="162" min="793" max="793"/>
    <col width="27.140625" customWidth="1" style="162" min="794" max="794"/>
    <col width="33.28515625" customWidth="1" style="162" min="795" max="795"/>
    <col width="27" customWidth="1" style="162" min="796" max="796"/>
    <col width="38.5703125" customWidth="1" style="162" min="797" max="797"/>
    <col width="23.85546875" customWidth="1" style="162" min="798" max="798"/>
    <col width="10.42578125" customWidth="1" style="162" min="799" max="799"/>
    <col width="10.28515625" customWidth="1" style="162" min="800" max="800"/>
    <col width="7.28515625" customWidth="1" style="162" min="801" max="801"/>
    <col hidden="1" style="162" min="802" max="803"/>
    <col width="9.140625" customWidth="1" style="162" min="804" max="1030"/>
    <col width="1.7109375" customWidth="1" style="162" min="1031" max="1031"/>
    <col width="6.140625" customWidth="1" style="162" min="1032" max="1032"/>
    <col width="27.140625" customWidth="1" style="162" min="1033" max="1033"/>
    <col width="51.140625" customWidth="1" style="162" min="1034" max="1034"/>
    <col width="69.28515625" customWidth="1" style="162" min="1035" max="1035"/>
    <col width="40.7109375" customWidth="1" style="162" min="1036" max="1036"/>
    <col width="8.7109375" customWidth="1" style="162" min="1037" max="1037"/>
    <col width="32.140625" customWidth="1" style="162" min="1038" max="1038"/>
    <col width="35.7109375" customWidth="1" style="162" min="1039" max="1039"/>
    <col width="8.7109375" customWidth="1" style="162" min="1040" max="1040"/>
    <col width="28.140625" customWidth="1" style="162" min="1041" max="1041"/>
    <col width="27.5703125" customWidth="1" style="162" min="1042" max="1042"/>
    <col width="41.42578125" customWidth="1" style="162" min="1043" max="1043"/>
    <col width="39.140625" customWidth="1" style="162" min="1044" max="1044"/>
    <col width="27" customWidth="1" style="162" min="1045" max="1045"/>
    <col width="36.140625" customWidth="1" style="162" min="1046" max="1046"/>
    <col width="31.28515625" customWidth="1" style="162" min="1047" max="1047"/>
    <col width="44.140625" customWidth="1" style="162" min="1048" max="1048"/>
    <col width="42.5703125" customWidth="1" style="162" min="1049" max="1049"/>
    <col width="27.140625" customWidth="1" style="162" min="1050" max="1050"/>
    <col width="33.28515625" customWidth="1" style="162" min="1051" max="1051"/>
    <col width="27" customWidth="1" style="162" min="1052" max="1052"/>
    <col width="38.5703125" customWidth="1" style="162" min="1053" max="1053"/>
    <col width="23.85546875" customWidth="1" style="162" min="1054" max="1054"/>
    <col width="10.42578125" customWidth="1" style="162" min="1055" max="1055"/>
    <col width="10.28515625" customWidth="1" style="162" min="1056" max="1056"/>
    <col width="7.28515625" customWidth="1" style="162" min="1057" max="1057"/>
    <col hidden="1" style="162" min="1058" max="1059"/>
    <col width="9.140625" customWidth="1" style="162" min="1060" max="1286"/>
    <col width="1.7109375" customWidth="1" style="162" min="1287" max="1287"/>
    <col width="6.140625" customWidth="1" style="162" min="1288" max="1288"/>
    <col width="27.140625" customWidth="1" style="162" min="1289" max="1289"/>
    <col width="51.140625" customWidth="1" style="162" min="1290" max="1290"/>
    <col width="69.28515625" customWidth="1" style="162" min="1291" max="1291"/>
    <col width="40.7109375" customWidth="1" style="162" min="1292" max="1292"/>
    <col width="8.7109375" customWidth="1" style="162" min="1293" max="1293"/>
    <col width="32.140625" customWidth="1" style="162" min="1294" max="1294"/>
    <col width="35.7109375" customWidth="1" style="162" min="1295" max="1295"/>
    <col width="8.7109375" customWidth="1" style="162" min="1296" max="1296"/>
    <col width="28.140625" customWidth="1" style="162" min="1297" max="1297"/>
    <col width="27.5703125" customWidth="1" style="162" min="1298" max="1298"/>
    <col width="41.42578125" customWidth="1" style="162" min="1299" max="1299"/>
    <col width="39.140625" customWidth="1" style="162" min="1300" max="1300"/>
    <col width="27" customWidth="1" style="162" min="1301" max="1301"/>
    <col width="36.140625" customWidth="1" style="162" min="1302" max="1302"/>
    <col width="31.28515625" customWidth="1" style="162" min="1303" max="1303"/>
    <col width="44.140625" customWidth="1" style="162" min="1304" max="1304"/>
    <col width="42.5703125" customWidth="1" style="162" min="1305" max="1305"/>
    <col width="27.140625" customWidth="1" style="162" min="1306" max="1306"/>
    <col width="33.28515625" customWidth="1" style="162" min="1307" max="1307"/>
    <col width="27" customWidth="1" style="162" min="1308" max="1308"/>
    <col width="38.5703125" customWidth="1" style="162" min="1309" max="1309"/>
    <col width="23.85546875" customWidth="1" style="162" min="1310" max="1310"/>
    <col width="10.42578125" customWidth="1" style="162" min="1311" max="1311"/>
    <col width="10.28515625" customWidth="1" style="162" min="1312" max="1312"/>
    <col width="7.28515625" customWidth="1" style="162" min="1313" max="1313"/>
    <col hidden="1" style="162" min="1314" max="1315"/>
    <col width="9.140625" customWidth="1" style="162" min="1316" max="1542"/>
    <col width="1.7109375" customWidth="1" style="162" min="1543" max="1543"/>
    <col width="6.140625" customWidth="1" style="162" min="1544" max="1544"/>
    <col width="27.140625" customWidth="1" style="162" min="1545" max="1545"/>
    <col width="51.140625" customWidth="1" style="162" min="1546" max="1546"/>
    <col width="69.28515625" customWidth="1" style="162" min="1547" max="1547"/>
    <col width="40.7109375" customWidth="1" style="162" min="1548" max="1548"/>
    <col width="8.7109375" customWidth="1" style="162" min="1549" max="1549"/>
    <col width="32.140625" customWidth="1" style="162" min="1550" max="1550"/>
    <col width="35.7109375" customWidth="1" style="162" min="1551" max="1551"/>
    <col width="8.7109375" customWidth="1" style="162" min="1552" max="1552"/>
    <col width="28.140625" customWidth="1" style="162" min="1553" max="1553"/>
    <col width="27.5703125" customWidth="1" style="162" min="1554" max="1554"/>
    <col width="41.42578125" customWidth="1" style="162" min="1555" max="1555"/>
    <col width="39.140625" customWidth="1" style="162" min="1556" max="1556"/>
    <col width="27" customWidth="1" style="162" min="1557" max="1557"/>
    <col width="36.140625" customWidth="1" style="162" min="1558" max="1558"/>
    <col width="31.28515625" customWidth="1" style="162" min="1559" max="1559"/>
    <col width="44.140625" customWidth="1" style="162" min="1560" max="1560"/>
    <col width="42.5703125" customWidth="1" style="162" min="1561" max="1561"/>
    <col width="27.140625" customWidth="1" style="162" min="1562" max="1562"/>
    <col width="33.28515625" customWidth="1" style="162" min="1563" max="1563"/>
    <col width="27" customWidth="1" style="162" min="1564" max="1564"/>
    <col width="38.5703125" customWidth="1" style="162" min="1565" max="1565"/>
    <col width="23.85546875" customWidth="1" style="162" min="1566" max="1566"/>
    <col width="10.42578125" customWidth="1" style="162" min="1567" max="1567"/>
    <col width="10.28515625" customWidth="1" style="162" min="1568" max="1568"/>
    <col width="7.28515625" customWidth="1" style="162" min="1569" max="1569"/>
    <col hidden="1" style="162" min="1570" max="1571"/>
    <col width="9.140625" customWidth="1" style="162" min="1572" max="1798"/>
    <col width="1.7109375" customWidth="1" style="162" min="1799" max="1799"/>
    <col width="6.140625" customWidth="1" style="162" min="1800" max="1800"/>
    <col width="27.140625" customWidth="1" style="162" min="1801" max="1801"/>
    <col width="51.140625" customWidth="1" style="162" min="1802" max="1802"/>
    <col width="69.28515625" customWidth="1" style="162" min="1803" max="1803"/>
    <col width="40.7109375" customWidth="1" style="162" min="1804" max="1804"/>
    <col width="8.7109375" customWidth="1" style="162" min="1805" max="1805"/>
    <col width="32.140625" customWidth="1" style="162" min="1806" max="1806"/>
    <col width="35.7109375" customWidth="1" style="162" min="1807" max="1807"/>
    <col width="8.7109375" customWidth="1" style="162" min="1808" max="1808"/>
    <col width="28.140625" customWidth="1" style="162" min="1809" max="1809"/>
    <col width="27.5703125" customWidth="1" style="162" min="1810" max="1810"/>
    <col width="41.42578125" customWidth="1" style="162" min="1811" max="1811"/>
    <col width="39.140625" customWidth="1" style="162" min="1812" max="1812"/>
    <col width="27" customWidth="1" style="162" min="1813" max="1813"/>
    <col width="36.140625" customWidth="1" style="162" min="1814" max="1814"/>
    <col width="31.28515625" customWidth="1" style="162" min="1815" max="1815"/>
    <col width="44.140625" customWidth="1" style="162" min="1816" max="1816"/>
    <col width="42.5703125" customWidth="1" style="162" min="1817" max="1817"/>
    <col width="27.140625" customWidth="1" style="162" min="1818" max="1818"/>
    <col width="33.28515625" customWidth="1" style="162" min="1819" max="1819"/>
    <col width="27" customWidth="1" style="162" min="1820" max="1820"/>
    <col width="38.5703125" customWidth="1" style="162" min="1821" max="1821"/>
    <col width="23.85546875" customWidth="1" style="162" min="1822" max="1822"/>
    <col width="10.42578125" customWidth="1" style="162" min="1823" max="1823"/>
    <col width="10.28515625" customWidth="1" style="162" min="1824" max="1824"/>
    <col width="7.28515625" customWidth="1" style="162" min="1825" max="1825"/>
    <col hidden="1" style="162" min="1826" max="1827"/>
    <col width="9.140625" customWidth="1" style="162" min="1828" max="2054"/>
    <col width="1.7109375" customWidth="1" style="162" min="2055" max="2055"/>
    <col width="6.140625" customWidth="1" style="162" min="2056" max="2056"/>
    <col width="27.140625" customWidth="1" style="162" min="2057" max="2057"/>
    <col width="51.140625" customWidth="1" style="162" min="2058" max="2058"/>
    <col width="69.28515625" customWidth="1" style="162" min="2059" max="2059"/>
    <col width="40.7109375" customWidth="1" style="162" min="2060" max="2060"/>
    <col width="8.7109375" customWidth="1" style="162" min="2061" max="2061"/>
    <col width="32.140625" customWidth="1" style="162" min="2062" max="2062"/>
    <col width="35.7109375" customWidth="1" style="162" min="2063" max="2063"/>
    <col width="8.7109375" customWidth="1" style="162" min="2064" max="2064"/>
    <col width="28.140625" customWidth="1" style="162" min="2065" max="2065"/>
    <col width="27.5703125" customWidth="1" style="162" min="2066" max="2066"/>
    <col width="41.42578125" customWidth="1" style="162" min="2067" max="2067"/>
    <col width="39.140625" customWidth="1" style="162" min="2068" max="2068"/>
    <col width="27" customWidth="1" style="162" min="2069" max="2069"/>
    <col width="36.140625" customWidth="1" style="162" min="2070" max="2070"/>
    <col width="31.28515625" customWidth="1" style="162" min="2071" max="2071"/>
    <col width="44.140625" customWidth="1" style="162" min="2072" max="2072"/>
    <col width="42.5703125" customWidth="1" style="162" min="2073" max="2073"/>
    <col width="27.140625" customWidth="1" style="162" min="2074" max="2074"/>
    <col width="33.28515625" customWidth="1" style="162" min="2075" max="2075"/>
    <col width="27" customWidth="1" style="162" min="2076" max="2076"/>
    <col width="38.5703125" customWidth="1" style="162" min="2077" max="2077"/>
    <col width="23.85546875" customWidth="1" style="162" min="2078" max="2078"/>
    <col width="10.42578125" customWidth="1" style="162" min="2079" max="2079"/>
    <col width="10.28515625" customWidth="1" style="162" min="2080" max="2080"/>
    <col width="7.28515625" customWidth="1" style="162" min="2081" max="2081"/>
    <col hidden="1" style="162" min="2082" max="2083"/>
    <col width="9.140625" customWidth="1" style="162" min="2084" max="2310"/>
    <col width="1.7109375" customWidth="1" style="162" min="2311" max="2311"/>
    <col width="6.140625" customWidth="1" style="162" min="2312" max="2312"/>
    <col width="27.140625" customWidth="1" style="162" min="2313" max="2313"/>
    <col width="51.140625" customWidth="1" style="162" min="2314" max="2314"/>
    <col width="69.28515625" customWidth="1" style="162" min="2315" max="2315"/>
    <col width="40.7109375" customWidth="1" style="162" min="2316" max="2316"/>
    <col width="8.7109375" customWidth="1" style="162" min="2317" max="2317"/>
    <col width="32.140625" customWidth="1" style="162" min="2318" max="2318"/>
    <col width="35.7109375" customWidth="1" style="162" min="2319" max="2319"/>
    <col width="8.7109375" customWidth="1" style="162" min="2320" max="2320"/>
    <col width="28.140625" customWidth="1" style="162" min="2321" max="2321"/>
    <col width="27.5703125" customWidth="1" style="162" min="2322" max="2322"/>
    <col width="41.42578125" customWidth="1" style="162" min="2323" max="2323"/>
    <col width="39.140625" customWidth="1" style="162" min="2324" max="2324"/>
    <col width="27" customWidth="1" style="162" min="2325" max="2325"/>
    <col width="36.140625" customWidth="1" style="162" min="2326" max="2326"/>
    <col width="31.28515625" customWidth="1" style="162" min="2327" max="2327"/>
    <col width="44.140625" customWidth="1" style="162" min="2328" max="2328"/>
    <col width="42.5703125" customWidth="1" style="162" min="2329" max="2329"/>
    <col width="27.140625" customWidth="1" style="162" min="2330" max="2330"/>
    <col width="33.28515625" customWidth="1" style="162" min="2331" max="2331"/>
    <col width="27" customWidth="1" style="162" min="2332" max="2332"/>
    <col width="38.5703125" customWidth="1" style="162" min="2333" max="2333"/>
    <col width="23.85546875" customWidth="1" style="162" min="2334" max="2334"/>
    <col width="10.42578125" customWidth="1" style="162" min="2335" max="2335"/>
    <col width="10.28515625" customWidth="1" style="162" min="2336" max="2336"/>
    <col width="7.28515625" customWidth="1" style="162" min="2337" max="2337"/>
    <col hidden="1" style="162" min="2338" max="2339"/>
    <col width="9.140625" customWidth="1" style="162" min="2340" max="2566"/>
    <col width="1.7109375" customWidth="1" style="162" min="2567" max="2567"/>
    <col width="6.140625" customWidth="1" style="162" min="2568" max="2568"/>
    <col width="27.140625" customWidth="1" style="162" min="2569" max="2569"/>
    <col width="51.140625" customWidth="1" style="162" min="2570" max="2570"/>
    <col width="69.28515625" customWidth="1" style="162" min="2571" max="2571"/>
    <col width="40.7109375" customWidth="1" style="162" min="2572" max="2572"/>
    <col width="8.7109375" customWidth="1" style="162" min="2573" max="2573"/>
    <col width="32.140625" customWidth="1" style="162" min="2574" max="2574"/>
    <col width="35.7109375" customWidth="1" style="162" min="2575" max="2575"/>
    <col width="8.7109375" customWidth="1" style="162" min="2576" max="2576"/>
    <col width="28.140625" customWidth="1" style="162" min="2577" max="2577"/>
    <col width="27.5703125" customWidth="1" style="162" min="2578" max="2578"/>
    <col width="41.42578125" customWidth="1" style="162" min="2579" max="2579"/>
    <col width="39.140625" customWidth="1" style="162" min="2580" max="2580"/>
    <col width="27" customWidth="1" style="162" min="2581" max="2581"/>
    <col width="36.140625" customWidth="1" style="162" min="2582" max="2582"/>
    <col width="31.28515625" customWidth="1" style="162" min="2583" max="2583"/>
    <col width="44.140625" customWidth="1" style="162" min="2584" max="2584"/>
    <col width="42.5703125" customWidth="1" style="162" min="2585" max="2585"/>
    <col width="27.140625" customWidth="1" style="162" min="2586" max="2586"/>
    <col width="33.28515625" customWidth="1" style="162" min="2587" max="2587"/>
    <col width="27" customWidth="1" style="162" min="2588" max="2588"/>
    <col width="38.5703125" customWidth="1" style="162" min="2589" max="2589"/>
    <col width="23.85546875" customWidth="1" style="162" min="2590" max="2590"/>
    <col width="10.42578125" customWidth="1" style="162" min="2591" max="2591"/>
    <col width="10.28515625" customWidth="1" style="162" min="2592" max="2592"/>
    <col width="7.28515625" customWidth="1" style="162" min="2593" max="2593"/>
    <col hidden="1" style="162" min="2594" max="2595"/>
    <col width="9.140625" customWidth="1" style="162" min="2596" max="2822"/>
    <col width="1.7109375" customWidth="1" style="162" min="2823" max="2823"/>
    <col width="6.140625" customWidth="1" style="162" min="2824" max="2824"/>
    <col width="27.140625" customWidth="1" style="162" min="2825" max="2825"/>
    <col width="51.140625" customWidth="1" style="162" min="2826" max="2826"/>
    <col width="69.28515625" customWidth="1" style="162" min="2827" max="2827"/>
    <col width="40.7109375" customWidth="1" style="162" min="2828" max="2828"/>
    <col width="8.7109375" customWidth="1" style="162" min="2829" max="2829"/>
    <col width="32.140625" customWidth="1" style="162" min="2830" max="2830"/>
    <col width="35.7109375" customWidth="1" style="162" min="2831" max="2831"/>
    <col width="8.7109375" customWidth="1" style="162" min="2832" max="2832"/>
    <col width="28.140625" customWidth="1" style="162" min="2833" max="2833"/>
    <col width="27.5703125" customWidth="1" style="162" min="2834" max="2834"/>
    <col width="41.42578125" customWidth="1" style="162" min="2835" max="2835"/>
    <col width="39.140625" customWidth="1" style="162" min="2836" max="2836"/>
    <col width="27" customWidth="1" style="162" min="2837" max="2837"/>
    <col width="36.140625" customWidth="1" style="162" min="2838" max="2838"/>
    <col width="31.28515625" customWidth="1" style="162" min="2839" max="2839"/>
    <col width="44.140625" customWidth="1" style="162" min="2840" max="2840"/>
    <col width="42.5703125" customWidth="1" style="162" min="2841" max="2841"/>
    <col width="27.140625" customWidth="1" style="162" min="2842" max="2842"/>
    <col width="33.28515625" customWidth="1" style="162" min="2843" max="2843"/>
    <col width="27" customWidth="1" style="162" min="2844" max="2844"/>
    <col width="38.5703125" customWidth="1" style="162" min="2845" max="2845"/>
    <col width="23.85546875" customWidth="1" style="162" min="2846" max="2846"/>
    <col width="10.42578125" customWidth="1" style="162" min="2847" max="2847"/>
    <col width="10.28515625" customWidth="1" style="162" min="2848" max="2848"/>
    <col width="7.28515625" customWidth="1" style="162" min="2849" max="2849"/>
    <col hidden="1" style="162" min="2850" max="2851"/>
    <col width="9.140625" customWidth="1" style="162" min="2852" max="3078"/>
    <col width="1.7109375" customWidth="1" style="162" min="3079" max="3079"/>
    <col width="6.140625" customWidth="1" style="162" min="3080" max="3080"/>
    <col width="27.140625" customWidth="1" style="162" min="3081" max="3081"/>
    <col width="51.140625" customWidth="1" style="162" min="3082" max="3082"/>
    <col width="69.28515625" customWidth="1" style="162" min="3083" max="3083"/>
    <col width="40.7109375" customWidth="1" style="162" min="3084" max="3084"/>
    <col width="8.7109375" customWidth="1" style="162" min="3085" max="3085"/>
    <col width="32.140625" customWidth="1" style="162" min="3086" max="3086"/>
    <col width="35.7109375" customWidth="1" style="162" min="3087" max="3087"/>
    <col width="8.7109375" customWidth="1" style="162" min="3088" max="3088"/>
    <col width="28.140625" customWidth="1" style="162" min="3089" max="3089"/>
    <col width="27.5703125" customWidth="1" style="162" min="3090" max="3090"/>
    <col width="41.42578125" customWidth="1" style="162" min="3091" max="3091"/>
    <col width="39.140625" customWidth="1" style="162" min="3092" max="3092"/>
    <col width="27" customWidth="1" style="162" min="3093" max="3093"/>
    <col width="36.140625" customWidth="1" style="162" min="3094" max="3094"/>
    <col width="31.28515625" customWidth="1" style="162" min="3095" max="3095"/>
    <col width="44.140625" customWidth="1" style="162" min="3096" max="3096"/>
    <col width="42.5703125" customWidth="1" style="162" min="3097" max="3097"/>
    <col width="27.140625" customWidth="1" style="162" min="3098" max="3098"/>
    <col width="33.28515625" customWidth="1" style="162" min="3099" max="3099"/>
    <col width="27" customWidth="1" style="162" min="3100" max="3100"/>
    <col width="38.5703125" customWidth="1" style="162" min="3101" max="3101"/>
    <col width="23.85546875" customWidth="1" style="162" min="3102" max="3102"/>
    <col width="10.42578125" customWidth="1" style="162" min="3103" max="3103"/>
    <col width="10.28515625" customWidth="1" style="162" min="3104" max="3104"/>
    <col width="7.28515625" customWidth="1" style="162" min="3105" max="3105"/>
    <col hidden="1" style="162" min="3106" max="3107"/>
    <col width="9.140625" customWidth="1" style="162" min="3108" max="3334"/>
    <col width="1.7109375" customWidth="1" style="162" min="3335" max="3335"/>
    <col width="6.140625" customWidth="1" style="162" min="3336" max="3336"/>
    <col width="27.140625" customWidth="1" style="162" min="3337" max="3337"/>
    <col width="51.140625" customWidth="1" style="162" min="3338" max="3338"/>
    <col width="69.28515625" customWidth="1" style="162" min="3339" max="3339"/>
    <col width="40.7109375" customWidth="1" style="162" min="3340" max="3340"/>
    <col width="8.7109375" customWidth="1" style="162" min="3341" max="3341"/>
    <col width="32.140625" customWidth="1" style="162" min="3342" max="3342"/>
    <col width="35.7109375" customWidth="1" style="162" min="3343" max="3343"/>
    <col width="8.7109375" customWidth="1" style="162" min="3344" max="3344"/>
    <col width="28.140625" customWidth="1" style="162" min="3345" max="3345"/>
    <col width="27.5703125" customWidth="1" style="162" min="3346" max="3346"/>
    <col width="41.42578125" customWidth="1" style="162" min="3347" max="3347"/>
    <col width="39.140625" customWidth="1" style="162" min="3348" max="3348"/>
    <col width="27" customWidth="1" style="162" min="3349" max="3349"/>
    <col width="36.140625" customWidth="1" style="162" min="3350" max="3350"/>
    <col width="31.28515625" customWidth="1" style="162" min="3351" max="3351"/>
    <col width="44.140625" customWidth="1" style="162" min="3352" max="3352"/>
    <col width="42.5703125" customWidth="1" style="162" min="3353" max="3353"/>
    <col width="27.140625" customWidth="1" style="162" min="3354" max="3354"/>
    <col width="33.28515625" customWidth="1" style="162" min="3355" max="3355"/>
    <col width="27" customWidth="1" style="162" min="3356" max="3356"/>
    <col width="38.5703125" customWidth="1" style="162" min="3357" max="3357"/>
    <col width="23.85546875" customWidth="1" style="162" min="3358" max="3358"/>
    <col width="10.42578125" customWidth="1" style="162" min="3359" max="3359"/>
    <col width="10.28515625" customWidth="1" style="162" min="3360" max="3360"/>
    <col width="7.28515625" customWidth="1" style="162" min="3361" max="3361"/>
    <col hidden="1" style="162" min="3362" max="3363"/>
    <col width="9.140625" customWidth="1" style="162" min="3364" max="3590"/>
    <col width="1.7109375" customWidth="1" style="162" min="3591" max="3591"/>
    <col width="6.140625" customWidth="1" style="162" min="3592" max="3592"/>
    <col width="27.140625" customWidth="1" style="162" min="3593" max="3593"/>
    <col width="51.140625" customWidth="1" style="162" min="3594" max="3594"/>
    <col width="69.28515625" customWidth="1" style="162" min="3595" max="3595"/>
    <col width="40.7109375" customWidth="1" style="162" min="3596" max="3596"/>
    <col width="8.7109375" customWidth="1" style="162" min="3597" max="3597"/>
    <col width="32.140625" customWidth="1" style="162" min="3598" max="3598"/>
    <col width="35.7109375" customWidth="1" style="162" min="3599" max="3599"/>
    <col width="8.7109375" customWidth="1" style="162" min="3600" max="3600"/>
    <col width="28.140625" customWidth="1" style="162" min="3601" max="3601"/>
    <col width="27.5703125" customWidth="1" style="162" min="3602" max="3602"/>
    <col width="41.42578125" customWidth="1" style="162" min="3603" max="3603"/>
    <col width="39.140625" customWidth="1" style="162" min="3604" max="3604"/>
    <col width="27" customWidth="1" style="162" min="3605" max="3605"/>
    <col width="36.140625" customWidth="1" style="162" min="3606" max="3606"/>
    <col width="31.28515625" customWidth="1" style="162" min="3607" max="3607"/>
    <col width="44.140625" customWidth="1" style="162" min="3608" max="3608"/>
    <col width="42.5703125" customWidth="1" style="162" min="3609" max="3609"/>
    <col width="27.140625" customWidth="1" style="162" min="3610" max="3610"/>
    <col width="33.28515625" customWidth="1" style="162" min="3611" max="3611"/>
    <col width="27" customWidth="1" style="162" min="3612" max="3612"/>
    <col width="38.5703125" customWidth="1" style="162" min="3613" max="3613"/>
    <col width="23.85546875" customWidth="1" style="162" min="3614" max="3614"/>
    <col width="10.42578125" customWidth="1" style="162" min="3615" max="3615"/>
    <col width="10.28515625" customWidth="1" style="162" min="3616" max="3616"/>
    <col width="7.28515625" customWidth="1" style="162" min="3617" max="3617"/>
    <col hidden="1" style="162" min="3618" max="3619"/>
    <col width="9.140625" customWidth="1" style="162" min="3620" max="3846"/>
    <col width="1.7109375" customWidth="1" style="162" min="3847" max="3847"/>
    <col width="6.140625" customWidth="1" style="162" min="3848" max="3848"/>
    <col width="27.140625" customWidth="1" style="162" min="3849" max="3849"/>
    <col width="51.140625" customWidth="1" style="162" min="3850" max="3850"/>
    <col width="69.28515625" customWidth="1" style="162" min="3851" max="3851"/>
    <col width="40.7109375" customWidth="1" style="162" min="3852" max="3852"/>
    <col width="8.7109375" customWidth="1" style="162" min="3853" max="3853"/>
    <col width="32.140625" customWidth="1" style="162" min="3854" max="3854"/>
    <col width="35.7109375" customWidth="1" style="162" min="3855" max="3855"/>
    <col width="8.7109375" customWidth="1" style="162" min="3856" max="3856"/>
    <col width="28.140625" customWidth="1" style="162" min="3857" max="3857"/>
    <col width="27.5703125" customWidth="1" style="162" min="3858" max="3858"/>
    <col width="41.42578125" customWidth="1" style="162" min="3859" max="3859"/>
    <col width="39.140625" customWidth="1" style="162" min="3860" max="3860"/>
    <col width="27" customWidth="1" style="162" min="3861" max="3861"/>
    <col width="36.140625" customWidth="1" style="162" min="3862" max="3862"/>
    <col width="31.28515625" customWidth="1" style="162" min="3863" max="3863"/>
    <col width="44.140625" customWidth="1" style="162" min="3864" max="3864"/>
    <col width="42.5703125" customWidth="1" style="162" min="3865" max="3865"/>
    <col width="27.140625" customWidth="1" style="162" min="3866" max="3866"/>
    <col width="33.28515625" customWidth="1" style="162" min="3867" max="3867"/>
    <col width="27" customWidth="1" style="162" min="3868" max="3868"/>
    <col width="38.5703125" customWidth="1" style="162" min="3869" max="3869"/>
    <col width="23.85546875" customWidth="1" style="162" min="3870" max="3870"/>
    <col width="10.42578125" customWidth="1" style="162" min="3871" max="3871"/>
    <col width="10.28515625" customWidth="1" style="162" min="3872" max="3872"/>
    <col width="7.28515625" customWidth="1" style="162" min="3873" max="3873"/>
    <col hidden="1" style="162" min="3874" max="3875"/>
    <col width="9.140625" customWidth="1" style="162" min="3876" max="4102"/>
    <col width="1.7109375" customWidth="1" style="162" min="4103" max="4103"/>
    <col width="6.140625" customWidth="1" style="162" min="4104" max="4104"/>
    <col width="27.140625" customWidth="1" style="162" min="4105" max="4105"/>
    <col width="51.140625" customWidth="1" style="162" min="4106" max="4106"/>
    <col width="69.28515625" customWidth="1" style="162" min="4107" max="4107"/>
    <col width="40.7109375" customWidth="1" style="162" min="4108" max="4108"/>
    <col width="8.7109375" customWidth="1" style="162" min="4109" max="4109"/>
    <col width="32.140625" customWidth="1" style="162" min="4110" max="4110"/>
    <col width="35.7109375" customWidth="1" style="162" min="4111" max="4111"/>
    <col width="8.7109375" customWidth="1" style="162" min="4112" max="4112"/>
    <col width="28.140625" customWidth="1" style="162" min="4113" max="4113"/>
    <col width="27.5703125" customWidth="1" style="162" min="4114" max="4114"/>
    <col width="41.42578125" customWidth="1" style="162" min="4115" max="4115"/>
    <col width="39.140625" customWidth="1" style="162" min="4116" max="4116"/>
    <col width="27" customWidth="1" style="162" min="4117" max="4117"/>
    <col width="36.140625" customWidth="1" style="162" min="4118" max="4118"/>
    <col width="31.28515625" customWidth="1" style="162" min="4119" max="4119"/>
    <col width="44.140625" customWidth="1" style="162" min="4120" max="4120"/>
    <col width="42.5703125" customWidth="1" style="162" min="4121" max="4121"/>
    <col width="27.140625" customWidth="1" style="162" min="4122" max="4122"/>
    <col width="33.28515625" customWidth="1" style="162" min="4123" max="4123"/>
    <col width="27" customWidth="1" style="162" min="4124" max="4124"/>
    <col width="38.5703125" customWidth="1" style="162" min="4125" max="4125"/>
    <col width="23.85546875" customWidth="1" style="162" min="4126" max="4126"/>
    <col width="10.42578125" customWidth="1" style="162" min="4127" max="4127"/>
    <col width="10.28515625" customWidth="1" style="162" min="4128" max="4128"/>
    <col width="7.28515625" customWidth="1" style="162" min="4129" max="4129"/>
    <col hidden="1" style="162" min="4130" max="4131"/>
    <col width="9.140625" customWidth="1" style="162" min="4132" max="4358"/>
    <col width="1.7109375" customWidth="1" style="162" min="4359" max="4359"/>
    <col width="6.140625" customWidth="1" style="162" min="4360" max="4360"/>
    <col width="27.140625" customWidth="1" style="162" min="4361" max="4361"/>
    <col width="51.140625" customWidth="1" style="162" min="4362" max="4362"/>
    <col width="69.28515625" customWidth="1" style="162" min="4363" max="4363"/>
    <col width="40.7109375" customWidth="1" style="162" min="4364" max="4364"/>
    <col width="8.7109375" customWidth="1" style="162" min="4365" max="4365"/>
    <col width="32.140625" customWidth="1" style="162" min="4366" max="4366"/>
    <col width="35.7109375" customWidth="1" style="162" min="4367" max="4367"/>
    <col width="8.7109375" customWidth="1" style="162" min="4368" max="4368"/>
    <col width="28.140625" customWidth="1" style="162" min="4369" max="4369"/>
    <col width="27.5703125" customWidth="1" style="162" min="4370" max="4370"/>
    <col width="41.42578125" customWidth="1" style="162" min="4371" max="4371"/>
    <col width="39.140625" customWidth="1" style="162" min="4372" max="4372"/>
    <col width="27" customWidth="1" style="162" min="4373" max="4373"/>
    <col width="36.140625" customWidth="1" style="162" min="4374" max="4374"/>
    <col width="31.28515625" customWidth="1" style="162" min="4375" max="4375"/>
    <col width="44.140625" customWidth="1" style="162" min="4376" max="4376"/>
    <col width="42.5703125" customWidth="1" style="162" min="4377" max="4377"/>
    <col width="27.140625" customWidth="1" style="162" min="4378" max="4378"/>
    <col width="33.28515625" customWidth="1" style="162" min="4379" max="4379"/>
    <col width="27" customWidth="1" style="162" min="4380" max="4380"/>
    <col width="38.5703125" customWidth="1" style="162" min="4381" max="4381"/>
    <col width="23.85546875" customWidth="1" style="162" min="4382" max="4382"/>
    <col width="10.42578125" customWidth="1" style="162" min="4383" max="4383"/>
    <col width="10.28515625" customWidth="1" style="162" min="4384" max="4384"/>
    <col width="7.28515625" customWidth="1" style="162" min="4385" max="4385"/>
    <col hidden="1" style="162" min="4386" max="4387"/>
    <col width="9.140625" customWidth="1" style="162" min="4388" max="4614"/>
    <col width="1.7109375" customWidth="1" style="162" min="4615" max="4615"/>
    <col width="6.140625" customWidth="1" style="162" min="4616" max="4616"/>
    <col width="27.140625" customWidth="1" style="162" min="4617" max="4617"/>
    <col width="51.140625" customWidth="1" style="162" min="4618" max="4618"/>
    <col width="69.28515625" customWidth="1" style="162" min="4619" max="4619"/>
    <col width="40.7109375" customWidth="1" style="162" min="4620" max="4620"/>
    <col width="8.7109375" customWidth="1" style="162" min="4621" max="4621"/>
    <col width="32.140625" customWidth="1" style="162" min="4622" max="4622"/>
    <col width="35.7109375" customWidth="1" style="162" min="4623" max="4623"/>
    <col width="8.7109375" customWidth="1" style="162" min="4624" max="4624"/>
    <col width="28.140625" customWidth="1" style="162" min="4625" max="4625"/>
    <col width="27.5703125" customWidth="1" style="162" min="4626" max="4626"/>
    <col width="41.42578125" customWidth="1" style="162" min="4627" max="4627"/>
    <col width="39.140625" customWidth="1" style="162" min="4628" max="4628"/>
    <col width="27" customWidth="1" style="162" min="4629" max="4629"/>
    <col width="36.140625" customWidth="1" style="162" min="4630" max="4630"/>
    <col width="31.28515625" customWidth="1" style="162" min="4631" max="4631"/>
    <col width="44.140625" customWidth="1" style="162" min="4632" max="4632"/>
    <col width="42.5703125" customWidth="1" style="162" min="4633" max="4633"/>
    <col width="27.140625" customWidth="1" style="162" min="4634" max="4634"/>
    <col width="33.28515625" customWidth="1" style="162" min="4635" max="4635"/>
    <col width="27" customWidth="1" style="162" min="4636" max="4636"/>
    <col width="38.5703125" customWidth="1" style="162" min="4637" max="4637"/>
    <col width="23.85546875" customWidth="1" style="162" min="4638" max="4638"/>
    <col width="10.42578125" customWidth="1" style="162" min="4639" max="4639"/>
    <col width="10.28515625" customWidth="1" style="162" min="4640" max="4640"/>
    <col width="7.28515625" customWidth="1" style="162" min="4641" max="4641"/>
    <col hidden="1" style="162" min="4642" max="4643"/>
    <col width="9.140625" customWidth="1" style="162" min="4644" max="4870"/>
    <col width="1.7109375" customWidth="1" style="162" min="4871" max="4871"/>
    <col width="6.140625" customWidth="1" style="162" min="4872" max="4872"/>
    <col width="27.140625" customWidth="1" style="162" min="4873" max="4873"/>
    <col width="51.140625" customWidth="1" style="162" min="4874" max="4874"/>
    <col width="69.28515625" customWidth="1" style="162" min="4875" max="4875"/>
    <col width="40.7109375" customWidth="1" style="162" min="4876" max="4876"/>
    <col width="8.7109375" customWidth="1" style="162" min="4877" max="4877"/>
    <col width="32.140625" customWidth="1" style="162" min="4878" max="4878"/>
    <col width="35.7109375" customWidth="1" style="162" min="4879" max="4879"/>
    <col width="8.7109375" customWidth="1" style="162" min="4880" max="4880"/>
    <col width="28.140625" customWidth="1" style="162" min="4881" max="4881"/>
    <col width="27.5703125" customWidth="1" style="162" min="4882" max="4882"/>
    <col width="41.42578125" customWidth="1" style="162" min="4883" max="4883"/>
    <col width="39.140625" customWidth="1" style="162" min="4884" max="4884"/>
    <col width="27" customWidth="1" style="162" min="4885" max="4885"/>
    <col width="36.140625" customWidth="1" style="162" min="4886" max="4886"/>
    <col width="31.28515625" customWidth="1" style="162" min="4887" max="4887"/>
    <col width="44.140625" customWidth="1" style="162" min="4888" max="4888"/>
    <col width="42.5703125" customWidth="1" style="162" min="4889" max="4889"/>
    <col width="27.140625" customWidth="1" style="162" min="4890" max="4890"/>
    <col width="33.28515625" customWidth="1" style="162" min="4891" max="4891"/>
    <col width="27" customWidth="1" style="162" min="4892" max="4892"/>
    <col width="38.5703125" customWidth="1" style="162" min="4893" max="4893"/>
    <col width="23.85546875" customWidth="1" style="162" min="4894" max="4894"/>
    <col width="10.42578125" customWidth="1" style="162" min="4895" max="4895"/>
    <col width="10.28515625" customWidth="1" style="162" min="4896" max="4896"/>
    <col width="7.28515625" customWidth="1" style="162" min="4897" max="4897"/>
    <col hidden="1" style="162" min="4898" max="4899"/>
    <col width="9.140625" customWidth="1" style="162" min="4900" max="5126"/>
    <col width="1.7109375" customWidth="1" style="162" min="5127" max="5127"/>
    <col width="6.140625" customWidth="1" style="162" min="5128" max="5128"/>
    <col width="27.140625" customWidth="1" style="162" min="5129" max="5129"/>
    <col width="51.140625" customWidth="1" style="162" min="5130" max="5130"/>
    <col width="69.28515625" customWidth="1" style="162" min="5131" max="5131"/>
    <col width="40.7109375" customWidth="1" style="162" min="5132" max="5132"/>
    <col width="8.7109375" customWidth="1" style="162" min="5133" max="5133"/>
    <col width="32.140625" customWidth="1" style="162" min="5134" max="5134"/>
    <col width="35.7109375" customWidth="1" style="162" min="5135" max="5135"/>
    <col width="8.7109375" customWidth="1" style="162" min="5136" max="5136"/>
    <col width="28.140625" customWidth="1" style="162" min="5137" max="5137"/>
    <col width="27.5703125" customWidth="1" style="162" min="5138" max="5138"/>
    <col width="41.42578125" customWidth="1" style="162" min="5139" max="5139"/>
    <col width="39.140625" customWidth="1" style="162" min="5140" max="5140"/>
    <col width="27" customWidth="1" style="162" min="5141" max="5141"/>
    <col width="36.140625" customWidth="1" style="162" min="5142" max="5142"/>
    <col width="31.28515625" customWidth="1" style="162" min="5143" max="5143"/>
    <col width="44.140625" customWidth="1" style="162" min="5144" max="5144"/>
    <col width="42.5703125" customWidth="1" style="162" min="5145" max="5145"/>
    <col width="27.140625" customWidth="1" style="162" min="5146" max="5146"/>
    <col width="33.28515625" customWidth="1" style="162" min="5147" max="5147"/>
    <col width="27" customWidth="1" style="162" min="5148" max="5148"/>
    <col width="38.5703125" customWidth="1" style="162" min="5149" max="5149"/>
    <col width="23.85546875" customWidth="1" style="162" min="5150" max="5150"/>
    <col width="10.42578125" customWidth="1" style="162" min="5151" max="5151"/>
    <col width="10.28515625" customWidth="1" style="162" min="5152" max="5152"/>
    <col width="7.28515625" customWidth="1" style="162" min="5153" max="5153"/>
    <col hidden="1" style="162" min="5154" max="5155"/>
    <col width="9.140625" customWidth="1" style="162" min="5156" max="5382"/>
    <col width="1.7109375" customWidth="1" style="162" min="5383" max="5383"/>
    <col width="6.140625" customWidth="1" style="162" min="5384" max="5384"/>
    <col width="27.140625" customWidth="1" style="162" min="5385" max="5385"/>
    <col width="51.140625" customWidth="1" style="162" min="5386" max="5386"/>
    <col width="69.28515625" customWidth="1" style="162" min="5387" max="5387"/>
    <col width="40.7109375" customWidth="1" style="162" min="5388" max="5388"/>
    <col width="8.7109375" customWidth="1" style="162" min="5389" max="5389"/>
    <col width="32.140625" customWidth="1" style="162" min="5390" max="5390"/>
    <col width="35.7109375" customWidth="1" style="162" min="5391" max="5391"/>
    <col width="8.7109375" customWidth="1" style="162" min="5392" max="5392"/>
    <col width="28.140625" customWidth="1" style="162" min="5393" max="5393"/>
    <col width="27.5703125" customWidth="1" style="162" min="5394" max="5394"/>
    <col width="41.42578125" customWidth="1" style="162" min="5395" max="5395"/>
    <col width="39.140625" customWidth="1" style="162" min="5396" max="5396"/>
    <col width="27" customWidth="1" style="162" min="5397" max="5397"/>
    <col width="36.140625" customWidth="1" style="162" min="5398" max="5398"/>
    <col width="31.28515625" customWidth="1" style="162" min="5399" max="5399"/>
    <col width="44.140625" customWidth="1" style="162" min="5400" max="5400"/>
    <col width="42.5703125" customWidth="1" style="162" min="5401" max="5401"/>
    <col width="27.140625" customWidth="1" style="162" min="5402" max="5402"/>
    <col width="33.28515625" customWidth="1" style="162" min="5403" max="5403"/>
    <col width="27" customWidth="1" style="162" min="5404" max="5404"/>
    <col width="38.5703125" customWidth="1" style="162" min="5405" max="5405"/>
    <col width="23.85546875" customWidth="1" style="162" min="5406" max="5406"/>
    <col width="10.42578125" customWidth="1" style="162" min="5407" max="5407"/>
    <col width="10.28515625" customWidth="1" style="162" min="5408" max="5408"/>
    <col width="7.28515625" customWidth="1" style="162" min="5409" max="5409"/>
    <col hidden="1" style="162" min="5410" max="5411"/>
    <col width="9.140625" customWidth="1" style="162" min="5412" max="5638"/>
    <col width="1.7109375" customWidth="1" style="162" min="5639" max="5639"/>
    <col width="6.140625" customWidth="1" style="162" min="5640" max="5640"/>
    <col width="27.140625" customWidth="1" style="162" min="5641" max="5641"/>
    <col width="51.140625" customWidth="1" style="162" min="5642" max="5642"/>
    <col width="69.28515625" customWidth="1" style="162" min="5643" max="5643"/>
    <col width="40.7109375" customWidth="1" style="162" min="5644" max="5644"/>
    <col width="8.7109375" customWidth="1" style="162" min="5645" max="5645"/>
    <col width="32.140625" customWidth="1" style="162" min="5646" max="5646"/>
    <col width="35.7109375" customWidth="1" style="162" min="5647" max="5647"/>
    <col width="8.7109375" customWidth="1" style="162" min="5648" max="5648"/>
    <col width="28.140625" customWidth="1" style="162" min="5649" max="5649"/>
    <col width="27.5703125" customWidth="1" style="162" min="5650" max="5650"/>
    <col width="41.42578125" customWidth="1" style="162" min="5651" max="5651"/>
    <col width="39.140625" customWidth="1" style="162" min="5652" max="5652"/>
    <col width="27" customWidth="1" style="162" min="5653" max="5653"/>
    <col width="36.140625" customWidth="1" style="162" min="5654" max="5654"/>
    <col width="31.28515625" customWidth="1" style="162" min="5655" max="5655"/>
    <col width="44.140625" customWidth="1" style="162" min="5656" max="5656"/>
    <col width="42.5703125" customWidth="1" style="162" min="5657" max="5657"/>
    <col width="27.140625" customWidth="1" style="162" min="5658" max="5658"/>
    <col width="33.28515625" customWidth="1" style="162" min="5659" max="5659"/>
    <col width="27" customWidth="1" style="162" min="5660" max="5660"/>
    <col width="38.5703125" customWidth="1" style="162" min="5661" max="5661"/>
    <col width="23.85546875" customWidth="1" style="162" min="5662" max="5662"/>
    <col width="10.42578125" customWidth="1" style="162" min="5663" max="5663"/>
    <col width="10.28515625" customWidth="1" style="162" min="5664" max="5664"/>
    <col width="7.28515625" customWidth="1" style="162" min="5665" max="5665"/>
    <col hidden="1" style="162" min="5666" max="5667"/>
    <col width="9.140625" customWidth="1" style="162" min="5668" max="5894"/>
    <col width="1.7109375" customWidth="1" style="162" min="5895" max="5895"/>
    <col width="6.140625" customWidth="1" style="162" min="5896" max="5896"/>
    <col width="27.140625" customWidth="1" style="162" min="5897" max="5897"/>
    <col width="51.140625" customWidth="1" style="162" min="5898" max="5898"/>
    <col width="69.28515625" customWidth="1" style="162" min="5899" max="5899"/>
    <col width="40.7109375" customWidth="1" style="162" min="5900" max="5900"/>
    <col width="8.7109375" customWidth="1" style="162" min="5901" max="5901"/>
    <col width="32.140625" customWidth="1" style="162" min="5902" max="5902"/>
    <col width="35.7109375" customWidth="1" style="162" min="5903" max="5903"/>
    <col width="8.7109375" customWidth="1" style="162" min="5904" max="5904"/>
    <col width="28.140625" customWidth="1" style="162" min="5905" max="5905"/>
    <col width="27.5703125" customWidth="1" style="162" min="5906" max="5906"/>
    <col width="41.42578125" customWidth="1" style="162" min="5907" max="5907"/>
    <col width="39.140625" customWidth="1" style="162" min="5908" max="5908"/>
    <col width="27" customWidth="1" style="162" min="5909" max="5909"/>
    <col width="36.140625" customWidth="1" style="162" min="5910" max="5910"/>
    <col width="31.28515625" customWidth="1" style="162" min="5911" max="5911"/>
    <col width="44.140625" customWidth="1" style="162" min="5912" max="5912"/>
    <col width="42.5703125" customWidth="1" style="162" min="5913" max="5913"/>
    <col width="27.140625" customWidth="1" style="162" min="5914" max="5914"/>
    <col width="33.28515625" customWidth="1" style="162" min="5915" max="5915"/>
    <col width="27" customWidth="1" style="162" min="5916" max="5916"/>
    <col width="38.5703125" customWidth="1" style="162" min="5917" max="5917"/>
    <col width="23.85546875" customWidth="1" style="162" min="5918" max="5918"/>
    <col width="10.42578125" customWidth="1" style="162" min="5919" max="5919"/>
    <col width="10.28515625" customWidth="1" style="162" min="5920" max="5920"/>
    <col width="7.28515625" customWidth="1" style="162" min="5921" max="5921"/>
    <col hidden="1" style="162" min="5922" max="5923"/>
    <col width="9.140625" customWidth="1" style="162" min="5924" max="6150"/>
    <col width="1.7109375" customWidth="1" style="162" min="6151" max="6151"/>
    <col width="6.140625" customWidth="1" style="162" min="6152" max="6152"/>
    <col width="27.140625" customWidth="1" style="162" min="6153" max="6153"/>
    <col width="51.140625" customWidth="1" style="162" min="6154" max="6154"/>
    <col width="69.28515625" customWidth="1" style="162" min="6155" max="6155"/>
    <col width="40.7109375" customWidth="1" style="162" min="6156" max="6156"/>
    <col width="8.7109375" customWidth="1" style="162" min="6157" max="6157"/>
    <col width="32.140625" customWidth="1" style="162" min="6158" max="6158"/>
    <col width="35.7109375" customWidth="1" style="162" min="6159" max="6159"/>
    <col width="8.7109375" customWidth="1" style="162" min="6160" max="6160"/>
    <col width="28.140625" customWidth="1" style="162" min="6161" max="6161"/>
    <col width="27.5703125" customWidth="1" style="162" min="6162" max="6162"/>
    <col width="41.42578125" customWidth="1" style="162" min="6163" max="6163"/>
    <col width="39.140625" customWidth="1" style="162" min="6164" max="6164"/>
    <col width="27" customWidth="1" style="162" min="6165" max="6165"/>
    <col width="36.140625" customWidth="1" style="162" min="6166" max="6166"/>
    <col width="31.28515625" customWidth="1" style="162" min="6167" max="6167"/>
    <col width="44.140625" customWidth="1" style="162" min="6168" max="6168"/>
    <col width="42.5703125" customWidth="1" style="162" min="6169" max="6169"/>
    <col width="27.140625" customWidth="1" style="162" min="6170" max="6170"/>
    <col width="33.28515625" customWidth="1" style="162" min="6171" max="6171"/>
    <col width="27" customWidth="1" style="162" min="6172" max="6172"/>
    <col width="38.5703125" customWidth="1" style="162" min="6173" max="6173"/>
    <col width="23.85546875" customWidth="1" style="162" min="6174" max="6174"/>
    <col width="10.42578125" customWidth="1" style="162" min="6175" max="6175"/>
    <col width="10.28515625" customWidth="1" style="162" min="6176" max="6176"/>
    <col width="7.28515625" customWidth="1" style="162" min="6177" max="6177"/>
    <col hidden="1" style="162" min="6178" max="6179"/>
    <col width="9.140625" customWidth="1" style="162" min="6180" max="6406"/>
    <col width="1.7109375" customWidth="1" style="162" min="6407" max="6407"/>
    <col width="6.140625" customWidth="1" style="162" min="6408" max="6408"/>
    <col width="27.140625" customWidth="1" style="162" min="6409" max="6409"/>
    <col width="51.140625" customWidth="1" style="162" min="6410" max="6410"/>
    <col width="69.28515625" customWidth="1" style="162" min="6411" max="6411"/>
    <col width="40.7109375" customWidth="1" style="162" min="6412" max="6412"/>
    <col width="8.7109375" customWidth="1" style="162" min="6413" max="6413"/>
    <col width="32.140625" customWidth="1" style="162" min="6414" max="6414"/>
    <col width="35.7109375" customWidth="1" style="162" min="6415" max="6415"/>
    <col width="8.7109375" customWidth="1" style="162" min="6416" max="6416"/>
    <col width="28.140625" customWidth="1" style="162" min="6417" max="6417"/>
    <col width="27.5703125" customWidth="1" style="162" min="6418" max="6418"/>
    <col width="41.42578125" customWidth="1" style="162" min="6419" max="6419"/>
    <col width="39.140625" customWidth="1" style="162" min="6420" max="6420"/>
    <col width="27" customWidth="1" style="162" min="6421" max="6421"/>
    <col width="36.140625" customWidth="1" style="162" min="6422" max="6422"/>
    <col width="31.28515625" customWidth="1" style="162" min="6423" max="6423"/>
    <col width="44.140625" customWidth="1" style="162" min="6424" max="6424"/>
    <col width="42.5703125" customWidth="1" style="162" min="6425" max="6425"/>
    <col width="27.140625" customWidth="1" style="162" min="6426" max="6426"/>
    <col width="33.28515625" customWidth="1" style="162" min="6427" max="6427"/>
    <col width="27" customWidth="1" style="162" min="6428" max="6428"/>
    <col width="38.5703125" customWidth="1" style="162" min="6429" max="6429"/>
    <col width="23.85546875" customWidth="1" style="162" min="6430" max="6430"/>
    <col width="10.42578125" customWidth="1" style="162" min="6431" max="6431"/>
    <col width="10.28515625" customWidth="1" style="162" min="6432" max="6432"/>
    <col width="7.28515625" customWidth="1" style="162" min="6433" max="6433"/>
    <col hidden="1" style="162" min="6434" max="6435"/>
    <col width="9.140625" customWidth="1" style="162" min="6436" max="6662"/>
    <col width="1.7109375" customWidth="1" style="162" min="6663" max="6663"/>
    <col width="6.140625" customWidth="1" style="162" min="6664" max="6664"/>
    <col width="27.140625" customWidth="1" style="162" min="6665" max="6665"/>
    <col width="51.140625" customWidth="1" style="162" min="6666" max="6666"/>
    <col width="69.28515625" customWidth="1" style="162" min="6667" max="6667"/>
    <col width="40.7109375" customWidth="1" style="162" min="6668" max="6668"/>
    <col width="8.7109375" customWidth="1" style="162" min="6669" max="6669"/>
    <col width="32.140625" customWidth="1" style="162" min="6670" max="6670"/>
    <col width="35.7109375" customWidth="1" style="162" min="6671" max="6671"/>
    <col width="8.7109375" customWidth="1" style="162" min="6672" max="6672"/>
    <col width="28.140625" customWidth="1" style="162" min="6673" max="6673"/>
    <col width="27.5703125" customWidth="1" style="162" min="6674" max="6674"/>
    <col width="41.42578125" customWidth="1" style="162" min="6675" max="6675"/>
    <col width="39.140625" customWidth="1" style="162" min="6676" max="6676"/>
    <col width="27" customWidth="1" style="162" min="6677" max="6677"/>
    <col width="36.140625" customWidth="1" style="162" min="6678" max="6678"/>
    <col width="31.28515625" customWidth="1" style="162" min="6679" max="6679"/>
    <col width="44.140625" customWidth="1" style="162" min="6680" max="6680"/>
    <col width="42.5703125" customWidth="1" style="162" min="6681" max="6681"/>
    <col width="27.140625" customWidth="1" style="162" min="6682" max="6682"/>
    <col width="33.28515625" customWidth="1" style="162" min="6683" max="6683"/>
    <col width="27" customWidth="1" style="162" min="6684" max="6684"/>
    <col width="38.5703125" customWidth="1" style="162" min="6685" max="6685"/>
    <col width="23.85546875" customWidth="1" style="162" min="6686" max="6686"/>
    <col width="10.42578125" customWidth="1" style="162" min="6687" max="6687"/>
    <col width="10.28515625" customWidth="1" style="162" min="6688" max="6688"/>
    <col width="7.28515625" customWidth="1" style="162" min="6689" max="6689"/>
    <col hidden="1" style="162" min="6690" max="6691"/>
    <col width="9.140625" customWidth="1" style="162" min="6692" max="6918"/>
    <col width="1.7109375" customWidth="1" style="162" min="6919" max="6919"/>
    <col width="6.140625" customWidth="1" style="162" min="6920" max="6920"/>
    <col width="27.140625" customWidth="1" style="162" min="6921" max="6921"/>
    <col width="51.140625" customWidth="1" style="162" min="6922" max="6922"/>
    <col width="69.28515625" customWidth="1" style="162" min="6923" max="6923"/>
    <col width="40.7109375" customWidth="1" style="162" min="6924" max="6924"/>
    <col width="8.7109375" customWidth="1" style="162" min="6925" max="6925"/>
    <col width="32.140625" customWidth="1" style="162" min="6926" max="6926"/>
    <col width="35.7109375" customWidth="1" style="162" min="6927" max="6927"/>
    <col width="8.7109375" customWidth="1" style="162" min="6928" max="6928"/>
    <col width="28.140625" customWidth="1" style="162" min="6929" max="6929"/>
    <col width="27.5703125" customWidth="1" style="162" min="6930" max="6930"/>
    <col width="41.42578125" customWidth="1" style="162" min="6931" max="6931"/>
    <col width="39.140625" customWidth="1" style="162" min="6932" max="6932"/>
    <col width="27" customWidth="1" style="162" min="6933" max="6933"/>
    <col width="36.140625" customWidth="1" style="162" min="6934" max="6934"/>
    <col width="31.28515625" customWidth="1" style="162" min="6935" max="6935"/>
    <col width="44.140625" customWidth="1" style="162" min="6936" max="6936"/>
    <col width="42.5703125" customWidth="1" style="162" min="6937" max="6937"/>
    <col width="27.140625" customWidth="1" style="162" min="6938" max="6938"/>
    <col width="33.28515625" customWidth="1" style="162" min="6939" max="6939"/>
    <col width="27" customWidth="1" style="162" min="6940" max="6940"/>
    <col width="38.5703125" customWidth="1" style="162" min="6941" max="6941"/>
    <col width="23.85546875" customWidth="1" style="162" min="6942" max="6942"/>
    <col width="10.42578125" customWidth="1" style="162" min="6943" max="6943"/>
    <col width="10.28515625" customWidth="1" style="162" min="6944" max="6944"/>
    <col width="7.28515625" customWidth="1" style="162" min="6945" max="6945"/>
    <col hidden="1" style="162" min="6946" max="6947"/>
    <col width="9.140625" customWidth="1" style="162" min="6948" max="7174"/>
    <col width="1.7109375" customWidth="1" style="162" min="7175" max="7175"/>
    <col width="6.140625" customWidth="1" style="162" min="7176" max="7176"/>
    <col width="27.140625" customWidth="1" style="162" min="7177" max="7177"/>
    <col width="51.140625" customWidth="1" style="162" min="7178" max="7178"/>
    <col width="69.28515625" customWidth="1" style="162" min="7179" max="7179"/>
    <col width="40.7109375" customWidth="1" style="162" min="7180" max="7180"/>
    <col width="8.7109375" customWidth="1" style="162" min="7181" max="7181"/>
    <col width="32.140625" customWidth="1" style="162" min="7182" max="7182"/>
    <col width="35.7109375" customWidth="1" style="162" min="7183" max="7183"/>
    <col width="8.7109375" customWidth="1" style="162" min="7184" max="7184"/>
    <col width="28.140625" customWidth="1" style="162" min="7185" max="7185"/>
    <col width="27.5703125" customWidth="1" style="162" min="7186" max="7186"/>
    <col width="41.42578125" customWidth="1" style="162" min="7187" max="7187"/>
    <col width="39.140625" customWidth="1" style="162" min="7188" max="7188"/>
    <col width="27" customWidth="1" style="162" min="7189" max="7189"/>
    <col width="36.140625" customWidth="1" style="162" min="7190" max="7190"/>
    <col width="31.28515625" customWidth="1" style="162" min="7191" max="7191"/>
    <col width="44.140625" customWidth="1" style="162" min="7192" max="7192"/>
    <col width="42.5703125" customWidth="1" style="162" min="7193" max="7193"/>
    <col width="27.140625" customWidth="1" style="162" min="7194" max="7194"/>
    <col width="33.28515625" customWidth="1" style="162" min="7195" max="7195"/>
    <col width="27" customWidth="1" style="162" min="7196" max="7196"/>
    <col width="38.5703125" customWidth="1" style="162" min="7197" max="7197"/>
    <col width="23.85546875" customWidth="1" style="162" min="7198" max="7198"/>
    <col width="10.42578125" customWidth="1" style="162" min="7199" max="7199"/>
    <col width="10.28515625" customWidth="1" style="162" min="7200" max="7200"/>
    <col width="7.28515625" customWidth="1" style="162" min="7201" max="7201"/>
    <col hidden="1" style="162" min="7202" max="7203"/>
    <col width="9.140625" customWidth="1" style="162" min="7204" max="7430"/>
    <col width="1.7109375" customWidth="1" style="162" min="7431" max="7431"/>
    <col width="6.140625" customWidth="1" style="162" min="7432" max="7432"/>
    <col width="27.140625" customWidth="1" style="162" min="7433" max="7433"/>
    <col width="51.140625" customWidth="1" style="162" min="7434" max="7434"/>
    <col width="69.28515625" customWidth="1" style="162" min="7435" max="7435"/>
    <col width="40.7109375" customWidth="1" style="162" min="7436" max="7436"/>
    <col width="8.7109375" customWidth="1" style="162" min="7437" max="7437"/>
    <col width="32.140625" customWidth="1" style="162" min="7438" max="7438"/>
    <col width="35.7109375" customWidth="1" style="162" min="7439" max="7439"/>
    <col width="8.7109375" customWidth="1" style="162" min="7440" max="7440"/>
    <col width="28.140625" customWidth="1" style="162" min="7441" max="7441"/>
    <col width="27.5703125" customWidth="1" style="162" min="7442" max="7442"/>
    <col width="41.42578125" customWidth="1" style="162" min="7443" max="7443"/>
    <col width="39.140625" customWidth="1" style="162" min="7444" max="7444"/>
    <col width="27" customWidth="1" style="162" min="7445" max="7445"/>
    <col width="36.140625" customWidth="1" style="162" min="7446" max="7446"/>
    <col width="31.28515625" customWidth="1" style="162" min="7447" max="7447"/>
    <col width="44.140625" customWidth="1" style="162" min="7448" max="7448"/>
    <col width="42.5703125" customWidth="1" style="162" min="7449" max="7449"/>
    <col width="27.140625" customWidth="1" style="162" min="7450" max="7450"/>
    <col width="33.28515625" customWidth="1" style="162" min="7451" max="7451"/>
    <col width="27" customWidth="1" style="162" min="7452" max="7452"/>
    <col width="38.5703125" customWidth="1" style="162" min="7453" max="7453"/>
    <col width="23.85546875" customWidth="1" style="162" min="7454" max="7454"/>
    <col width="10.42578125" customWidth="1" style="162" min="7455" max="7455"/>
    <col width="10.28515625" customWidth="1" style="162" min="7456" max="7456"/>
    <col width="7.28515625" customWidth="1" style="162" min="7457" max="7457"/>
    <col hidden="1" style="162" min="7458" max="7459"/>
    <col width="9.140625" customWidth="1" style="162" min="7460" max="7686"/>
    <col width="1.7109375" customWidth="1" style="162" min="7687" max="7687"/>
    <col width="6.140625" customWidth="1" style="162" min="7688" max="7688"/>
    <col width="27.140625" customWidth="1" style="162" min="7689" max="7689"/>
    <col width="51.140625" customWidth="1" style="162" min="7690" max="7690"/>
    <col width="69.28515625" customWidth="1" style="162" min="7691" max="7691"/>
    <col width="40.7109375" customWidth="1" style="162" min="7692" max="7692"/>
    <col width="8.7109375" customWidth="1" style="162" min="7693" max="7693"/>
    <col width="32.140625" customWidth="1" style="162" min="7694" max="7694"/>
    <col width="35.7109375" customWidth="1" style="162" min="7695" max="7695"/>
    <col width="8.7109375" customWidth="1" style="162" min="7696" max="7696"/>
    <col width="28.140625" customWidth="1" style="162" min="7697" max="7697"/>
    <col width="27.5703125" customWidth="1" style="162" min="7698" max="7698"/>
    <col width="41.42578125" customWidth="1" style="162" min="7699" max="7699"/>
    <col width="39.140625" customWidth="1" style="162" min="7700" max="7700"/>
    <col width="27" customWidth="1" style="162" min="7701" max="7701"/>
    <col width="36.140625" customWidth="1" style="162" min="7702" max="7702"/>
    <col width="31.28515625" customWidth="1" style="162" min="7703" max="7703"/>
    <col width="44.140625" customWidth="1" style="162" min="7704" max="7704"/>
    <col width="42.5703125" customWidth="1" style="162" min="7705" max="7705"/>
    <col width="27.140625" customWidth="1" style="162" min="7706" max="7706"/>
    <col width="33.28515625" customWidth="1" style="162" min="7707" max="7707"/>
    <col width="27" customWidth="1" style="162" min="7708" max="7708"/>
    <col width="38.5703125" customWidth="1" style="162" min="7709" max="7709"/>
    <col width="23.85546875" customWidth="1" style="162" min="7710" max="7710"/>
    <col width="10.42578125" customWidth="1" style="162" min="7711" max="7711"/>
    <col width="10.28515625" customWidth="1" style="162" min="7712" max="7712"/>
    <col width="7.28515625" customWidth="1" style="162" min="7713" max="7713"/>
    <col hidden="1" style="162" min="7714" max="7715"/>
    <col width="9.140625" customWidth="1" style="162" min="7716" max="7942"/>
    <col width="1.7109375" customWidth="1" style="162" min="7943" max="7943"/>
    <col width="6.140625" customWidth="1" style="162" min="7944" max="7944"/>
    <col width="27.140625" customWidth="1" style="162" min="7945" max="7945"/>
    <col width="51.140625" customWidth="1" style="162" min="7946" max="7946"/>
    <col width="69.28515625" customWidth="1" style="162" min="7947" max="7947"/>
    <col width="40.7109375" customWidth="1" style="162" min="7948" max="7948"/>
    <col width="8.7109375" customWidth="1" style="162" min="7949" max="7949"/>
    <col width="32.140625" customWidth="1" style="162" min="7950" max="7950"/>
    <col width="35.7109375" customWidth="1" style="162" min="7951" max="7951"/>
    <col width="8.7109375" customWidth="1" style="162" min="7952" max="7952"/>
    <col width="28.140625" customWidth="1" style="162" min="7953" max="7953"/>
    <col width="27.5703125" customWidth="1" style="162" min="7954" max="7954"/>
    <col width="41.42578125" customWidth="1" style="162" min="7955" max="7955"/>
    <col width="39.140625" customWidth="1" style="162" min="7956" max="7956"/>
    <col width="27" customWidth="1" style="162" min="7957" max="7957"/>
    <col width="36.140625" customWidth="1" style="162" min="7958" max="7958"/>
    <col width="31.28515625" customWidth="1" style="162" min="7959" max="7959"/>
    <col width="44.140625" customWidth="1" style="162" min="7960" max="7960"/>
    <col width="42.5703125" customWidth="1" style="162" min="7961" max="7961"/>
    <col width="27.140625" customWidth="1" style="162" min="7962" max="7962"/>
    <col width="33.28515625" customWidth="1" style="162" min="7963" max="7963"/>
    <col width="27" customWidth="1" style="162" min="7964" max="7964"/>
    <col width="38.5703125" customWidth="1" style="162" min="7965" max="7965"/>
    <col width="23.85546875" customWidth="1" style="162" min="7966" max="7966"/>
    <col width="10.42578125" customWidth="1" style="162" min="7967" max="7967"/>
    <col width="10.28515625" customWidth="1" style="162" min="7968" max="7968"/>
    <col width="7.28515625" customWidth="1" style="162" min="7969" max="7969"/>
    <col hidden="1" style="162" min="7970" max="7971"/>
    <col width="9.140625" customWidth="1" style="162" min="7972" max="8198"/>
    <col width="1.7109375" customWidth="1" style="162" min="8199" max="8199"/>
    <col width="6.140625" customWidth="1" style="162" min="8200" max="8200"/>
    <col width="27.140625" customWidth="1" style="162" min="8201" max="8201"/>
    <col width="51.140625" customWidth="1" style="162" min="8202" max="8202"/>
    <col width="69.28515625" customWidth="1" style="162" min="8203" max="8203"/>
    <col width="40.7109375" customWidth="1" style="162" min="8204" max="8204"/>
    <col width="8.7109375" customWidth="1" style="162" min="8205" max="8205"/>
    <col width="32.140625" customWidth="1" style="162" min="8206" max="8206"/>
    <col width="35.7109375" customWidth="1" style="162" min="8207" max="8207"/>
    <col width="8.7109375" customWidth="1" style="162" min="8208" max="8208"/>
    <col width="28.140625" customWidth="1" style="162" min="8209" max="8209"/>
    <col width="27.5703125" customWidth="1" style="162" min="8210" max="8210"/>
    <col width="41.42578125" customWidth="1" style="162" min="8211" max="8211"/>
    <col width="39.140625" customWidth="1" style="162" min="8212" max="8212"/>
    <col width="27" customWidth="1" style="162" min="8213" max="8213"/>
    <col width="36.140625" customWidth="1" style="162" min="8214" max="8214"/>
    <col width="31.28515625" customWidth="1" style="162" min="8215" max="8215"/>
    <col width="44.140625" customWidth="1" style="162" min="8216" max="8216"/>
    <col width="42.5703125" customWidth="1" style="162" min="8217" max="8217"/>
    <col width="27.140625" customWidth="1" style="162" min="8218" max="8218"/>
    <col width="33.28515625" customWidth="1" style="162" min="8219" max="8219"/>
    <col width="27" customWidth="1" style="162" min="8220" max="8220"/>
    <col width="38.5703125" customWidth="1" style="162" min="8221" max="8221"/>
    <col width="23.85546875" customWidth="1" style="162" min="8222" max="8222"/>
    <col width="10.42578125" customWidth="1" style="162" min="8223" max="8223"/>
    <col width="10.28515625" customWidth="1" style="162" min="8224" max="8224"/>
    <col width="7.28515625" customWidth="1" style="162" min="8225" max="8225"/>
    <col hidden="1" style="162" min="8226" max="8227"/>
    <col width="9.140625" customWidth="1" style="162" min="8228" max="8454"/>
    <col width="1.7109375" customWidth="1" style="162" min="8455" max="8455"/>
    <col width="6.140625" customWidth="1" style="162" min="8456" max="8456"/>
    <col width="27.140625" customWidth="1" style="162" min="8457" max="8457"/>
    <col width="51.140625" customWidth="1" style="162" min="8458" max="8458"/>
    <col width="69.28515625" customWidth="1" style="162" min="8459" max="8459"/>
    <col width="40.7109375" customWidth="1" style="162" min="8460" max="8460"/>
    <col width="8.7109375" customWidth="1" style="162" min="8461" max="8461"/>
    <col width="32.140625" customWidth="1" style="162" min="8462" max="8462"/>
    <col width="35.7109375" customWidth="1" style="162" min="8463" max="8463"/>
    <col width="8.7109375" customWidth="1" style="162" min="8464" max="8464"/>
    <col width="28.140625" customWidth="1" style="162" min="8465" max="8465"/>
    <col width="27.5703125" customWidth="1" style="162" min="8466" max="8466"/>
    <col width="41.42578125" customWidth="1" style="162" min="8467" max="8467"/>
    <col width="39.140625" customWidth="1" style="162" min="8468" max="8468"/>
    <col width="27" customWidth="1" style="162" min="8469" max="8469"/>
    <col width="36.140625" customWidth="1" style="162" min="8470" max="8470"/>
    <col width="31.28515625" customWidth="1" style="162" min="8471" max="8471"/>
    <col width="44.140625" customWidth="1" style="162" min="8472" max="8472"/>
    <col width="42.5703125" customWidth="1" style="162" min="8473" max="8473"/>
    <col width="27.140625" customWidth="1" style="162" min="8474" max="8474"/>
    <col width="33.28515625" customWidth="1" style="162" min="8475" max="8475"/>
    <col width="27" customWidth="1" style="162" min="8476" max="8476"/>
    <col width="38.5703125" customWidth="1" style="162" min="8477" max="8477"/>
    <col width="23.85546875" customWidth="1" style="162" min="8478" max="8478"/>
    <col width="10.42578125" customWidth="1" style="162" min="8479" max="8479"/>
    <col width="10.28515625" customWidth="1" style="162" min="8480" max="8480"/>
    <col width="7.28515625" customWidth="1" style="162" min="8481" max="8481"/>
    <col hidden="1" style="162" min="8482" max="8483"/>
    <col width="9.140625" customWidth="1" style="162" min="8484" max="8710"/>
    <col width="1.7109375" customWidth="1" style="162" min="8711" max="8711"/>
    <col width="6.140625" customWidth="1" style="162" min="8712" max="8712"/>
    <col width="27.140625" customWidth="1" style="162" min="8713" max="8713"/>
    <col width="51.140625" customWidth="1" style="162" min="8714" max="8714"/>
    <col width="69.28515625" customWidth="1" style="162" min="8715" max="8715"/>
    <col width="40.7109375" customWidth="1" style="162" min="8716" max="8716"/>
    <col width="8.7109375" customWidth="1" style="162" min="8717" max="8717"/>
    <col width="32.140625" customWidth="1" style="162" min="8718" max="8718"/>
    <col width="35.7109375" customWidth="1" style="162" min="8719" max="8719"/>
    <col width="8.7109375" customWidth="1" style="162" min="8720" max="8720"/>
    <col width="28.140625" customWidth="1" style="162" min="8721" max="8721"/>
    <col width="27.5703125" customWidth="1" style="162" min="8722" max="8722"/>
    <col width="41.42578125" customWidth="1" style="162" min="8723" max="8723"/>
    <col width="39.140625" customWidth="1" style="162" min="8724" max="8724"/>
    <col width="27" customWidth="1" style="162" min="8725" max="8725"/>
    <col width="36.140625" customWidth="1" style="162" min="8726" max="8726"/>
    <col width="31.28515625" customWidth="1" style="162" min="8727" max="8727"/>
    <col width="44.140625" customWidth="1" style="162" min="8728" max="8728"/>
    <col width="42.5703125" customWidth="1" style="162" min="8729" max="8729"/>
    <col width="27.140625" customWidth="1" style="162" min="8730" max="8730"/>
    <col width="33.28515625" customWidth="1" style="162" min="8731" max="8731"/>
    <col width="27" customWidth="1" style="162" min="8732" max="8732"/>
    <col width="38.5703125" customWidth="1" style="162" min="8733" max="8733"/>
    <col width="23.85546875" customWidth="1" style="162" min="8734" max="8734"/>
    <col width="10.42578125" customWidth="1" style="162" min="8735" max="8735"/>
    <col width="10.28515625" customWidth="1" style="162" min="8736" max="8736"/>
    <col width="7.28515625" customWidth="1" style="162" min="8737" max="8737"/>
    <col hidden="1" style="162" min="8738" max="8739"/>
    <col width="9.140625" customWidth="1" style="162" min="8740" max="8966"/>
    <col width="1.7109375" customWidth="1" style="162" min="8967" max="8967"/>
    <col width="6.140625" customWidth="1" style="162" min="8968" max="8968"/>
    <col width="27.140625" customWidth="1" style="162" min="8969" max="8969"/>
    <col width="51.140625" customWidth="1" style="162" min="8970" max="8970"/>
    <col width="69.28515625" customWidth="1" style="162" min="8971" max="8971"/>
    <col width="40.7109375" customWidth="1" style="162" min="8972" max="8972"/>
    <col width="8.7109375" customWidth="1" style="162" min="8973" max="8973"/>
    <col width="32.140625" customWidth="1" style="162" min="8974" max="8974"/>
    <col width="35.7109375" customWidth="1" style="162" min="8975" max="8975"/>
    <col width="8.7109375" customWidth="1" style="162" min="8976" max="8976"/>
    <col width="28.140625" customWidth="1" style="162" min="8977" max="8977"/>
    <col width="27.5703125" customWidth="1" style="162" min="8978" max="8978"/>
    <col width="41.42578125" customWidth="1" style="162" min="8979" max="8979"/>
    <col width="39.140625" customWidth="1" style="162" min="8980" max="8980"/>
    <col width="27" customWidth="1" style="162" min="8981" max="8981"/>
    <col width="36.140625" customWidth="1" style="162" min="8982" max="8982"/>
    <col width="31.28515625" customWidth="1" style="162" min="8983" max="8983"/>
    <col width="44.140625" customWidth="1" style="162" min="8984" max="8984"/>
    <col width="42.5703125" customWidth="1" style="162" min="8985" max="8985"/>
    <col width="27.140625" customWidth="1" style="162" min="8986" max="8986"/>
    <col width="33.28515625" customWidth="1" style="162" min="8987" max="8987"/>
    <col width="27" customWidth="1" style="162" min="8988" max="8988"/>
    <col width="38.5703125" customWidth="1" style="162" min="8989" max="8989"/>
    <col width="23.85546875" customWidth="1" style="162" min="8990" max="8990"/>
    <col width="10.42578125" customWidth="1" style="162" min="8991" max="8991"/>
    <col width="10.28515625" customWidth="1" style="162" min="8992" max="8992"/>
    <col width="7.28515625" customWidth="1" style="162" min="8993" max="8993"/>
    <col hidden="1" style="162" min="8994" max="8995"/>
    <col width="9.140625" customWidth="1" style="162" min="8996" max="9222"/>
    <col width="1.7109375" customWidth="1" style="162" min="9223" max="9223"/>
    <col width="6.140625" customWidth="1" style="162" min="9224" max="9224"/>
    <col width="27.140625" customWidth="1" style="162" min="9225" max="9225"/>
    <col width="51.140625" customWidth="1" style="162" min="9226" max="9226"/>
    <col width="69.28515625" customWidth="1" style="162" min="9227" max="9227"/>
    <col width="40.7109375" customWidth="1" style="162" min="9228" max="9228"/>
    <col width="8.7109375" customWidth="1" style="162" min="9229" max="9229"/>
    <col width="32.140625" customWidth="1" style="162" min="9230" max="9230"/>
    <col width="35.7109375" customWidth="1" style="162" min="9231" max="9231"/>
    <col width="8.7109375" customWidth="1" style="162" min="9232" max="9232"/>
    <col width="28.140625" customWidth="1" style="162" min="9233" max="9233"/>
    <col width="27.5703125" customWidth="1" style="162" min="9234" max="9234"/>
    <col width="41.42578125" customWidth="1" style="162" min="9235" max="9235"/>
    <col width="39.140625" customWidth="1" style="162" min="9236" max="9236"/>
    <col width="27" customWidth="1" style="162" min="9237" max="9237"/>
    <col width="36.140625" customWidth="1" style="162" min="9238" max="9238"/>
    <col width="31.28515625" customWidth="1" style="162" min="9239" max="9239"/>
    <col width="44.140625" customWidth="1" style="162" min="9240" max="9240"/>
    <col width="42.5703125" customWidth="1" style="162" min="9241" max="9241"/>
    <col width="27.140625" customWidth="1" style="162" min="9242" max="9242"/>
    <col width="33.28515625" customWidth="1" style="162" min="9243" max="9243"/>
    <col width="27" customWidth="1" style="162" min="9244" max="9244"/>
    <col width="38.5703125" customWidth="1" style="162" min="9245" max="9245"/>
    <col width="23.85546875" customWidth="1" style="162" min="9246" max="9246"/>
    <col width="10.42578125" customWidth="1" style="162" min="9247" max="9247"/>
    <col width="10.28515625" customWidth="1" style="162" min="9248" max="9248"/>
    <col width="7.28515625" customWidth="1" style="162" min="9249" max="9249"/>
    <col hidden="1" style="162" min="9250" max="9251"/>
    <col width="9.140625" customWidth="1" style="162" min="9252" max="9478"/>
    <col width="1.7109375" customWidth="1" style="162" min="9479" max="9479"/>
    <col width="6.140625" customWidth="1" style="162" min="9480" max="9480"/>
    <col width="27.140625" customWidth="1" style="162" min="9481" max="9481"/>
    <col width="51.140625" customWidth="1" style="162" min="9482" max="9482"/>
    <col width="69.28515625" customWidth="1" style="162" min="9483" max="9483"/>
    <col width="40.7109375" customWidth="1" style="162" min="9484" max="9484"/>
    <col width="8.7109375" customWidth="1" style="162" min="9485" max="9485"/>
    <col width="32.140625" customWidth="1" style="162" min="9486" max="9486"/>
    <col width="35.7109375" customWidth="1" style="162" min="9487" max="9487"/>
    <col width="8.7109375" customWidth="1" style="162" min="9488" max="9488"/>
    <col width="28.140625" customWidth="1" style="162" min="9489" max="9489"/>
    <col width="27.5703125" customWidth="1" style="162" min="9490" max="9490"/>
    <col width="41.42578125" customWidth="1" style="162" min="9491" max="9491"/>
    <col width="39.140625" customWidth="1" style="162" min="9492" max="9492"/>
    <col width="27" customWidth="1" style="162" min="9493" max="9493"/>
    <col width="36.140625" customWidth="1" style="162" min="9494" max="9494"/>
    <col width="31.28515625" customWidth="1" style="162" min="9495" max="9495"/>
    <col width="44.140625" customWidth="1" style="162" min="9496" max="9496"/>
    <col width="42.5703125" customWidth="1" style="162" min="9497" max="9497"/>
    <col width="27.140625" customWidth="1" style="162" min="9498" max="9498"/>
    <col width="33.28515625" customWidth="1" style="162" min="9499" max="9499"/>
    <col width="27" customWidth="1" style="162" min="9500" max="9500"/>
    <col width="38.5703125" customWidth="1" style="162" min="9501" max="9501"/>
    <col width="23.85546875" customWidth="1" style="162" min="9502" max="9502"/>
    <col width="10.42578125" customWidth="1" style="162" min="9503" max="9503"/>
    <col width="10.28515625" customWidth="1" style="162" min="9504" max="9504"/>
    <col width="7.28515625" customWidth="1" style="162" min="9505" max="9505"/>
    <col hidden="1" style="162" min="9506" max="9507"/>
    <col width="9.140625" customWidth="1" style="162" min="9508" max="9734"/>
    <col width="1.7109375" customWidth="1" style="162" min="9735" max="9735"/>
    <col width="6.140625" customWidth="1" style="162" min="9736" max="9736"/>
    <col width="27.140625" customWidth="1" style="162" min="9737" max="9737"/>
    <col width="51.140625" customWidth="1" style="162" min="9738" max="9738"/>
    <col width="69.28515625" customWidth="1" style="162" min="9739" max="9739"/>
    <col width="40.7109375" customWidth="1" style="162" min="9740" max="9740"/>
    <col width="8.7109375" customWidth="1" style="162" min="9741" max="9741"/>
    <col width="32.140625" customWidth="1" style="162" min="9742" max="9742"/>
    <col width="35.7109375" customWidth="1" style="162" min="9743" max="9743"/>
    <col width="8.7109375" customWidth="1" style="162" min="9744" max="9744"/>
    <col width="28.140625" customWidth="1" style="162" min="9745" max="9745"/>
    <col width="27.5703125" customWidth="1" style="162" min="9746" max="9746"/>
    <col width="41.42578125" customWidth="1" style="162" min="9747" max="9747"/>
    <col width="39.140625" customWidth="1" style="162" min="9748" max="9748"/>
    <col width="27" customWidth="1" style="162" min="9749" max="9749"/>
    <col width="36.140625" customWidth="1" style="162" min="9750" max="9750"/>
    <col width="31.28515625" customWidth="1" style="162" min="9751" max="9751"/>
    <col width="44.140625" customWidth="1" style="162" min="9752" max="9752"/>
    <col width="42.5703125" customWidth="1" style="162" min="9753" max="9753"/>
    <col width="27.140625" customWidth="1" style="162" min="9754" max="9754"/>
    <col width="33.28515625" customWidth="1" style="162" min="9755" max="9755"/>
    <col width="27" customWidth="1" style="162" min="9756" max="9756"/>
    <col width="38.5703125" customWidth="1" style="162" min="9757" max="9757"/>
    <col width="23.85546875" customWidth="1" style="162" min="9758" max="9758"/>
    <col width="10.42578125" customWidth="1" style="162" min="9759" max="9759"/>
    <col width="10.28515625" customWidth="1" style="162" min="9760" max="9760"/>
    <col width="7.28515625" customWidth="1" style="162" min="9761" max="9761"/>
    <col hidden="1" style="162" min="9762" max="9763"/>
    <col width="9.140625" customWidth="1" style="162" min="9764" max="9990"/>
    <col width="1.7109375" customWidth="1" style="162" min="9991" max="9991"/>
    <col width="6.140625" customWidth="1" style="162" min="9992" max="9992"/>
    <col width="27.140625" customWidth="1" style="162" min="9993" max="9993"/>
    <col width="51.140625" customWidth="1" style="162" min="9994" max="9994"/>
    <col width="69.28515625" customWidth="1" style="162" min="9995" max="9995"/>
    <col width="40.7109375" customWidth="1" style="162" min="9996" max="9996"/>
    <col width="8.7109375" customWidth="1" style="162" min="9997" max="9997"/>
    <col width="32.140625" customWidth="1" style="162" min="9998" max="9998"/>
    <col width="35.7109375" customWidth="1" style="162" min="9999" max="9999"/>
    <col width="8.7109375" customWidth="1" style="162" min="10000" max="10000"/>
    <col width="28.140625" customWidth="1" style="162" min="10001" max="10001"/>
    <col width="27.5703125" customWidth="1" style="162" min="10002" max="10002"/>
    <col width="41.42578125" customWidth="1" style="162" min="10003" max="10003"/>
    <col width="39.140625" customWidth="1" style="162" min="10004" max="10004"/>
    <col width="27" customWidth="1" style="162" min="10005" max="10005"/>
    <col width="36.140625" customWidth="1" style="162" min="10006" max="10006"/>
    <col width="31.28515625" customWidth="1" style="162" min="10007" max="10007"/>
    <col width="44.140625" customWidth="1" style="162" min="10008" max="10008"/>
    <col width="42.5703125" customWidth="1" style="162" min="10009" max="10009"/>
    <col width="27.140625" customWidth="1" style="162" min="10010" max="10010"/>
    <col width="33.28515625" customWidth="1" style="162" min="10011" max="10011"/>
    <col width="27" customWidth="1" style="162" min="10012" max="10012"/>
    <col width="38.5703125" customWidth="1" style="162" min="10013" max="10013"/>
    <col width="23.85546875" customWidth="1" style="162" min="10014" max="10014"/>
    <col width="10.42578125" customWidth="1" style="162" min="10015" max="10015"/>
    <col width="10.28515625" customWidth="1" style="162" min="10016" max="10016"/>
    <col width="7.28515625" customWidth="1" style="162" min="10017" max="10017"/>
    <col hidden="1" style="162" min="10018" max="10019"/>
    <col width="9.140625" customWidth="1" style="162" min="10020" max="10246"/>
    <col width="1.7109375" customWidth="1" style="162" min="10247" max="10247"/>
    <col width="6.140625" customWidth="1" style="162" min="10248" max="10248"/>
    <col width="27.140625" customWidth="1" style="162" min="10249" max="10249"/>
    <col width="51.140625" customWidth="1" style="162" min="10250" max="10250"/>
    <col width="69.28515625" customWidth="1" style="162" min="10251" max="10251"/>
    <col width="40.7109375" customWidth="1" style="162" min="10252" max="10252"/>
    <col width="8.7109375" customWidth="1" style="162" min="10253" max="10253"/>
    <col width="32.140625" customWidth="1" style="162" min="10254" max="10254"/>
    <col width="35.7109375" customWidth="1" style="162" min="10255" max="10255"/>
    <col width="8.7109375" customWidth="1" style="162" min="10256" max="10256"/>
    <col width="28.140625" customWidth="1" style="162" min="10257" max="10257"/>
    <col width="27.5703125" customWidth="1" style="162" min="10258" max="10258"/>
    <col width="41.42578125" customWidth="1" style="162" min="10259" max="10259"/>
    <col width="39.140625" customWidth="1" style="162" min="10260" max="10260"/>
    <col width="27" customWidth="1" style="162" min="10261" max="10261"/>
    <col width="36.140625" customWidth="1" style="162" min="10262" max="10262"/>
    <col width="31.28515625" customWidth="1" style="162" min="10263" max="10263"/>
    <col width="44.140625" customWidth="1" style="162" min="10264" max="10264"/>
    <col width="42.5703125" customWidth="1" style="162" min="10265" max="10265"/>
    <col width="27.140625" customWidth="1" style="162" min="10266" max="10266"/>
    <col width="33.28515625" customWidth="1" style="162" min="10267" max="10267"/>
    <col width="27" customWidth="1" style="162" min="10268" max="10268"/>
    <col width="38.5703125" customWidth="1" style="162" min="10269" max="10269"/>
    <col width="23.85546875" customWidth="1" style="162" min="10270" max="10270"/>
    <col width="10.42578125" customWidth="1" style="162" min="10271" max="10271"/>
    <col width="10.28515625" customWidth="1" style="162" min="10272" max="10272"/>
    <col width="7.28515625" customWidth="1" style="162" min="10273" max="10273"/>
    <col hidden="1" style="162" min="10274" max="10275"/>
    <col width="9.140625" customWidth="1" style="162" min="10276" max="10502"/>
    <col width="1.7109375" customWidth="1" style="162" min="10503" max="10503"/>
    <col width="6.140625" customWidth="1" style="162" min="10504" max="10504"/>
    <col width="27.140625" customWidth="1" style="162" min="10505" max="10505"/>
    <col width="51.140625" customWidth="1" style="162" min="10506" max="10506"/>
    <col width="69.28515625" customWidth="1" style="162" min="10507" max="10507"/>
    <col width="40.7109375" customWidth="1" style="162" min="10508" max="10508"/>
    <col width="8.7109375" customWidth="1" style="162" min="10509" max="10509"/>
    <col width="32.140625" customWidth="1" style="162" min="10510" max="10510"/>
    <col width="35.7109375" customWidth="1" style="162" min="10511" max="10511"/>
    <col width="8.7109375" customWidth="1" style="162" min="10512" max="10512"/>
    <col width="28.140625" customWidth="1" style="162" min="10513" max="10513"/>
    <col width="27.5703125" customWidth="1" style="162" min="10514" max="10514"/>
    <col width="41.42578125" customWidth="1" style="162" min="10515" max="10515"/>
    <col width="39.140625" customWidth="1" style="162" min="10516" max="10516"/>
    <col width="27" customWidth="1" style="162" min="10517" max="10517"/>
    <col width="36.140625" customWidth="1" style="162" min="10518" max="10518"/>
    <col width="31.28515625" customWidth="1" style="162" min="10519" max="10519"/>
    <col width="44.140625" customWidth="1" style="162" min="10520" max="10520"/>
    <col width="42.5703125" customWidth="1" style="162" min="10521" max="10521"/>
    <col width="27.140625" customWidth="1" style="162" min="10522" max="10522"/>
    <col width="33.28515625" customWidth="1" style="162" min="10523" max="10523"/>
    <col width="27" customWidth="1" style="162" min="10524" max="10524"/>
    <col width="38.5703125" customWidth="1" style="162" min="10525" max="10525"/>
    <col width="23.85546875" customWidth="1" style="162" min="10526" max="10526"/>
    <col width="10.42578125" customWidth="1" style="162" min="10527" max="10527"/>
    <col width="10.28515625" customWidth="1" style="162" min="10528" max="10528"/>
    <col width="7.28515625" customWidth="1" style="162" min="10529" max="10529"/>
    <col hidden="1" style="162" min="10530" max="10531"/>
    <col width="9.140625" customWidth="1" style="162" min="10532" max="10758"/>
    <col width="1.7109375" customWidth="1" style="162" min="10759" max="10759"/>
    <col width="6.140625" customWidth="1" style="162" min="10760" max="10760"/>
    <col width="27.140625" customWidth="1" style="162" min="10761" max="10761"/>
    <col width="51.140625" customWidth="1" style="162" min="10762" max="10762"/>
    <col width="69.28515625" customWidth="1" style="162" min="10763" max="10763"/>
    <col width="40.7109375" customWidth="1" style="162" min="10764" max="10764"/>
    <col width="8.7109375" customWidth="1" style="162" min="10765" max="10765"/>
    <col width="32.140625" customWidth="1" style="162" min="10766" max="10766"/>
    <col width="35.7109375" customWidth="1" style="162" min="10767" max="10767"/>
    <col width="8.7109375" customWidth="1" style="162" min="10768" max="10768"/>
    <col width="28.140625" customWidth="1" style="162" min="10769" max="10769"/>
    <col width="27.5703125" customWidth="1" style="162" min="10770" max="10770"/>
    <col width="41.42578125" customWidth="1" style="162" min="10771" max="10771"/>
    <col width="39.140625" customWidth="1" style="162" min="10772" max="10772"/>
    <col width="27" customWidth="1" style="162" min="10773" max="10773"/>
    <col width="36.140625" customWidth="1" style="162" min="10774" max="10774"/>
    <col width="31.28515625" customWidth="1" style="162" min="10775" max="10775"/>
    <col width="44.140625" customWidth="1" style="162" min="10776" max="10776"/>
    <col width="42.5703125" customWidth="1" style="162" min="10777" max="10777"/>
    <col width="27.140625" customWidth="1" style="162" min="10778" max="10778"/>
    <col width="33.28515625" customWidth="1" style="162" min="10779" max="10779"/>
    <col width="27" customWidth="1" style="162" min="10780" max="10780"/>
    <col width="38.5703125" customWidth="1" style="162" min="10781" max="10781"/>
    <col width="23.85546875" customWidth="1" style="162" min="10782" max="10782"/>
    <col width="10.42578125" customWidth="1" style="162" min="10783" max="10783"/>
    <col width="10.28515625" customWidth="1" style="162" min="10784" max="10784"/>
    <col width="7.28515625" customWidth="1" style="162" min="10785" max="10785"/>
    <col hidden="1" style="162" min="10786" max="10787"/>
    <col width="9.140625" customWidth="1" style="162" min="10788" max="11014"/>
    <col width="1.7109375" customWidth="1" style="162" min="11015" max="11015"/>
    <col width="6.140625" customWidth="1" style="162" min="11016" max="11016"/>
    <col width="27.140625" customWidth="1" style="162" min="11017" max="11017"/>
    <col width="51.140625" customWidth="1" style="162" min="11018" max="11018"/>
    <col width="69.28515625" customWidth="1" style="162" min="11019" max="11019"/>
    <col width="40.7109375" customWidth="1" style="162" min="11020" max="11020"/>
    <col width="8.7109375" customWidth="1" style="162" min="11021" max="11021"/>
    <col width="32.140625" customWidth="1" style="162" min="11022" max="11022"/>
    <col width="35.7109375" customWidth="1" style="162" min="11023" max="11023"/>
    <col width="8.7109375" customWidth="1" style="162" min="11024" max="11024"/>
    <col width="28.140625" customWidth="1" style="162" min="11025" max="11025"/>
    <col width="27.5703125" customWidth="1" style="162" min="11026" max="11026"/>
    <col width="41.42578125" customWidth="1" style="162" min="11027" max="11027"/>
    <col width="39.140625" customWidth="1" style="162" min="11028" max="11028"/>
    <col width="27" customWidth="1" style="162" min="11029" max="11029"/>
    <col width="36.140625" customWidth="1" style="162" min="11030" max="11030"/>
    <col width="31.28515625" customWidth="1" style="162" min="11031" max="11031"/>
    <col width="44.140625" customWidth="1" style="162" min="11032" max="11032"/>
    <col width="42.5703125" customWidth="1" style="162" min="11033" max="11033"/>
    <col width="27.140625" customWidth="1" style="162" min="11034" max="11034"/>
    <col width="33.28515625" customWidth="1" style="162" min="11035" max="11035"/>
    <col width="27" customWidth="1" style="162" min="11036" max="11036"/>
    <col width="38.5703125" customWidth="1" style="162" min="11037" max="11037"/>
    <col width="23.85546875" customWidth="1" style="162" min="11038" max="11038"/>
    <col width="10.42578125" customWidth="1" style="162" min="11039" max="11039"/>
    <col width="10.28515625" customWidth="1" style="162" min="11040" max="11040"/>
    <col width="7.28515625" customWidth="1" style="162" min="11041" max="11041"/>
    <col hidden="1" style="162" min="11042" max="11043"/>
    <col width="9.140625" customWidth="1" style="162" min="11044" max="11270"/>
    <col width="1.7109375" customWidth="1" style="162" min="11271" max="11271"/>
    <col width="6.140625" customWidth="1" style="162" min="11272" max="11272"/>
    <col width="27.140625" customWidth="1" style="162" min="11273" max="11273"/>
    <col width="51.140625" customWidth="1" style="162" min="11274" max="11274"/>
    <col width="69.28515625" customWidth="1" style="162" min="11275" max="11275"/>
    <col width="40.7109375" customWidth="1" style="162" min="11276" max="11276"/>
    <col width="8.7109375" customWidth="1" style="162" min="11277" max="11277"/>
    <col width="32.140625" customWidth="1" style="162" min="11278" max="11278"/>
    <col width="35.7109375" customWidth="1" style="162" min="11279" max="11279"/>
    <col width="8.7109375" customWidth="1" style="162" min="11280" max="11280"/>
    <col width="28.140625" customWidth="1" style="162" min="11281" max="11281"/>
    <col width="27.5703125" customWidth="1" style="162" min="11282" max="11282"/>
    <col width="41.42578125" customWidth="1" style="162" min="11283" max="11283"/>
    <col width="39.140625" customWidth="1" style="162" min="11284" max="11284"/>
    <col width="27" customWidth="1" style="162" min="11285" max="11285"/>
    <col width="36.140625" customWidth="1" style="162" min="11286" max="11286"/>
    <col width="31.28515625" customWidth="1" style="162" min="11287" max="11287"/>
    <col width="44.140625" customWidth="1" style="162" min="11288" max="11288"/>
    <col width="42.5703125" customWidth="1" style="162" min="11289" max="11289"/>
    <col width="27.140625" customWidth="1" style="162" min="11290" max="11290"/>
    <col width="33.28515625" customWidth="1" style="162" min="11291" max="11291"/>
    <col width="27" customWidth="1" style="162" min="11292" max="11292"/>
    <col width="38.5703125" customWidth="1" style="162" min="11293" max="11293"/>
    <col width="23.85546875" customWidth="1" style="162" min="11294" max="11294"/>
    <col width="10.42578125" customWidth="1" style="162" min="11295" max="11295"/>
    <col width="10.28515625" customWidth="1" style="162" min="11296" max="11296"/>
    <col width="7.28515625" customWidth="1" style="162" min="11297" max="11297"/>
    <col hidden="1" style="162" min="11298" max="11299"/>
    <col width="9.140625" customWidth="1" style="162" min="11300" max="11526"/>
    <col width="1.7109375" customWidth="1" style="162" min="11527" max="11527"/>
    <col width="6.140625" customWidth="1" style="162" min="11528" max="11528"/>
    <col width="27.140625" customWidth="1" style="162" min="11529" max="11529"/>
    <col width="51.140625" customWidth="1" style="162" min="11530" max="11530"/>
    <col width="69.28515625" customWidth="1" style="162" min="11531" max="11531"/>
    <col width="40.7109375" customWidth="1" style="162" min="11532" max="11532"/>
    <col width="8.7109375" customWidth="1" style="162" min="11533" max="11533"/>
    <col width="32.140625" customWidth="1" style="162" min="11534" max="11534"/>
    <col width="35.7109375" customWidth="1" style="162" min="11535" max="11535"/>
    <col width="8.7109375" customWidth="1" style="162" min="11536" max="11536"/>
    <col width="28.140625" customWidth="1" style="162" min="11537" max="11537"/>
    <col width="27.5703125" customWidth="1" style="162" min="11538" max="11538"/>
    <col width="41.42578125" customWidth="1" style="162" min="11539" max="11539"/>
    <col width="39.140625" customWidth="1" style="162" min="11540" max="11540"/>
    <col width="27" customWidth="1" style="162" min="11541" max="11541"/>
    <col width="36.140625" customWidth="1" style="162" min="11542" max="11542"/>
    <col width="31.28515625" customWidth="1" style="162" min="11543" max="11543"/>
    <col width="44.140625" customWidth="1" style="162" min="11544" max="11544"/>
    <col width="42.5703125" customWidth="1" style="162" min="11545" max="11545"/>
    <col width="27.140625" customWidth="1" style="162" min="11546" max="11546"/>
    <col width="33.28515625" customWidth="1" style="162" min="11547" max="11547"/>
    <col width="27" customWidth="1" style="162" min="11548" max="11548"/>
    <col width="38.5703125" customWidth="1" style="162" min="11549" max="11549"/>
    <col width="23.85546875" customWidth="1" style="162" min="11550" max="11550"/>
    <col width="10.42578125" customWidth="1" style="162" min="11551" max="11551"/>
    <col width="10.28515625" customWidth="1" style="162" min="11552" max="11552"/>
    <col width="7.28515625" customWidth="1" style="162" min="11553" max="11553"/>
    <col hidden="1" style="162" min="11554" max="11555"/>
    <col width="9.140625" customWidth="1" style="162" min="11556" max="11782"/>
    <col width="1.7109375" customWidth="1" style="162" min="11783" max="11783"/>
    <col width="6.140625" customWidth="1" style="162" min="11784" max="11784"/>
    <col width="27.140625" customWidth="1" style="162" min="11785" max="11785"/>
    <col width="51.140625" customWidth="1" style="162" min="11786" max="11786"/>
    <col width="69.28515625" customWidth="1" style="162" min="11787" max="11787"/>
    <col width="40.7109375" customWidth="1" style="162" min="11788" max="11788"/>
    <col width="8.7109375" customWidth="1" style="162" min="11789" max="11789"/>
    <col width="32.140625" customWidth="1" style="162" min="11790" max="11790"/>
    <col width="35.7109375" customWidth="1" style="162" min="11791" max="11791"/>
    <col width="8.7109375" customWidth="1" style="162" min="11792" max="11792"/>
    <col width="28.140625" customWidth="1" style="162" min="11793" max="11793"/>
    <col width="27.5703125" customWidth="1" style="162" min="11794" max="11794"/>
    <col width="41.42578125" customWidth="1" style="162" min="11795" max="11795"/>
    <col width="39.140625" customWidth="1" style="162" min="11796" max="11796"/>
    <col width="27" customWidth="1" style="162" min="11797" max="11797"/>
    <col width="36.140625" customWidth="1" style="162" min="11798" max="11798"/>
    <col width="31.28515625" customWidth="1" style="162" min="11799" max="11799"/>
    <col width="44.140625" customWidth="1" style="162" min="11800" max="11800"/>
    <col width="42.5703125" customWidth="1" style="162" min="11801" max="11801"/>
    <col width="27.140625" customWidth="1" style="162" min="11802" max="11802"/>
    <col width="33.28515625" customWidth="1" style="162" min="11803" max="11803"/>
    <col width="27" customWidth="1" style="162" min="11804" max="11804"/>
    <col width="38.5703125" customWidth="1" style="162" min="11805" max="11805"/>
    <col width="23.85546875" customWidth="1" style="162" min="11806" max="11806"/>
    <col width="10.42578125" customWidth="1" style="162" min="11807" max="11807"/>
    <col width="10.28515625" customWidth="1" style="162" min="11808" max="11808"/>
    <col width="7.28515625" customWidth="1" style="162" min="11809" max="11809"/>
    <col hidden="1" style="162" min="11810" max="11811"/>
    <col width="9.140625" customWidth="1" style="162" min="11812" max="12038"/>
    <col width="1.7109375" customWidth="1" style="162" min="12039" max="12039"/>
    <col width="6.140625" customWidth="1" style="162" min="12040" max="12040"/>
    <col width="27.140625" customWidth="1" style="162" min="12041" max="12041"/>
    <col width="51.140625" customWidth="1" style="162" min="12042" max="12042"/>
    <col width="69.28515625" customWidth="1" style="162" min="12043" max="12043"/>
    <col width="40.7109375" customWidth="1" style="162" min="12044" max="12044"/>
    <col width="8.7109375" customWidth="1" style="162" min="12045" max="12045"/>
    <col width="32.140625" customWidth="1" style="162" min="12046" max="12046"/>
    <col width="35.7109375" customWidth="1" style="162" min="12047" max="12047"/>
    <col width="8.7109375" customWidth="1" style="162" min="12048" max="12048"/>
    <col width="28.140625" customWidth="1" style="162" min="12049" max="12049"/>
    <col width="27.5703125" customWidth="1" style="162" min="12050" max="12050"/>
    <col width="41.42578125" customWidth="1" style="162" min="12051" max="12051"/>
    <col width="39.140625" customWidth="1" style="162" min="12052" max="12052"/>
    <col width="27" customWidth="1" style="162" min="12053" max="12053"/>
    <col width="36.140625" customWidth="1" style="162" min="12054" max="12054"/>
    <col width="31.28515625" customWidth="1" style="162" min="12055" max="12055"/>
    <col width="44.140625" customWidth="1" style="162" min="12056" max="12056"/>
    <col width="42.5703125" customWidth="1" style="162" min="12057" max="12057"/>
    <col width="27.140625" customWidth="1" style="162" min="12058" max="12058"/>
    <col width="33.28515625" customWidth="1" style="162" min="12059" max="12059"/>
    <col width="27" customWidth="1" style="162" min="12060" max="12060"/>
    <col width="38.5703125" customWidth="1" style="162" min="12061" max="12061"/>
    <col width="23.85546875" customWidth="1" style="162" min="12062" max="12062"/>
    <col width="10.42578125" customWidth="1" style="162" min="12063" max="12063"/>
    <col width="10.28515625" customWidth="1" style="162" min="12064" max="12064"/>
    <col width="7.28515625" customWidth="1" style="162" min="12065" max="12065"/>
    <col hidden="1" style="162" min="12066" max="12067"/>
    <col width="9.140625" customWidth="1" style="162" min="12068" max="12294"/>
    <col width="1.7109375" customWidth="1" style="162" min="12295" max="12295"/>
    <col width="6.140625" customWidth="1" style="162" min="12296" max="12296"/>
    <col width="27.140625" customWidth="1" style="162" min="12297" max="12297"/>
    <col width="51.140625" customWidth="1" style="162" min="12298" max="12298"/>
    <col width="69.28515625" customWidth="1" style="162" min="12299" max="12299"/>
    <col width="40.7109375" customWidth="1" style="162" min="12300" max="12300"/>
    <col width="8.7109375" customWidth="1" style="162" min="12301" max="12301"/>
    <col width="32.140625" customWidth="1" style="162" min="12302" max="12302"/>
    <col width="35.7109375" customWidth="1" style="162" min="12303" max="12303"/>
    <col width="8.7109375" customWidth="1" style="162" min="12304" max="12304"/>
    <col width="28.140625" customWidth="1" style="162" min="12305" max="12305"/>
    <col width="27.5703125" customWidth="1" style="162" min="12306" max="12306"/>
    <col width="41.42578125" customWidth="1" style="162" min="12307" max="12307"/>
    <col width="39.140625" customWidth="1" style="162" min="12308" max="12308"/>
    <col width="27" customWidth="1" style="162" min="12309" max="12309"/>
    <col width="36.140625" customWidth="1" style="162" min="12310" max="12310"/>
    <col width="31.28515625" customWidth="1" style="162" min="12311" max="12311"/>
    <col width="44.140625" customWidth="1" style="162" min="12312" max="12312"/>
    <col width="42.5703125" customWidth="1" style="162" min="12313" max="12313"/>
    <col width="27.140625" customWidth="1" style="162" min="12314" max="12314"/>
    <col width="33.28515625" customWidth="1" style="162" min="12315" max="12315"/>
    <col width="27" customWidth="1" style="162" min="12316" max="12316"/>
    <col width="38.5703125" customWidth="1" style="162" min="12317" max="12317"/>
    <col width="23.85546875" customWidth="1" style="162" min="12318" max="12318"/>
    <col width="10.42578125" customWidth="1" style="162" min="12319" max="12319"/>
    <col width="10.28515625" customWidth="1" style="162" min="12320" max="12320"/>
    <col width="7.28515625" customWidth="1" style="162" min="12321" max="12321"/>
    <col hidden="1" style="162" min="12322" max="12323"/>
    <col width="9.140625" customWidth="1" style="162" min="12324" max="12550"/>
    <col width="1.7109375" customWidth="1" style="162" min="12551" max="12551"/>
    <col width="6.140625" customWidth="1" style="162" min="12552" max="12552"/>
    <col width="27.140625" customWidth="1" style="162" min="12553" max="12553"/>
    <col width="51.140625" customWidth="1" style="162" min="12554" max="12554"/>
    <col width="69.28515625" customWidth="1" style="162" min="12555" max="12555"/>
    <col width="40.7109375" customWidth="1" style="162" min="12556" max="12556"/>
    <col width="8.7109375" customWidth="1" style="162" min="12557" max="12557"/>
    <col width="32.140625" customWidth="1" style="162" min="12558" max="12558"/>
    <col width="35.7109375" customWidth="1" style="162" min="12559" max="12559"/>
    <col width="8.7109375" customWidth="1" style="162" min="12560" max="12560"/>
    <col width="28.140625" customWidth="1" style="162" min="12561" max="12561"/>
    <col width="27.5703125" customWidth="1" style="162" min="12562" max="12562"/>
    <col width="41.42578125" customWidth="1" style="162" min="12563" max="12563"/>
    <col width="39.140625" customWidth="1" style="162" min="12564" max="12564"/>
    <col width="27" customWidth="1" style="162" min="12565" max="12565"/>
    <col width="36.140625" customWidth="1" style="162" min="12566" max="12566"/>
    <col width="31.28515625" customWidth="1" style="162" min="12567" max="12567"/>
    <col width="44.140625" customWidth="1" style="162" min="12568" max="12568"/>
    <col width="42.5703125" customWidth="1" style="162" min="12569" max="12569"/>
    <col width="27.140625" customWidth="1" style="162" min="12570" max="12570"/>
    <col width="33.28515625" customWidth="1" style="162" min="12571" max="12571"/>
    <col width="27" customWidth="1" style="162" min="12572" max="12572"/>
    <col width="38.5703125" customWidth="1" style="162" min="12573" max="12573"/>
    <col width="23.85546875" customWidth="1" style="162" min="12574" max="12574"/>
    <col width="10.42578125" customWidth="1" style="162" min="12575" max="12575"/>
    <col width="10.28515625" customWidth="1" style="162" min="12576" max="12576"/>
    <col width="7.28515625" customWidth="1" style="162" min="12577" max="12577"/>
    <col hidden="1" style="162" min="12578" max="12579"/>
    <col width="9.140625" customWidth="1" style="162" min="12580" max="12806"/>
    <col width="1.7109375" customWidth="1" style="162" min="12807" max="12807"/>
    <col width="6.140625" customWidth="1" style="162" min="12808" max="12808"/>
    <col width="27.140625" customWidth="1" style="162" min="12809" max="12809"/>
    <col width="51.140625" customWidth="1" style="162" min="12810" max="12810"/>
    <col width="69.28515625" customWidth="1" style="162" min="12811" max="12811"/>
    <col width="40.7109375" customWidth="1" style="162" min="12812" max="12812"/>
    <col width="8.7109375" customWidth="1" style="162" min="12813" max="12813"/>
    <col width="32.140625" customWidth="1" style="162" min="12814" max="12814"/>
    <col width="35.7109375" customWidth="1" style="162" min="12815" max="12815"/>
    <col width="8.7109375" customWidth="1" style="162" min="12816" max="12816"/>
    <col width="28.140625" customWidth="1" style="162" min="12817" max="12817"/>
    <col width="27.5703125" customWidth="1" style="162" min="12818" max="12818"/>
    <col width="41.42578125" customWidth="1" style="162" min="12819" max="12819"/>
    <col width="39.140625" customWidth="1" style="162" min="12820" max="12820"/>
    <col width="27" customWidth="1" style="162" min="12821" max="12821"/>
    <col width="36.140625" customWidth="1" style="162" min="12822" max="12822"/>
    <col width="31.28515625" customWidth="1" style="162" min="12823" max="12823"/>
    <col width="44.140625" customWidth="1" style="162" min="12824" max="12824"/>
    <col width="42.5703125" customWidth="1" style="162" min="12825" max="12825"/>
    <col width="27.140625" customWidth="1" style="162" min="12826" max="12826"/>
    <col width="33.28515625" customWidth="1" style="162" min="12827" max="12827"/>
    <col width="27" customWidth="1" style="162" min="12828" max="12828"/>
    <col width="38.5703125" customWidth="1" style="162" min="12829" max="12829"/>
    <col width="23.85546875" customWidth="1" style="162" min="12830" max="12830"/>
    <col width="10.42578125" customWidth="1" style="162" min="12831" max="12831"/>
    <col width="10.28515625" customWidth="1" style="162" min="12832" max="12832"/>
    <col width="7.28515625" customWidth="1" style="162" min="12833" max="12833"/>
    <col hidden="1" style="162" min="12834" max="12835"/>
    <col width="9.140625" customWidth="1" style="162" min="12836" max="13062"/>
    <col width="1.7109375" customWidth="1" style="162" min="13063" max="13063"/>
    <col width="6.140625" customWidth="1" style="162" min="13064" max="13064"/>
    <col width="27.140625" customWidth="1" style="162" min="13065" max="13065"/>
    <col width="51.140625" customWidth="1" style="162" min="13066" max="13066"/>
    <col width="69.28515625" customWidth="1" style="162" min="13067" max="13067"/>
    <col width="40.7109375" customWidth="1" style="162" min="13068" max="13068"/>
    <col width="8.7109375" customWidth="1" style="162" min="13069" max="13069"/>
    <col width="32.140625" customWidth="1" style="162" min="13070" max="13070"/>
    <col width="35.7109375" customWidth="1" style="162" min="13071" max="13071"/>
    <col width="8.7109375" customWidth="1" style="162" min="13072" max="13072"/>
    <col width="28.140625" customWidth="1" style="162" min="13073" max="13073"/>
    <col width="27.5703125" customWidth="1" style="162" min="13074" max="13074"/>
    <col width="41.42578125" customWidth="1" style="162" min="13075" max="13075"/>
    <col width="39.140625" customWidth="1" style="162" min="13076" max="13076"/>
    <col width="27" customWidth="1" style="162" min="13077" max="13077"/>
    <col width="36.140625" customWidth="1" style="162" min="13078" max="13078"/>
    <col width="31.28515625" customWidth="1" style="162" min="13079" max="13079"/>
    <col width="44.140625" customWidth="1" style="162" min="13080" max="13080"/>
    <col width="42.5703125" customWidth="1" style="162" min="13081" max="13081"/>
    <col width="27.140625" customWidth="1" style="162" min="13082" max="13082"/>
    <col width="33.28515625" customWidth="1" style="162" min="13083" max="13083"/>
    <col width="27" customWidth="1" style="162" min="13084" max="13084"/>
    <col width="38.5703125" customWidth="1" style="162" min="13085" max="13085"/>
    <col width="23.85546875" customWidth="1" style="162" min="13086" max="13086"/>
    <col width="10.42578125" customWidth="1" style="162" min="13087" max="13087"/>
    <col width="10.28515625" customWidth="1" style="162" min="13088" max="13088"/>
    <col width="7.28515625" customWidth="1" style="162" min="13089" max="13089"/>
    <col hidden="1" style="162" min="13090" max="13091"/>
    <col width="9.140625" customWidth="1" style="162" min="13092" max="13318"/>
    <col width="1.7109375" customWidth="1" style="162" min="13319" max="13319"/>
    <col width="6.140625" customWidth="1" style="162" min="13320" max="13320"/>
    <col width="27.140625" customWidth="1" style="162" min="13321" max="13321"/>
    <col width="51.140625" customWidth="1" style="162" min="13322" max="13322"/>
    <col width="69.28515625" customWidth="1" style="162" min="13323" max="13323"/>
    <col width="40.7109375" customWidth="1" style="162" min="13324" max="13324"/>
    <col width="8.7109375" customWidth="1" style="162" min="13325" max="13325"/>
    <col width="32.140625" customWidth="1" style="162" min="13326" max="13326"/>
    <col width="35.7109375" customWidth="1" style="162" min="13327" max="13327"/>
    <col width="8.7109375" customWidth="1" style="162" min="13328" max="13328"/>
    <col width="28.140625" customWidth="1" style="162" min="13329" max="13329"/>
    <col width="27.5703125" customWidth="1" style="162" min="13330" max="13330"/>
    <col width="41.42578125" customWidth="1" style="162" min="13331" max="13331"/>
    <col width="39.140625" customWidth="1" style="162" min="13332" max="13332"/>
    <col width="27" customWidth="1" style="162" min="13333" max="13333"/>
    <col width="36.140625" customWidth="1" style="162" min="13334" max="13334"/>
    <col width="31.28515625" customWidth="1" style="162" min="13335" max="13335"/>
    <col width="44.140625" customWidth="1" style="162" min="13336" max="13336"/>
    <col width="42.5703125" customWidth="1" style="162" min="13337" max="13337"/>
    <col width="27.140625" customWidth="1" style="162" min="13338" max="13338"/>
    <col width="33.28515625" customWidth="1" style="162" min="13339" max="13339"/>
    <col width="27" customWidth="1" style="162" min="13340" max="13340"/>
    <col width="38.5703125" customWidth="1" style="162" min="13341" max="13341"/>
    <col width="23.85546875" customWidth="1" style="162" min="13342" max="13342"/>
    <col width="10.42578125" customWidth="1" style="162" min="13343" max="13343"/>
    <col width="10.28515625" customWidth="1" style="162" min="13344" max="13344"/>
    <col width="7.28515625" customWidth="1" style="162" min="13345" max="13345"/>
    <col hidden="1" style="162" min="13346" max="13347"/>
    <col width="9.140625" customWidth="1" style="162" min="13348" max="13574"/>
    <col width="1.7109375" customWidth="1" style="162" min="13575" max="13575"/>
    <col width="6.140625" customWidth="1" style="162" min="13576" max="13576"/>
    <col width="27.140625" customWidth="1" style="162" min="13577" max="13577"/>
    <col width="51.140625" customWidth="1" style="162" min="13578" max="13578"/>
    <col width="69.28515625" customWidth="1" style="162" min="13579" max="13579"/>
    <col width="40.7109375" customWidth="1" style="162" min="13580" max="13580"/>
    <col width="8.7109375" customWidth="1" style="162" min="13581" max="13581"/>
    <col width="32.140625" customWidth="1" style="162" min="13582" max="13582"/>
    <col width="35.7109375" customWidth="1" style="162" min="13583" max="13583"/>
    <col width="8.7109375" customWidth="1" style="162" min="13584" max="13584"/>
    <col width="28.140625" customWidth="1" style="162" min="13585" max="13585"/>
    <col width="27.5703125" customWidth="1" style="162" min="13586" max="13586"/>
    <col width="41.42578125" customWidth="1" style="162" min="13587" max="13587"/>
    <col width="39.140625" customWidth="1" style="162" min="13588" max="13588"/>
    <col width="27" customWidth="1" style="162" min="13589" max="13589"/>
    <col width="36.140625" customWidth="1" style="162" min="13590" max="13590"/>
    <col width="31.28515625" customWidth="1" style="162" min="13591" max="13591"/>
    <col width="44.140625" customWidth="1" style="162" min="13592" max="13592"/>
    <col width="42.5703125" customWidth="1" style="162" min="13593" max="13593"/>
    <col width="27.140625" customWidth="1" style="162" min="13594" max="13594"/>
    <col width="33.28515625" customWidth="1" style="162" min="13595" max="13595"/>
    <col width="27" customWidth="1" style="162" min="13596" max="13596"/>
    <col width="38.5703125" customWidth="1" style="162" min="13597" max="13597"/>
    <col width="23.85546875" customWidth="1" style="162" min="13598" max="13598"/>
    <col width="10.42578125" customWidth="1" style="162" min="13599" max="13599"/>
    <col width="10.28515625" customWidth="1" style="162" min="13600" max="13600"/>
    <col width="7.28515625" customWidth="1" style="162" min="13601" max="13601"/>
    <col hidden="1" style="162" min="13602" max="13603"/>
    <col width="9.140625" customWidth="1" style="162" min="13604" max="13830"/>
    <col width="1.7109375" customWidth="1" style="162" min="13831" max="13831"/>
    <col width="6.140625" customWidth="1" style="162" min="13832" max="13832"/>
    <col width="27.140625" customWidth="1" style="162" min="13833" max="13833"/>
    <col width="51.140625" customWidth="1" style="162" min="13834" max="13834"/>
    <col width="69.28515625" customWidth="1" style="162" min="13835" max="13835"/>
    <col width="40.7109375" customWidth="1" style="162" min="13836" max="13836"/>
    <col width="8.7109375" customWidth="1" style="162" min="13837" max="13837"/>
    <col width="32.140625" customWidth="1" style="162" min="13838" max="13838"/>
    <col width="35.7109375" customWidth="1" style="162" min="13839" max="13839"/>
    <col width="8.7109375" customWidth="1" style="162" min="13840" max="13840"/>
    <col width="28.140625" customWidth="1" style="162" min="13841" max="13841"/>
    <col width="27.5703125" customWidth="1" style="162" min="13842" max="13842"/>
    <col width="41.42578125" customWidth="1" style="162" min="13843" max="13843"/>
    <col width="39.140625" customWidth="1" style="162" min="13844" max="13844"/>
    <col width="27" customWidth="1" style="162" min="13845" max="13845"/>
    <col width="36.140625" customWidth="1" style="162" min="13846" max="13846"/>
    <col width="31.28515625" customWidth="1" style="162" min="13847" max="13847"/>
    <col width="44.140625" customWidth="1" style="162" min="13848" max="13848"/>
    <col width="42.5703125" customWidth="1" style="162" min="13849" max="13849"/>
    <col width="27.140625" customWidth="1" style="162" min="13850" max="13850"/>
    <col width="33.28515625" customWidth="1" style="162" min="13851" max="13851"/>
    <col width="27" customWidth="1" style="162" min="13852" max="13852"/>
    <col width="38.5703125" customWidth="1" style="162" min="13853" max="13853"/>
    <col width="23.85546875" customWidth="1" style="162" min="13854" max="13854"/>
    <col width="10.42578125" customWidth="1" style="162" min="13855" max="13855"/>
    <col width="10.28515625" customWidth="1" style="162" min="13856" max="13856"/>
    <col width="7.28515625" customWidth="1" style="162" min="13857" max="13857"/>
    <col hidden="1" style="162" min="13858" max="13859"/>
    <col width="9.140625" customWidth="1" style="162" min="13860" max="14086"/>
    <col width="1.7109375" customWidth="1" style="162" min="14087" max="14087"/>
    <col width="6.140625" customWidth="1" style="162" min="14088" max="14088"/>
    <col width="27.140625" customWidth="1" style="162" min="14089" max="14089"/>
    <col width="51.140625" customWidth="1" style="162" min="14090" max="14090"/>
    <col width="69.28515625" customWidth="1" style="162" min="14091" max="14091"/>
    <col width="40.7109375" customWidth="1" style="162" min="14092" max="14092"/>
    <col width="8.7109375" customWidth="1" style="162" min="14093" max="14093"/>
    <col width="32.140625" customWidth="1" style="162" min="14094" max="14094"/>
    <col width="35.7109375" customWidth="1" style="162" min="14095" max="14095"/>
    <col width="8.7109375" customWidth="1" style="162" min="14096" max="14096"/>
    <col width="28.140625" customWidth="1" style="162" min="14097" max="14097"/>
    <col width="27.5703125" customWidth="1" style="162" min="14098" max="14098"/>
    <col width="41.42578125" customWidth="1" style="162" min="14099" max="14099"/>
    <col width="39.140625" customWidth="1" style="162" min="14100" max="14100"/>
    <col width="27" customWidth="1" style="162" min="14101" max="14101"/>
    <col width="36.140625" customWidth="1" style="162" min="14102" max="14102"/>
    <col width="31.28515625" customWidth="1" style="162" min="14103" max="14103"/>
    <col width="44.140625" customWidth="1" style="162" min="14104" max="14104"/>
    <col width="42.5703125" customWidth="1" style="162" min="14105" max="14105"/>
    <col width="27.140625" customWidth="1" style="162" min="14106" max="14106"/>
    <col width="33.28515625" customWidth="1" style="162" min="14107" max="14107"/>
    <col width="27" customWidth="1" style="162" min="14108" max="14108"/>
    <col width="38.5703125" customWidth="1" style="162" min="14109" max="14109"/>
    <col width="23.85546875" customWidth="1" style="162" min="14110" max="14110"/>
    <col width="10.42578125" customWidth="1" style="162" min="14111" max="14111"/>
    <col width="10.28515625" customWidth="1" style="162" min="14112" max="14112"/>
    <col width="7.28515625" customWidth="1" style="162" min="14113" max="14113"/>
    <col hidden="1" style="162" min="14114" max="14115"/>
    <col width="9.140625" customWidth="1" style="162" min="14116" max="14342"/>
    <col width="1.7109375" customWidth="1" style="162" min="14343" max="14343"/>
    <col width="6.140625" customWidth="1" style="162" min="14344" max="14344"/>
    <col width="27.140625" customWidth="1" style="162" min="14345" max="14345"/>
    <col width="51.140625" customWidth="1" style="162" min="14346" max="14346"/>
    <col width="69.28515625" customWidth="1" style="162" min="14347" max="14347"/>
    <col width="40.7109375" customWidth="1" style="162" min="14348" max="14348"/>
    <col width="8.7109375" customWidth="1" style="162" min="14349" max="14349"/>
    <col width="32.140625" customWidth="1" style="162" min="14350" max="14350"/>
    <col width="35.7109375" customWidth="1" style="162" min="14351" max="14351"/>
    <col width="8.7109375" customWidth="1" style="162" min="14352" max="14352"/>
    <col width="28.140625" customWidth="1" style="162" min="14353" max="14353"/>
    <col width="27.5703125" customWidth="1" style="162" min="14354" max="14354"/>
    <col width="41.42578125" customWidth="1" style="162" min="14355" max="14355"/>
    <col width="39.140625" customWidth="1" style="162" min="14356" max="14356"/>
    <col width="27" customWidth="1" style="162" min="14357" max="14357"/>
    <col width="36.140625" customWidth="1" style="162" min="14358" max="14358"/>
    <col width="31.28515625" customWidth="1" style="162" min="14359" max="14359"/>
    <col width="44.140625" customWidth="1" style="162" min="14360" max="14360"/>
    <col width="42.5703125" customWidth="1" style="162" min="14361" max="14361"/>
    <col width="27.140625" customWidth="1" style="162" min="14362" max="14362"/>
    <col width="33.28515625" customWidth="1" style="162" min="14363" max="14363"/>
    <col width="27" customWidth="1" style="162" min="14364" max="14364"/>
    <col width="38.5703125" customWidth="1" style="162" min="14365" max="14365"/>
    <col width="23.85546875" customWidth="1" style="162" min="14366" max="14366"/>
    <col width="10.42578125" customWidth="1" style="162" min="14367" max="14367"/>
    <col width="10.28515625" customWidth="1" style="162" min="14368" max="14368"/>
    <col width="7.28515625" customWidth="1" style="162" min="14369" max="14369"/>
    <col hidden="1" style="162" min="14370" max="14371"/>
    <col width="9.140625" customWidth="1" style="162" min="14372" max="14598"/>
    <col width="1.7109375" customWidth="1" style="162" min="14599" max="14599"/>
    <col width="6.140625" customWidth="1" style="162" min="14600" max="14600"/>
    <col width="27.140625" customWidth="1" style="162" min="14601" max="14601"/>
    <col width="51.140625" customWidth="1" style="162" min="14602" max="14602"/>
    <col width="69.28515625" customWidth="1" style="162" min="14603" max="14603"/>
    <col width="40.7109375" customWidth="1" style="162" min="14604" max="14604"/>
    <col width="8.7109375" customWidth="1" style="162" min="14605" max="14605"/>
    <col width="32.140625" customWidth="1" style="162" min="14606" max="14606"/>
    <col width="35.7109375" customWidth="1" style="162" min="14607" max="14607"/>
    <col width="8.7109375" customWidth="1" style="162" min="14608" max="14608"/>
    <col width="28.140625" customWidth="1" style="162" min="14609" max="14609"/>
    <col width="27.5703125" customWidth="1" style="162" min="14610" max="14610"/>
    <col width="41.42578125" customWidth="1" style="162" min="14611" max="14611"/>
    <col width="39.140625" customWidth="1" style="162" min="14612" max="14612"/>
    <col width="27" customWidth="1" style="162" min="14613" max="14613"/>
    <col width="36.140625" customWidth="1" style="162" min="14614" max="14614"/>
    <col width="31.28515625" customWidth="1" style="162" min="14615" max="14615"/>
    <col width="44.140625" customWidth="1" style="162" min="14616" max="14616"/>
    <col width="42.5703125" customWidth="1" style="162" min="14617" max="14617"/>
    <col width="27.140625" customWidth="1" style="162" min="14618" max="14618"/>
    <col width="33.28515625" customWidth="1" style="162" min="14619" max="14619"/>
    <col width="27" customWidth="1" style="162" min="14620" max="14620"/>
    <col width="38.5703125" customWidth="1" style="162" min="14621" max="14621"/>
    <col width="23.85546875" customWidth="1" style="162" min="14622" max="14622"/>
    <col width="10.42578125" customWidth="1" style="162" min="14623" max="14623"/>
    <col width="10.28515625" customWidth="1" style="162" min="14624" max="14624"/>
    <col width="7.28515625" customWidth="1" style="162" min="14625" max="14625"/>
    <col hidden="1" style="162" min="14626" max="14627"/>
    <col width="9.140625" customWidth="1" style="162" min="14628" max="14854"/>
    <col width="1.7109375" customWidth="1" style="162" min="14855" max="14855"/>
    <col width="6.140625" customWidth="1" style="162" min="14856" max="14856"/>
    <col width="27.140625" customWidth="1" style="162" min="14857" max="14857"/>
    <col width="51.140625" customWidth="1" style="162" min="14858" max="14858"/>
    <col width="69.28515625" customWidth="1" style="162" min="14859" max="14859"/>
    <col width="40.7109375" customWidth="1" style="162" min="14860" max="14860"/>
    <col width="8.7109375" customWidth="1" style="162" min="14861" max="14861"/>
    <col width="32.140625" customWidth="1" style="162" min="14862" max="14862"/>
    <col width="35.7109375" customWidth="1" style="162" min="14863" max="14863"/>
    <col width="8.7109375" customWidth="1" style="162" min="14864" max="14864"/>
    <col width="28.140625" customWidth="1" style="162" min="14865" max="14865"/>
    <col width="27.5703125" customWidth="1" style="162" min="14866" max="14866"/>
    <col width="41.42578125" customWidth="1" style="162" min="14867" max="14867"/>
    <col width="39.140625" customWidth="1" style="162" min="14868" max="14868"/>
    <col width="27" customWidth="1" style="162" min="14869" max="14869"/>
    <col width="36.140625" customWidth="1" style="162" min="14870" max="14870"/>
    <col width="31.28515625" customWidth="1" style="162" min="14871" max="14871"/>
    <col width="44.140625" customWidth="1" style="162" min="14872" max="14872"/>
    <col width="42.5703125" customWidth="1" style="162" min="14873" max="14873"/>
    <col width="27.140625" customWidth="1" style="162" min="14874" max="14874"/>
    <col width="33.28515625" customWidth="1" style="162" min="14875" max="14875"/>
    <col width="27" customWidth="1" style="162" min="14876" max="14876"/>
    <col width="38.5703125" customWidth="1" style="162" min="14877" max="14877"/>
    <col width="23.85546875" customWidth="1" style="162" min="14878" max="14878"/>
    <col width="10.42578125" customWidth="1" style="162" min="14879" max="14879"/>
    <col width="10.28515625" customWidth="1" style="162" min="14880" max="14880"/>
    <col width="7.28515625" customWidth="1" style="162" min="14881" max="14881"/>
    <col hidden="1" style="162" min="14882" max="14883"/>
    <col width="9.140625" customWidth="1" style="162" min="14884" max="15110"/>
    <col width="1.7109375" customWidth="1" style="162" min="15111" max="15111"/>
    <col width="6.140625" customWidth="1" style="162" min="15112" max="15112"/>
    <col width="27.140625" customWidth="1" style="162" min="15113" max="15113"/>
    <col width="51.140625" customWidth="1" style="162" min="15114" max="15114"/>
    <col width="69.28515625" customWidth="1" style="162" min="15115" max="15115"/>
    <col width="40.7109375" customWidth="1" style="162" min="15116" max="15116"/>
    <col width="8.7109375" customWidth="1" style="162" min="15117" max="15117"/>
    <col width="32.140625" customWidth="1" style="162" min="15118" max="15118"/>
    <col width="35.7109375" customWidth="1" style="162" min="15119" max="15119"/>
    <col width="8.7109375" customWidth="1" style="162" min="15120" max="15120"/>
    <col width="28.140625" customWidth="1" style="162" min="15121" max="15121"/>
    <col width="27.5703125" customWidth="1" style="162" min="15122" max="15122"/>
    <col width="41.42578125" customWidth="1" style="162" min="15123" max="15123"/>
    <col width="39.140625" customWidth="1" style="162" min="15124" max="15124"/>
    <col width="27" customWidth="1" style="162" min="15125" max="15125"/>
    <col width="36.140625" customWidth="1" style="162" min="15126" max="15126"/>
    <col width="31.28515625" customWidth="1" style="162" min="15127" max="15127"/>
    <col width="44.140625" customWidth="1" style="162" min="15128" max="15128"/>
    <col width="42.5703125" customWidth="1" style="162" min="15129" max="15129"/>
    <col width="27.140625" customWidth="1" style="162" min="15130" max="15130"/>
    <col width="33.28515625" customWidth="1" style="162" min="15131" max="15131"/>
    <col width="27" customWidth="1" style="162" min="15132" max="15132"/>
    <col width="38.5703125" customWidth="1" style="162" min="15133" max="15133"/>
    <col width="23.85546875" customWidth="1" style="162" min="15134" max="15134"/>
    <col width="10.42578125" customWidth="1" style="162" min="15135" max="15135"/>
    <col width="10.28515625" customWidth="1" style="162" min="15136" max="15136"/>
    <col width="7.28515625" customWidth="1" style="162" min="15137" max="15137"/>
    <col hidden="1" style="162" min="15138" max="15139"/>
    <col width="9.140625" customWidth="1" style="162" min="15140" max="15366"/>
    <col width="1.7109375" customWidth="1" style="162" min="15367" max="15367"/>
    <col width="6.140625" customWidth="1" style="162" min="15368" max="15368"/>
    <col width="27.140625" customWidth="1" style="162" min="15369" max="15369"/>
    <col width="51.140625" customWidth="1" style="162" min="15370" max="15370"/>
    <col width="69.28515625" customWidth="1" style="162" min="15371" max="15371"/>
    <col width="40.7109375" customWidth="1" style="162" min="15372" max="15372"/>
    <col width="8.7109375" customWidth="1" style="162" min="15373" max="15373"/>
    <col width="32.140625" customWidth="1" style="162" min="15374" max="15374"/>
    <col width="35.7109375" customWidth="1" style="162" min="15375" max="15375"/>
    <col width="8.7109375" customWidth="1" style="162" min="15376" max="15376"/>
    <col width="28.140625" customWidth="1" style="162" min="15377" max="15377"/>
    <col width="27.5703125" customWidth="1" style="162" min="15378" max="15378"/>
    <col width="41.42578125" customWidth="1" style="162" min="15379" max="15379"/>
    <col width="39.140625" customWidth="1" style="162" min="15380" max="15380"/>
    <col width="27" customWidth="1" style="162" min="15381" max="15381"/>
    <col width="36.140625" customWidth="1" style="162" min="15382" max="15382"/>
    <col width="31.28515625" customWidth="1" style="162" min="15383" max="15383"/>
    <col width="44.140625" customWidth="1" style="162" min="15384" max="15384"/>
    <col width="42.5703125" customWidth="1" style="162" min="15385" max="15385"/>
    <col width="27.140625" customWidth="1" style="162" min="15386" max="15386"/>
    <col width="33.28515625" customWidth="1" style="162" min="15387" max="15387"/>
    <col width="27" customWidth="1" style="162" min="15388" max="15388"/>
    <col width="38.5703125" customWidth="1" style="162" min="15389" max="15389"/>
    <col width="23.85546875" customWidth="1" style="162" min="15390" max="15390"/>
    <col width="10.42578125" customWidth="1" style="162" min="15391" max="15391"/>
    <col width="10.28515625" customWidth="1" style="162" min="15392" max="15392"/>
    <col width="7.28515625" customWidth="1" style="162" min="15393" max="15393"/>
    <col hidden="1" style="162" min="15394" max="15395"/>
    <col width="9.140625" customWidth="1" style="162" min="15396" max="15622"/>
    <col width="1.7109375" customWidth="1" style="162" min="15623" max="15623"/>
    <col width="6.140625" customWidth="1" style="162" min="15624" max="15624"/>
    <col width="27.140625" customWidth="1" style="162" min="15625" max="15625"/>
    <col width="51.140625" customWidth="1" style="162" min="15626" max="15626"/>
    <col width="69.28515625" customWidth="1" style="162" min="15627" max="15627"/>
    <col width="40.7109375" customWidth="1" style="162" min="15628" max="15628"/>
    <col width="8.7109375" customWidth="1" style="162" min="15629" max="15629"/>
    <col width="32.140625" customWidth="1" style="162" min="15630" max="15630"/>
    <col width="35.7109375" customWidth="1" style="162" min="15631" max="15631"/>
    <col width="8.7109375" customWidth="1" style="162" min="15632" max="15632"/>
    <col width="28.140625" customWidth="1" style="162" min="15633" max="15633"/>
    <col width="27.5703125" customWidth="1" style="162" min="15634" max="15634"/>
    <col width="41.42578125" customWidth="1" style="162" min="15635" max="15635"/>
    <col width="39.140625" customWidth="1" style="162" min="15636" max="15636"/>
    <col width="27" customWidth="1" style="162" min="15637" max="15637"/>
    <col width="36.140625" customWidth="1" style="162" min="15638" max="15638"/>
    <col width="31.28515625" customWidth="1" style="162" min="15639" max="15639"/>
    <col width="44.140625" customWidth="1" style="162" min="15640" max="15640"/>
    <col width="42.5703125" customWidth="1" style="162" min="15641" max="15641"/>
    <col width="27.140625" customWidth="1" style="162" min="15642" max="15642"/>
    <col width="33.28515625" customWidth="1" style="162" min="15643" max="15643"/>
    <col width="27" customWidth="1" style="162" min="15644" max="15644"/>
    <col width="38.5703125" customWidth="1" style="162" min="15645" max="15645"/>
    <col width="23.85546875" customWidth="1" style="162" min="15646" max="15646"/>
    <col width="10.42578125" customWidth="1" style="162" min="15647" max="15647"/>
    <col width="10.28515625" customWidth="1" style="162" min="15648" max="15648"/>
    <col width="7.28515625" customWidth="1" style="162" min="15649" max="15649"/>
    <col hidden="1" style="162" min="15650" max="15651"/>
    <col width="9.140625" customWidth="1" style="162" min="15652" max="15878"/>
    <col width="1.7109375" customWidth="1" style="162" min="15879" max="15879"/>
    <col width="6.140625" customWidth="1" style="162" min="15880" max="15880"/>
    <col width="27.140625" customWidth="1" style="162" min="15881" max="15881"/>
    <col width="51.140625" customWidth="1" style="162" min="15882" max="15882"/>
    <col width="69.28515625" customWidth="1" style="162" min="15883" max="15883"/>
    <col width="40.7109375" customWidth="1" style="162" min="15884" max="15884"/>
    <col width="8.7109375" customWidth="1" style="162" min="15885" max="15885"/>
    <col width="32.140625" customWidth="1" style="162" min="15886" max="15886"/>
    <col width="35.7109375" customWidth="1" style="162" min="15887" max="15887"/>
    <col width="8.7109375" customWidth="1" style="162" min="15888" max="15888"/>
    <col width="28.140625" customWidth="1" style="162" min="15889" max="15889"/>
    <col width="27.5703125" customWidth="1" style="162" min="15890" max="15890"/>
    <col width="41.42578125" customWidth="1" style="162" min="15891" max="15891"/>
    <col width="39.140625" customWidth="1" style="162" min="15892" max="15892"/>
    <col width="27" customWidth="1" style="162" min="15893" max="15893"/>
    <col width="36.140625" customWidth="1" style="162" min="15894" max="15894"/>
    <col width="31.28515625" customWidth="1" style="162" min="15895" max="15895"/>
    <col width="44.140625" customWidth="1" style="162" min="15896" max="15896"/>
    <col width="42.5703125" customWidth="1" style="162" min="15897" max="15897"/>
    <col width="27.140625" customWidth="1" style="162" min="15898" max="15898"/>
    <col width="33.28515625" customWidth="1" style="162" min="15899" max="15899"/>
    <col width="27" customWidth="1" style="162" min="15900" max="15900"/>
    <col width="38.5703125" customWidth="1" style="162" min="15901" max="15901"/>
    <col width="23.85546875" customWidth="1" style="162" min="15902" max="15902"/>
    <col width="10.42578125" customWidth="1" style="162" min="15903" max="15903"/>
    <col width="10.28515625" customWidth="1" style="162" min="15904" max="15904"/>
    <col width="7.28515625" customWidth="1" style="162" min="15905" max="15905"/>
    <col hidden="1" style="162" min="15906" max="15907"/>
    <col width="9.140625" customWidth="1" style="162" min="15908" max="16134"/>
    <col width="1.7109375" customWidth="1" style="162" min="16135" max="16135"/>
    <col width="6.140625" customWidth="1" style="162" min="16136" max="16136"/>
    <col width="27.140625" customWidth="1" style="162" min="16137" max="16137"/>
    <col width="51.140625" customWidth="1" style="162" min="16138" max="16138"/>
    <col width="69.28515625" customWidth="1" style="162" min="16139" max="16139"/>
    <col width="40.7109375" customWidth="1" style="162" min="16140" max="16140"/>
    <col width="8.7109375" customWidth="1" style="162" min="16141" max="16141"/>
    <col width="32.140625" customWidth="1" style="162" min="16142" max="16142"/>
    <col width="35.7109375" customWidth="1" style="162" min="16143" max="16143"/>
    <col width="8.7109375" customWidth="1" style="162" min="16144" max="16144"/>
    <col width="28.140625" customWidth="1" style="162" min="16145" max="16145"/>
    <col width="27.5703125" customWidth="1" style="162" min="16146" max="16146"/>
    <col width="41.42578125" customWidth="1" style="162" min="16147" max="16147"/>
    <col width="39.140625" customWidth="1" style="162" min="16148" max="16148"/>
    <col width="27" customWidth="1" style="162" min="16149" max="16149"/>
    <col width="36.140625" customWidth="1" style="162" min="16150" max="16150"/>
    <col width="31.28515625" customWidth="1" style="162" min="16151" max="16151"/>
    <col width="44.140625" customWidth="1" style="162" min="16152" max="16152"/>
    <col width="42.5703125" customWidth="1" style="162" min="16153" max="16153"/>
    <col width="27.140625" customWidth="1" style="162" min="16154" max="16154"/>
    <col width="33.28515625" customWidth="1" style="162" min="16155" max="16155"/>
    <col width="27" customWidth="1" style="162" min="16156" max="16156"/>
    <col width="38.5703125" customWidth="1" style="162" min="16157" max="16157"/>
    <col width="23.85546875" customWidth="1" style="162" min="16158" max="16158"/>
    <col width="10.42578125" customWidth="1" style="162" min="16159" max="16159"/>
    <col width="10.28515625" customWidth="1" style="162" min="16160" max="16160"/>
    <col width="7.28515625" customWidth="1" style="162" min="16161" max="16161"/>
    <col hidden="1" style="162" min="16162" max="16163"/>
    <col width="9.140625" customWidth="1" style="162" min="16164" max="16384"/>
  </cols>
  <sheetData>
    <row r="1" ht="2.25" customHeight="1"/>
    <row r="2" ht="77.25" customHeight="1">
      <c r="B2" s="518" t="inlineStr">
        <is>
          <t>Company Name</t>
        </is>
      </c>
      <c r="C2" s="527" t="n"/>
      <c r="D2" s="527" t="n"/>
      <c r="E2" s="527" t="n"/>
      <c r="F2" s="528" t="n"/>
      <c r="G2" s="519" t="inlineStr">
        <is>
          <t>CBM SUBSTATION TEST SHEET (PMU/PPU/SSU)</t>
        </is>
      </c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7" t="n"/>
      <c r="V2" s="527" t="n"/>
      <c r="W2" s="527" t="n"/>
      <c r="X2" s="527" t="n"/>
      <c r="Y2" s="527" t="n"/>
      <c r="Z2" s="527" t="n"/>
      <c r="AA2" s="527" t="n"/>
      <c r="AB2" s="528" t="n"/>
      <c r="AC2" s="469" t="inlineStr">
        <is>
          <t>Test Sheet No:</t>
        </is>
      </c>
      <c r="AD2" s="469" t="inlineStr">
        <is>
          <t>Page No:</t>
        </is>
      </c>
      <c r="AE2" s="165" t="n"/>
      <c r="AF2" s="165" t="n"/>
      <c r="AG2" s="165" t="n"/>
      <c r="AH2" s="165" t="n"/>
      <c r="AI2" s="165" t="n"/>
    </row>
    <row r="3" ht="65.25" customHeight="1">
      <c r="B3" s="531" t="n"/>
      <c r="C3" s="532" t="n"/>
      <c r="D3" s="532" t="n"/>
      <c r="E3" s="532" t="n"/>
      <c r="F3" s="533" t="n"/>
      <c r="G3" s="531" t="n"/>
      <c r="H3" s="532" t="n"/>
      <c r="I3" s="532" t="n"/>
      <c r="J3" s="532" t="n"/>
      <c r="K3" s="532" t="n"/>
      <c r="L3" s="532" t="n"/>
      <c r="M3" s="532" t="n"/>
      <c r="N3" s="532" t="n"/>
      <c r="O3" s="532" t="n"/>
      <c r="P3" s="532" t="n"/>
      <c r="Q3" s="532" t="n"/>
      <c r="R3" s="532" t="n"/>
      <c r="S3" s="532" t="n"/>
      <c r="T3" s="532" t="n"/>
      <c r="U3" s="532" t="n"/>
      <c r="V3" s="532" t="n"/>
      <c r="W3" s="532" t="n"/>
      <c r="X3" s="532" t="n"/>
      <c r="Y3" s="532" t="n"/>
      <c r="Z3" s="532" t="n"/>
      <c r="AA3" s="532" t="n"/>
      <c r="AB3" s="533" t="n"/>
      <c r="AC3" s="288" t="n"/>
      <c r="AD3" s="289" t="n"/>
      <c r="AE3" s="162" t="n"/>
      <c r="AH3" s="521" t="n"/>
      <c r="AI3" s="554" t="n"/>
    </row>
    <row r="4" ht="26.25" customHeight="1">
      <c r="B4" s="168" t="n"/>
      <c r="C4" s="520" t="n"/>
      <c r="D4" s="520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520" t="n"/>
      <c r="Q4" s="520" t="n"/>
      <c r="R4" s="520" t="n"/>
      <c r="S4" s="170" t="n"/>
      <c r="T4" s="170" t="n"/>
      <c r="U4" s="170" t="n"/>
      <c r="V4" s="170" t="n"/>
      <c r="W4" s="170" t="n"/>
      <c r="X4" s="520" t="n"/>
      <c r="Y4" s="170" t="n"/>
      <c r="Z4" s="170" t="n"/>
      <c r="AA4" s="170" t="n"/>
      <c r="AB4" s="170" t="n"/>
      <c r="AC4" s="296" t="inlineStr">
        <is>
          <t>CBM Condition</t>
        </is>
      </c>
      <c r="AD4" s="307" t="n"/>
      <c r="AE4" s="162" t="n"/>
      <c r="AI4" s="171" t="n"/>
    </row>
    <row r="5" ht="66" customHeight="1">
      <c r="B5" s="172" t="inlineStr">
        <is>
          <t xml:space="preserve"> 1. Substation Details:</t>
        </is>
      </c>
      <c r="C5" s="173" t="n"/>
      <c r="D5" s="173" t="n"/>
      <c r="E5" s="520" t="n"/>
      <c r="G5" s="174" t="inlineStr">
        <is>
          <t xml:space="preserve"> 2. Transformer Details:</t>
        </is>
      </c>
      <c r="H5" s="174" t="n"/>
      <c r="I5" s="520" t="n"/>
      <c r="J5" s="520" t="n"/>
      <c r="K5" s="520" t="n"/>
      <c r="L5" s="520" t="n"/>
      <c r="M5" s="520" t="n"/>
      <c r="N5" s="520" t="n"/>
      <c r="O5" s="520" t="n"/>
      <c r="P5" s="520" t="n"/>
      <c r="Q5" s="520" t="n"/>
      <c r="R5" s="520" t="n"/>
      <c r="S5" s="520" t="n"/>
      <c r="T5" s="520" t="n"/>
      <c r="U5" s="520" t="n"/>
      <c r="V5" s="520" t="n"/>
      <c r="W5" s="520" t="n"/>
      <c r="X5" s="520" t="n"/>
      <c r="Y5" s="520" t="n"/>
      <c r="Z5" s="520" t="n"/>
      <c r="AA5" s="520" t="n"/>
      <c r="AB5" s="520" t="n"/>
      <c r="AD5" s="171" t="n"/>
      <c r="AE5" s="162" t="n"/>
      <c r="AI5" s="171" t="n"/>
    </row>
    <row r="6" ht="73.5" customHeight="1">
      <c r="B6" s="175" t="inlineStr">
        <is>
          <t xml:space="preserve">1.1 </t>
        </is>
      </c>
      <c r="C6" s="176" t="inlineStr">
        <is>
          <t>Substation Name:</t>
        </is>
      </c>
      <c r="D6" s="302" t="n"/>
      <c r="E6" s="177" t="n"/>
      <c r="G6" s="174" t="inlineStr">
        <is>
          <t>TX 1</t>
        </is>
      </c>
      <c r="H6" s="174" t="n"/>
      <c r="I6" s="277" t="inlineStr">
        <is>
          <t>MODEL:</t>
        </is>
      </c>
      <c r="J6" s="278" t="n"/>
      <c r="K6" s="174" t="inlineStr">
        <is>
          <t>TX 2</t>
        </is>
      </c>
      <c r="L6" s="277" t="inlineStr">
        <is>
          <t>MODEL:</t>
        </is>
      </c>
      <c r="M6" s="278" t="n"/>
      <c r="N6" s="174" t="inlineStr">
        <is>
          <t>TX 3</t>
        </is>
      </c>
      <c r="O6" s="277" t="inlineStr">
        <is>
          <t>MODEL:</t>
        </is>
      </c>
      <c r="P6" s="278" t="n"/>
      <c r="Q6" s="174" t="inlineStr">
        <is>
          <t>TX 4</t>
        </is>
      </c>
      <c r="R6" s="277" t="inlineStr">
        <is>
          <t>MODEL:</t>
        </is>
      </c>
      <c r="S6" s="278" t="n"/>
      <c r="T6" s="174" t="inlineStr">
        <is>
          <t>LOCAL TX</t>
        </is>
      </c>
      <c r="U6" s="179" t="n"/>
      <c r="V6" s="277" t="inlineStr">
        <is>
          <t>MODEL:</t>
        </is>
      </c>
      <c r="W6" s="278" t="n"/>
      <c r="X6" s="179" t="n"/>
      <c r="Z6" s="178" t="n"/>
      <c r="AA6" s="179" t="n"/>
      <c r="AD6" s="171" t="n"/>
      <c r="AF6" s="520" t="n"/>
      <c r="AI6" s="171" t="n"/>
    </row>
    <row r="7" ht="81.75" customHeight="1">
      <c r="B7" s="168" t="n"/>
      <c r="C7" s="180" t="n"/>
      <c r="D7" s="169" t="n"/>
      <c r="G7" s="181" t="inlineStr">
        <is>
          <t>2.1 Manufacturer:</t>
        </is>
      </c>
      <c r="H7" s="181" t="n"/>
      <c r="I7" s="297" t="n"/>
      <c r="J7" s="179" t="n"/>
      <c r="K7" s="181" t="inlineStr">
        <is>
          <t>2.1 Manufacturer:</t>
        </is>
      </c>
      <c r="L7" s="297" t="n"/>
      <c r="N7" s="181" t="inlineStr">
        <is>
          <t>2.1 Manufacturer:</t>
        </is>
      </c>
      <c r="O7" s="185" t="n"/>
      <c r="Q7" s="181" t="inlineStr">
        <is>
          <t>2.1 Manufacturer:</t>
        </is>
      </c>
      <c r="R7" s="185" t="n"/>
      <c r="T7" s="181" t="inlineStr">
        <is>
          <t>2.1 Manufacturer:</t>
        </is>
      </c>
      <c r="U7" s="185" t="n"/>
      <c r="X7" s="169" t="n"/>
      <c r="Z7" s="179" t="n"/>
      <c r="AA7" s="169" t="n"/>
      <c r="AD7" s="171" t="n"/>
      <c r="AI7" s="171" t="n"/>
    </row>
    <row r="8" ht="81.75" customHeight="1">
      <c r="B8" s="182" t="n"/>
      <c r="C8" s="183" t="n"/>
      <c r="G8" s="181" t="inlineStr">
        <is>
          <t>2.2 Rating (MVA):</t>
        </is>
      </c>
      <c r="H8" s="181" t="n"/>
      <c r="I8" s="184" t="n"/>
      <c r="J8" s="179" t="n"/>
      <c r="K8" s="181" t="inlineStr">
        <is>
          <t>2.2 Rating (MVA):</t>
        </is>
      </c>
      <c r="L8" s="184" t="n"/>
      <c r="N8" s="181" t="inlineStr">
        <is>
          <t>2.2 Rating (MVA):</t>
        </is>
      </c>
      <c r="O8" s="184" t="n"/>
      <c r="Q8" s="181" t="inlineStr">
        <is>
          <t>2.2 Rating (MVA):</t>
        </is>
      </c>
      <c r="R8" s="184" t="n"/>
      <c r="T8" s="181" t="inlineStr">
        <is>
          <t>2.2 Rating (KVA):</t>
        </is>
      </c>
      <c r="U8" s="184" t="n"/>
      <c r="X8" s="186" t="n"/>
      <c r="Z8" s="179" t="n"/>
      <c r="AA8" s="186" t="n"/>
      <c r="AD8" s="171" t="n"/>
      <c r="AF8" s="187" t="n"/>
      <c r="AI8" s="171" t="n"/>
    </row>
    <row r="9" ht="55.5" customHeight="1">
      <c r="B9" s="168" t="n"/>
      <c r="C9" s="520" t="n"/>
      <c r="D9" s="520" t="n"/>
      <c r="E9" s="186" t="n"/>
      <c r="F9" s="187" t="n"/>
      <c r="G9" s="188" t="inlineStr">
        <is>
          <t>2.3 Serial No. :</t>
        </is>
      </c>
      <c r="H9" s="188" t="n"/>
      <c r="I9" s="298" t="n"/>
      <c r="J9" s="520" t="n"/>
      <c r="K9" s="188" t="inlineStr">
        <is>
          <t>2.3 Serial No. :</t>
        </is>
      </c>
      <c r="L9" s="299" t="n"/>
      <c r="N9" s="188" t="inlineStr">
        <is>
          <t>2.3 Serial No. :</t>
        </is>
      </c>
      <c r="O9" s="300" t="n"/>
      <c r="Q9" s="188" t="inlineStr">
        <is>
          <t>2.3 Serial No. :</t>
        </is>
      </c>
      <c r="R9" s="301" t="n"/>
      <c r="T9" s="188" t="inlineStr">
        <is>
          <t>2.3 Serial No. :</t>
        </is>
      </c>
      <c r="U9" s="301" t="n"/>
      <c r="X9" s="177" t="n"/>
      <c r="Z9" s="189" t="n"/>
      <c r="AA9" s="177" t="n"/>
      <c r="AD9" s="190" t="n"/>
      <c r="AE9" s="162" t="n"/>
      <c r="AF9" s="187" t="n"/>
      <c r="AI9" s="171" t="n"/>
    </row>
    <row r="10" ht="45" customHeight="1">
      <c r="B10" s="436" t="inlineStr">
        <is>
          <t>TRANSFORMER</t>
        </is>
      </c>
      <c r="C10" s="538" t="n"/>
      <c r="D10" s="538" t="n"/>
      <c r="E10" s="538" t="n"/>
      <c r="F10" s="538" t="n"/>
      <c r="G10" s="538" t="n"/>
      <c r="H10" s="538" t="n"/>
      <c r="I10" s="538" t="n"/>
      <c r="J10" s="538" t="n"/>
      <c r="K10" s="538" t="n"/>
      <c r="L10" s="538" t="n"/>
      <c r="M10" s="538" t="n"/>
      <c r="N10" s="538" t="n"/>
      <c r="O10" s="538" t="n"/>
      <c r="P10" s="538" t="n"/>
      <c r="Q10" s="538" t="n"/>
      <c r="R10" s="538" t="n"/>
      <c r="S10" s="538" t="n"/>
      <c r="T10" s="538" t="n"/>
      <c r="U10" s="538" t="n"/>
      <c r="V10" s="538" t="n"/>
      <c r="W10" s="538" t="n"/>
      <c r="X10" s="538" t="n"/>
      <c r="Y10" s="538" t="n"/>
      <c r="Z10" s="538" t="n"/>
      <c r="AA10" s="538" t="n"/>
      <c r="AB10" s="538" t="n"/>
      <c r="AC10" s="538" t="n"/>
      <c r="AD10" s="530" t="n"/>
      <c r="AE10" s="191" t="n"/>
      <c r="AI10" s="171" t="n"/>
    </row>
    <row r="11" ht="48.75" customHeight="1">
      <c r="B11" s="469" t="inlineStr">
        <is>
          <t>DETAILS</t>
        </is>
      </c>
      <c r="C11" s="538" t="n"/>
      <c r="D11" s="538" t="n"/>
      <c r="E11" s="538" t="n"/>
      <c r="F11" s="538" t="n"/>
      <c r="G11" s="538" t="n"/>
      <c r="H11" s="538" t="n"/>
      <c r="I11" s="530" t="n"/>
      <c r="J11" s="469" t="inlineStr">
        <is>
          <t>ULTRASOUND</t>
        </is>
      </c>
      <c r="K11" s="538" t="n"/>
      <c r="L11" s="538" t="n"/>
      <c r="M11" s="538" t="n"/>
      <c r="N11" s="538" t="n"/>
      <c r="O11" s="538" t="n"/>
      <c r="P11" s="538" t="n"/>
      <c r="Q11" s="530" t="n"/>
      <c r="R11" s="469" t="inlineStr">
        <is>
          <t>THERMOGRAPHY</t>
        </is>
      </c>
      <c r="S11" s="538" t="n"/>
      <c r="T11" s="538" t="n"/>
      <c r="U11" s="538" t="n"/>
      <c r="V11" s="538" t="n"/>
      <c r="W11" s="538" t="n"/>
      <c r="X11" s="538" t="n"/>
      <c r="Y11" s="538" t="n"/>
      <c r="Z11" s="538" t="n"/>
      <c r="AA11" s="530" t="n"/>
      <c r="AB11" s="415" t="inlineStr">
        <is>
          <t>Remarks</t>
        </is>
      </c>
      <c r="AC11" s="527" t="n"/>
      <c r="AD11" s="528" t="n"/>
      <c r="AE11" s="162" t="n"/>
      <c r="AI11" s="171" t="n"/>
    </row>
    <row r="12" ht="39" customHeight="1">
      <c r="B12" s="416" t="inlineStr">
        <is>
          <t>No.</t>
        </is>
      </c>
      <c r="C12" s="469" t="inlineStr">
        <is>
          <t>TX No.</t>
        </is>
      </c>
      <c r="D12" s="527" t="n"/>
      <c r="E12" s="528" t="n"/>
      <c r="F12" s="469" t="inlineStr">
        <is>
          <t xml:space="preserve">Load ( A) </t>
        </is>
      </c>
      <c r="G12" s="528" t="n"/>
      <c r="H12" s="469" t="inlineStr">
        <is>
          <t>Cable Type</t>
        </is>
      </c>
      <c r="I12" s="528" t="n"/>
      <c r="J12" s="469" t="inlineStr">
        <is>
          <t>HV Cable</t>
        </is>
      </c>
      <c r="K12" s="538" t="n"/>
      <c r="L12" s="538" t="n"/>
      <c r="M12" s="530" t="n"/>
      <c r="N12" s="469" t="inlineStr">
        <is>
          <t>LV Cable</t>
        </is>
      </c>
      <c r="O12" s="538" t="n"/>
      <c r="P12" s="538" t="n"/>
      <c r="Q12" s="530" t="n"/>
      <c r="R12" s="469" t="inlineStr">
        <is>
          <t>HV Cable</t>
        </is>
      </c>
      <c r="S12" s="538" t="n"/>
      <c r="T12" s="538" t="n"/>
      <c r="U12" s="538" t="n"/>
      <c r="V12" s="530" t="n"/>
      <c r="W12" s="469" t="inlineStr">
        <is>
          <t>LV Cable</t>
        </is>
      </c>
      <c r="X12" s="538" t="n"/>
      <c r="Y12" s="538" t="n"/>
      <c r="Z12" s="538" t="n"/>
      <c r="AA12" s="530" t="n"/>
      <c r="AD12" s="554" t="n"/>
      <c r="AE12" s="162" t="n"/>
      <c r="AI12" s="171" t="n"/>
    </row>
    <row r="13" ht="92.25" customHeight="1">
      <c r="B13" s="540" t="n"/>
      <c r="C13" s="531" t="n"/>
      <c r="D13" s="532" t="n"/>
      <c r="E13" s="533" t="n"/>
      <c r="F13" s="531" t="n"/>
      <c r="G13" s="533" t="n"/>
      <c r="H13" s="531" t="n"/>
      <c r="I13" s="533" t="n"/>
      <c r="J13" s="469" t="inlineStr">
        <is>
          <t>Reading (dB)</t>
        </is>
      </c>
      <c r="K13" s="469" t="inlineStr">
        <is>
          <t>Type Charc.</t>
        </is>
      </c>
      <c r="L13" s="530" t="n"/>
      <c r="M13" s="469" t="inlineStr">
        <is>
          <t>File</t>
        </is>
      </c>
      <c r="N13" s="469" t="inlineStr">
        <is>
          <t>Reading (dB)</t>
        </is>
      </c>
      <c r="O13" s="469" t="inlineStr">
        <is>
          <t>Type Charc.</t>
        </is>
      </c>
      <c r="P13" s="530" t="n"/>
      <c r="Q13" s="469" t="inlineStr">
        <is>
          <t>File</t>
        </is>
      </c>
      <c r="R13" s="469" t="inlineStr">
        <is>
          <t>Ref. Temp 
(°C)</t>
        </is>
      </c>
      <c r="S13" s="469" t="inlineStr">
        <is>
          <t>Max Temp (°C)</t>
        </is>
      </c>
      <c r="T13" s="469" t="inlineStr">
        <is>
          <t>Defect
∆T</t>
        </is>
      </c>
      <c r="U13" s="469" t="inlineStr">
        <is>
          <t>Avg Temp 
(°C)</t>
        </is>
      </c>
      <c r="V13" s="469" t="inlineStr">
        <is>
          <t>File</t>
        </is>
      </c>
      <c r="W13" s="469" t="inlineStr">
        <is>
          <t>Ref. Temp (°C)</t>
        </is>
      </c>
      <c r="X13" s="469" t="inlineStr">
        <is>
          <t>Max Temp 
(°C)</t>
        </is>
      </c>
      <c r="Y13" s="469" t="inlineStr">
        <is>
          <t>Defect
∆T</t>
        </is>
      </c>
      <c r="Z13" s="469" t="inlineStr">
        <is>
          <t>Avg Temp 
(°C)</t>
        </is>
      </c>
      <c r="AA13" s="469" t="inlineStr">
        <is>
          <t>File</t>
        </is>
      </c>
      <c r="AB13" s="532" t="n"/>
      <c r="AC13" s="532" t="n"/>
      <c r="AD13" s="533" t="n"/>
      <c r="AE13" s="162" t="n"/>
      <c r="AI13" s="171" t="n"/>
    </row>
    <row r="14" ht="45" customHeight="1">
      <c r="B14" s="502" t="n">
        <v>1</v>
      </c>
      <c r="C14" s="503" t="inlineStr">
        <is>
          <t>TX 1</t>
        </is>
      </c>
      <c r="D14" s="527" t="n"/>
      <c r="E14" s="528" t="n"/>
      <c r="F14" s="434" t="n"/>
      <c r="G14" s="528" t="n"/>
      <c r="H14" s="484" t="n"/>
      <c r="I14" s="528" t="n"/>
      <c r="J14" s="502" t="n"/>
      <c r="K14" s="434" t="n"/>
      <c r="L14" s="528" t="n"/>
      <c r="M14" s="502" t="n"/>
      <c r="N14" s="502" t="n"/>
      <c r="O14" s="434" t="n"/>
      <c r="P14" s="528" t="n"/>
      <c r="Q14" s="515" t="n"/>
      <c r="R14" s="555" t="n"/>
      <c r="S14" s="555" t="n"/>
      <c r="T14" s="555">
        <f>IF(S14="","",S14-R14)</f>
        <v/>
      </c>
      <c r="U14" s="555">
        <f>IF(S14="","",((R14+S14)/2))</f>
        <v/>
      </c>
      <c r="V14" s="484" t="n"/>
      <c r="W14" s="555" t="n"/>
      <c r="X14" s="555" t="n"/>
      <c r="Y14" s="555">
        <f>IF(X14="","",X14-W14)</f>
        <v/>
      </c>
      <c r="Z14" s="555">
        <f>IF(X14="","",((W14+X14)/2))</f>
        <v/>
      </c>
      <c r="AA14" s="484" t="n"/>
      <c r="AB14" s="466" t="n"/>
      <c r="AC14" s="527" t="n"/>
      <c r="AD14" s="528" t="n"/>
      <c r="AE14" s="162" t="n"/>
      <c r="AI14" s="171" t="n"/>
    </row>
    <row r="15" ht="45" customHeight="1">
      <c r="B15" s="556" t="n"/>
      <c r="C15" s="557" t="n"/>
      <c r="E15" s="554" t="n"/>
      <c r="F15" s="557" t="n"/>
      <c r="G15" s="554" t="n"/>
      <c r="H15" s="557" t="n"/>
      <c r="I15" s="554" t="n"/>
      <c r="J15" s="556" t="n"/>
      <c r="K15" s="557" t="n"/>
      <c r="L15" s="554" t="n"/>
      <c r="M15" s="556" t="n"/>
      <c r="N15" s="556" t="n"/>
      <c r="O15" s="557" t="n"/>
      <c r="P15" s="554" t="n"/>
      <c r="Q15" s="556" t="n"/>
      <c r="R15" s="556" t="n"/>
      <c r="S15" s="556" t="n"/>
      <c r="T15" s="556" t="n"/>
      <c r="U15" s="556" t="n"/>
      <c r="V15" s="556" t="n"/>
      <c r="W15" s="556" t="n"/>
      <c r="X15" s="556" t="n"/>
      <c r="Y15" s="556" t="n"/>
      <c r="Z15" s="556" t="n"/>
      <c r="AA15" s="556" t="n"/>
      <c r="AB15" s="557" t="n"/>
      <c r="AD15" s="554" t="n"/>
      <c r="AE15" s="162" t="n"/>
      <c r="AI15" s="171" t="n"/>
    </row>
    <row r="16" ht="45" customHeight="1">
      <c r="B16" s="540" t="n"/>
      <c r="C16" s="531" t="n"/>
      <c r="D16" s="532" t="n"/>
      <c r="E16" s="533" t="n"/>
      <c r="F16" s="531" t="n"/>
      <c r="G16" s="533" t="n"/>
      <c r="H16" s="531" t="n"/>
      <c r="I16" s="533" t="n"/>
      <c r="J16" s="540" t="n"/>
      <c r="K16" s="531" t="n"/>
      <c r="L16" s="533" t="n"/>
      <c r="M16" s="540" t="n"/>
      <c r="N16" s="540" t="n"/>
      <c r="O16" s="531" t="n"/>
      <c r="P16" s="533" t="n"/>
      <c r="Q16" s="540" t="n"/>
      <c r="R16" s="540" t="n"/>
      <c r="S16" s="540" t="n"/>
      <c r="T16" s="540" t="n"/>
      <c r="U16" s="540" t="n"/>
      <c r="V16" s="540" t="n"/>
      <c r="W16" s="540" t="n"/>
      <c r="X16" s="540" t="n"/>
      <c r="Y16" s="540" t="n"/>
      <c r="Z16" s="540" t="n"/>
      <c r="AA16" s="540" t="n"/>
      <c r="AB16" s="531" t="n"/>
      <c r="AC16" s="532" t="n"/>
      <c r="AD16" s="533" t="n"/>
      <c r="AE16" s="162" t="n"/>
      <c r="AI16" s="171" t="n"/>
    </row>
    <row r="17" ht="45" customHeight="1">
      <c r="B17" s="502" t="n">
        <v>2</v>
      </c>
      <c r="C17" s="503" t="inlineStr">
        <is>
          <t>TX 2</t>
        </is>
      </c>
      <c r="D17" s="527" t="n"/>
      <c r="E17" s="528" t="n"/>
      <c r="F17" s="434" t="n"/>
      <c r="G17" s="528" t="n"/>
      <c r="H17" s="484" t="n"/>
      <c r="I17" s="528" t="n"/>
      <c r="J17" s="502" t="n"/>
      <c r="K17" s="434" t="n"/>
      <c r="L17" s="528" t="n"/>
      <c r="M17" s="502" t="n"/>
      <c r="N17" s="502" t="n"/>
      <c r="O17" s="434" t="n"/>
      <c r="P17" s="528" t="n"/>
      <c r="Q17" s="502" t="n"/>
      <c r="R17" s="555" t="n"/>
      <c r="S17" s="555" t="n"/>
      <c r="T17" s="555">
        <f>IF(S17="","",S17-R17)</f>
        <v/>
      </c>
      <c r="U17" s="555">
        <f>IF(S17="","",((R17+S17)/2))</f>
        <v/>
      </c>
      <c r="V17" s="484" t="n"/>
      <c r="W17" s="555" t="n"/>
      <c r="X17" s="555" t="n"/>
      <c r="Y17" s="555">
        <f>IF(X17="","",X17-W17)</f>
        <v/>
      </c>
      <c r="Z17" s="555">
        <f>IF(X17="","",((W17+X17)/2))</f>
        <v/>
      </c>
      <c r="AA17" s="484" t="n"/>
      <c r="AB17" s="466" t="n"/>
      <c r="AC17" s="527" t="n"/>
      <c r="AD17" s="528" t="n"/>
      <c r="AE17" s="162" t="n"/>
      <c r="AI17" s="171" t="n"/>
    </row>
    <row r="18" ht="45" customHeight="1">
      <c r="B18" s="556" t="n"/>
      <c r="C18" s="557" t="n"/>
      <c r="E18" s="554" t="n"/>
      <c r="F18" s="557" t="n"/>
      <c r="G18" s="554" t="n"/>
      <c r="H18" s="557" t="n"/>
      <c r="I18" s="554" t="n"/>
      <c r="J18" s="556" t="n"/>
      <c r="K18" s="557" t="n"/>
      <c r="L18" s="554" t="n"/>
      <c r="M18" s="556" t="n"/>
      <c r="N18" s="556" t="n"/>
      <c r="O18" s="557" t="n"/>
      <c r="P18" s="554" t="n"/>
      <c r="Q18" s="556" t="n"/>
      <c r="R18" s="556" t="n"/>
      <c r="S18" s="556" t="n"/>
      <c r="T18" s="556" t="n"/>
      <c r="U18" s="556" t="n"/>
      <c r="V18" s="556" t="n"/>
      <c r="W18" s="556" t="n"/>
      <c r="X18" s="556" t="n"/>
      <c r="Y18" s="556" t="n"/>
      <c r="Z18" s="556" t="n"/>
      <c r="AA18" s="556" t="n"/>
      <c r="AB18" s="557" t="n"/>
      <c r="AD18" s="554" t="n"/>
      <c r="AE18" s="162" t="n"/>
      <c r="AI18" s="171" t="n"/>
    </row>
    <row r="19" ht="45" customHeight="1">
      <c r="B19" s="540" t="n"/>
      <c r="C19" s="531" t="n"/>
      <c r="D19" s="532" t="n"/>
      <c r="E19" s="533" t="n"/>
      <c r="F19" s="531" t="n"/>
      <c r="G19" s="533" t="n"/>
      <c r="H19" s="531" t="n"/>
      <c r="I19" s="533" t="n"/>
      <c r="J19" s="540" t="n"/>
      <c r="K19" s="531" t="n"/>
      <c r="L19" s="533" t="n"/>
      <c r="M19" s="540" t="n"/>
      <c r="N19" s="540" t="n"/>
      <c r="O19" s="531" t="n"/>
      <c r="P19" s="533" t="n"/>
      <c r="Q19" s="540" t="n"/>
      <c r="R19" s="540" t="n"/>
      <c r="S19" s="540" t="n"/>
      <c r="T19" s="540" t="n"/>
      <c r="U19" s="540" t="n"/>
      <c r="V19" s="540" t="n"/>
      <c r="W19" s="540" t="n"/>
      <c r="X19" s="540" t="n"/>
      <c r="Y19" s="540" t="n"/>
      <c r="Z19" s="540" t="n"/>
      <c r="AA19" s="540" t="n"/>
      <c r="AB19" s="531" t="n"/>
      <c r="AC19" s="532" t="n"/>
      <c r="AD19" s="533" t="n"/>
      <c r="AE19" s="162" t="n"/>
      <c r="AI19" s="171" t="n"/>
    </row>
    <row r="20" ht="45" customHeight="1">
      <c r="B20" s="502" t="n">
        <v>3</v>
      </c>
      <c r="C20" s="503" t="inlineStr">
        <is>
          <t>TX 3</t>
        </is>
      </c>
      <c r="D20" s="527" t="n"/>
      <c r="E20" s="528" t="n"/>
      <c r="F20" s="434" t="n"/>
      <c r="G20" s="528" t="n"/>
      <c r="H20" s="484" t="n"/>
      <c r="I20" s="528" t="n"/>
      <c r="J20" s="504" t="n"/>
      <c r="K20" s="434" t="n"/>
      <c r="L20" s="528" t="n"/>
      <c r="M20" s="504" t="n"/>
      <c r="N20" s="502" t="n"/>
      <c r="O20" s="434" t="n"/>
      <c r="P20" s="528" t="n"/>
      <c r="Q20" s="502" t="n"/>
      <c r="R20" s="555" t="n"/>
      <c r="S20" s="555" t="n"/>
      <c r="T20" s="555">
        <f>IF(S20="","",S20-R20)</f>
        <v/>
      </c>
      <c r="U20" s="555">
        <f>IF(S20="","",((R20+S20)/2))</f>
        <v/>
      </c>
      <c r="V20" s="484" t="n"/>
      <c r="W20" s="555" t="n"/>
      <c r="X20" s="555" t="n"/>
      <c r="Y20" s="555">
        <f>IF(X20="","",X20-W20)</f>
        <v/>
      </c>
      <c r="Z20" s="555">
        <f>IF(X20="","",((W20+X20)/2))</f>
        <v/>
      </c>
      <c r="AA20" s="484" t="n"/>
      <c r="AB20" s="484" t="n"/>
      <c r="AC20" s="527" t="n"/>
      <c r="AD20" s="528" t="n"/>
      <c r="AE20" s="162" t="n"/>
      <c r="AI20" s="171" t="n"/>
    </row>
    <row r="21" ht="45" customHeight="1">
      <c r="B21" s="556" t="n"/>
      <c r="C21" s="557" t="n"/>
      <c r="E21" s="554" t="n"/>
      <c r="F21" s="557" t="n"/>
      <c r="G21" s="554" t="n"/>
      <c r="H21" s="557" t="n"/>
      <c r="I21" s="554" t="n"/>
      <c r="J21" s="556" t="n"/>
      <c r="K21" s="557" t="n"/>
      <c r="L21" s="554" t="n"/>
      <c r="M21" s="556" t="n"/>
      <c r="N21" s="556" t="n"/>
      <c r="O21" s="557" t="n"/>
      <c r="P21" s="554" t="n"/>
      <c r="Q21" s="556" t="n"/>
      <c r="R21" s="556" t="n"/>
      <c r="S21" s="556" t="n"/>
      <c r="T21" s="556" t="n"/>
      <c r="U21" s="556" t="n"/>
      <c r="V21" s="556" t="n"/>
      <c r="W21" s="556" t="n"/>
      <c r="X21" s="556" t="n"/>
      <c r="Y21" s="556" t="n"/>
      <c r="Z21" s="556" t="n"/>
      <c r="AA21" s="556" t="n"/>
      <c r="AB21" s="557" t="n"/>
      <c r="AD21" s="554" t="n"/>
      <c r="AE21" s="162" t="n"/>
      <c r="AI21" s="171" t="n"/>
    </row>
    <row r="22" ht="45" customHeight="1">
      <c r="B22" s="540" t="n"/>
      <c r="C22" s="531" t="n"/>
      <c r="D22" s="532" t="n"/>
      <c r="E22" s="533" t="n"/>
      <c r="F22" s="531" t="n"/>
      <c r="G22" s="533" t="n"/>
      <c r="H22" s="531" t="n"/>
      <c r="I22" s="533" t="n"/>
      <c r="J22" s="540" t="n"/>
      <c r="K22" s="531" t="n"/>
      <c r="L22" s="533" t="n"/>
      <c r="M22" s="540" t="n"/>
      <c r="N22" s="540" t="n"/>
      <c r="O22" s="531" t="n"/>
      <c r="P22" s="533" t="n"/>
      <c r="Q22" s="540" t="n"/>
      <c r="R22" s="540" t="n"/>
      <c r="S22" s="540" t="n"/>
      <c r="T22" s="540" t="n"/>
      <c r="U22" s="540" t="n"/>
      <c r="V22" s="540" t="n"/>
      <c r="W22" s="540" t="n"/>
      <c r="X22" s="540" t="n"/>
      <c r="Y22" s="540" t="n"/>
      <c r="Z22" s="540" t="n"/>
      <c r="AA22" s="540" t="n"/>
      <c r="AB22" s="531" t="n"/>
      <c r="AC22" s="532" t="n"/>
      <c r="AD22" s="533" t="n"/>
      <c r="AE22" s="162" t="n"/>
      <c r="AI22" s="171" t="n"/>
    </row>
    <row r="23" ht="45" customHeight="1">
      <c r="B23" s="502" t="n">
        <v>4</v>
      </c>
      <c r="C23" s="503" t="inlineStr">
        <is>
          <t>TX4</t>
        </is>
      </c>
      <c r="D23" s="527" t="n"/>
      <c r="E23" s="528" t="n"/>
      <c r="F23" s="434" t="n"/>
      <c r="G23" s="528" t="n"/>
      <c r="H23" s="484" t="n"/>
      <c r="I23" s="528" t="n"/>
      <c r="J23" s="504" t="n"/>
      <c r="K23" s="505" t="n"/>
      <c r="L23" s="528" t="n"/>
      <c r="M23" s="504" t="n"/>
      <c r="N23" s="484" t="n"/>
      <c r="O23" s="434" t="n"/>
      <c r="P23" s="528" t="n"/>
      <c r="Q23" s="484" t="n"/>
      <c r="R23" s="555" t="n"/>
      <c r="S23" s="555" t="n"/>
      <c r="T23" s="555">
        <f>IF(S23="","",S23-R23)</f>
        <v/>
      </c>
      <c r="U23" s="555">
        <f>IF(S23="","",((R23+S23)/2))</f>
        <v/>
      </c>
      <c r="V23" s="484" t="n"/>
      <c r="W23" s="555" t="n"/>
      <c r="X23" s="555" t="n"/>
      <c r="Y23" s="555">
        <f>IF(X23="","",X23-W23)</f>
        <v/>
      </c>
      <c r="Z23" s="555">
        <f>IF(X23="","",((W23+X23)/2))</f>
        <v/>
      </c>
      <c r="AA23" s="484" t="n"/>
      <c r="AB23" s="484" t="n"/>
      <c r="AC23" s="527" t="n"/>
      <c r="AD23" s="528" t="n"/>
      <c r="AE23" s="162" t="n"/>
      <c r="AI23" s="171" t="n"/>
    </row>
    <row r="24" ht="45" customHeight="1">
      <c r="B24" s="556" t="n"/>
      <c r="C24" s="557" t="n"/>
      <c r="E24" s="554" t="n"/>
      <c r="F24" s="557" t="n"/>
      <c r="G24" s="554" t="n"/>
      <c r="H24" s="557" t="n"/>
      <c r="I24" s="554" t="n"/>
      <c r="J24" s="556" t="n"/>
      <c r="K24" s="557" t="n"/>
      <c r="L24" s="554" t="n"/>
      <c r="M24" s="556" t="n"/>
      <c r="N24" s="556" t="n"/>
      <c r="O24" s="557" t="n"/>
      <c r="P24" s="554" t="n"/>
      <c r="Q24" s="556" t="n"/>
      <c r="R24" s="556" t="n"/>
      <c r="S24" s="556" t="n"/>
      <c r="T24" s="556" t="n"/>
      <c r="U24" s="556" t="n"/>
      <c r="V24" s="556" t="n"/>
      <c r="W24" s="556" t="n"/>
      <c r="X24" s="556" t="n"/>
      <c r="Y24" s="556" t="n"/>
      <c r="Z24" s="556" t="n"/>
      <c r="AA24" s="556" t="n"/>
      <c r="AB24" s="557" t="n"/>
      <c r="AD24" s="554" t="n"/>
      <c r="AE24" s="162" t="n"/>
      <c r="AI24" s="171" t="n"/>
    </row>
    <row r="25" ht="45" customHeight="1">
      <c r="B25" s="540" t="n"/>
      <c r="C25" s="531" t="n"/>
      <c r="D25" s="532" t="n"/>
      <c r="E25" s="533" t="n"/>
      <c r="F25" s="531" t="n"/>
      <c r="G25" s="533" t="n"/>
      <c r="H25" s="531" t="n"/>
      <c r="I25" s="533" t="n"/>
      <c r="J25" s="540" t="n"/>
      <c r="K25" s="531" t="n"/>
      <c r="L25" s="533" t="n"/>
      <c r="M25" s="540" t="n"/>
      <c r="N25" s="540" t="n"/>
      <c r="O25" s="531" t="n"/>
      <c r="P25" s="533" t="n"/>
      <c r="Q25" s="540" t="n"/>
      <c r="R25" s="540" t="n"/>
      <c r="S25" s="540" t="n"/>
      <c r="T25" s="540" t="n"/>
      <c r="U25" s="540" t="n"/>
      <c r="V25" s="540" t="n"/>
      <c r="W25" s="540" t="n"/>
      <c r="X25" s="540" t="n"/>
      <c r="Y25" s="540" t="n"/>
      <c r="Z25" s="540" t="n"/>
      <c r="AA25" s="540" t="n"/>
      <c r="AB25" s="531" t="n"/>
      <c r="AC25" s="532" t="n"/>
      <c r="AD25" s="533" t="n"/>
      <c r="AE25" s="162" t="n"/>
      <c r="AI25" s="171" t="n"/>
    </row>
    <row r="26" ht="45" customHeight="1">
      <c r="B26" s="434" t="n">
        <v>5</v>
      </c>
      <c r="C26" s="484" t="inlineStr">
        <is>
          <t>Local TX</t>
        </is>
      </c>
      <c r="D26" s="527" t="n"/>
      <c r="E26" s="528" t="n"/>
      <c r="F26" s="434" t="n"/>
      <c r="G26" s="528" t="n"/>
      <c r="H26" s="484" t="n"/>
      <c r="I26" s="528" t="n"/>
      <c r="J26" s="499" t="n"/>
      <c r="K26" s="500" t="n"/>
      <c r="L26" s="554" t="n"/>
      <c r="M26" s="479" t="n"/>
      <c r="N26" s="480" t="n"/>
      <c r="O26" s="558" t="n"/>
      <c r="P26" s="554" t="n"/>
      <c r="Q26" s="195" t="n"/>
      <c r="R26" s="555" t="n"/>
      <c r="S26" s="555" t="n"/>
      <c r="T26" s="555">
        <f>IF(S26="","",S26-R26)</f>
        <v/>
      </c>
      <c r="U26" s="555">
        <f>IF(S26="","",((R26+S26)/2))</f>
        <v/>
      </c>
      <c r="V26" s="484" t="n"/>
      <c r="W26" s="555" t="n"/>
      <c r="X26" s="555" t="n"/>
      <c r="Y26" s="555">
        <f>IF(X26="","",X26-W26)</f>
        <v/>
      </c>
      <c r="Z26" s="555">
        <f>IF(X26="","",((W26+X26)/2))</f>
        <v/>
      </c>
      <c r="AA26" s="484" t="n"/>
      <c r="AB26" s="466" t="n"/>
      <c r="AC26" s="527" t="n"/>
      <c r="AD26" s="528" t="n"/>
      <c r="AE26" s="162" t="n"/>
      <c r="AI26" s="171" t="n"/>
    </row>
    <row r="27" ht="45" customHeight="1">
      <c r="B27" s="556" t="n"/>
      <c r="C27" s="557" t="n"/>
      <c r="E27" s="554" t="n"/>
      <c r="F27" s="557" t="n"/>
      <c r="G27" s="554" t="n"/>
      <c r="H27" s="557" t="n"/>
      <c r="I27" s="554" t="n"/>
      <c r="J27" s="556" t="n"/>
      <c r="K27" s="557" t="n"/>
      <c r="L27" s="554" t="n"/>
      <c r="M27" s="556" t="n"/>
      <c r="N27" s="556" t="n"/>
      <c r="O27" s="557" t="n"/>
      <c r="P27" s="554" t="n"/>
      <c r="Q27" s="196" t="n"/>
      <c r="R27" s="556" t="n"/>
      <c r="S27" s="556" t="n"/>
      <c r="T27" s="556" t="n"/>
      <c r="U27" s="556" t="n"/>
      <c r="V27" s="556" t="n"/>
      <c r="W27" s="556" t="n"/>
      <c r="X27" s="556" t="n"/>
      <c r="Y27" s="556" t="n"/>
      <c r="Z27" s="556" t="n"/>
      <c r="AA27" s="556" t="n"/>
      <c r="AB27" s="557" t="n"/>
      <c r="AD27" s="554" t="n"/>
      <c r="AE27" s="162" t="n"/>
      <c r="AI27" s="171" t="n"/>
    </row>
    <row r="28" ht="45" customHeight="1">
      <c r="B28" s="540" t="n"/>
      <c r="C28" s="531" t="n"/>
      <c r="D28" s="532" t="n"/>
      <c r="E28" s="533" t="n"/>
      <c r="F28" s="531" t="n"/>
      <c r="G28" s="533" t="n"/>
      <c r="H28" s="531" t="n"/>
      <c r="I28" s="533" t="n"/>
      <c r="J28" s="540" t="n"/>
      <c r="K28" s="531" t="n"/>
      <c r="L28" s="533" t="n"/>
      <c r="M28" s="540" t="n"/>
      <c r="N28" s="540" t="n"/>
      <c r="O28" s="557" t="n"/>
      <c r="P28" s="554" t="n"/>
      <c r="Q28" s="196" t="n"/>
      <c r="R28" s="540" t="n"/>
      <c r="S28" s="540" t="n"/>
      <c r="T28" s="540" t="n"/>
      <c r="U28" s="540" t="n"/>
      <c r="V28" s="540" t="n"/>
      <c r="W28" s="540" t="n"/>
      <c r="X28" s="540" t="n"/>
      <c r="Y28" s="540" t="n"/>
      <c r="Z28" s="540" t="n"/>
      <c r="AA28" s="540" t="n"/>
      <c r="AB28" s="531" t="n"/>
      <c r="AC28" s="532" t="n"/>
      <c r="AD28" s="533" t="n"/>
      <c r="AE28" s="162" t="n"/>
      <c r="AI28" s="171" t="n"/>
    </row>
    <row r="29" ht="30" customHeight="1">
      <c r="B29" s="182" t="n"/>
      <c r="C29" s="194" t="n"/>
      <c r="D29" s="194" t="n"/>
      <c r="E29" s="194" t="n"/>
      <c r="G29" s="183" t="n"/>
      <c r="H29" s="183" t="n"/>
      <c r="I29" s="197" t="n"/>
      <c r="J29" s="198" t="n"/>
      <c r="K29" s="198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  <c r="W29" s="194" t="n"/>
      <c r="X29" s="194" t="n"/>
      <c r="Y29" s="194" t="n"/>
      <c r="Z29" s="194" t="n"/>
      <c r="AA29" s="194" t="n"/>
      <c r="AB29" s="194" t="n"/>
      <c r="AD29" s="171" t="n"/>
      <c r="AE29" s="162" t="n"/>
      <c r="AI29" s="171" t="n"/>
    </row>
    <row r="30" ht="47.25" customHeight="1">
      <c r="B30" s="467" t="inlineStr">
        <is>
          <t>DETAILS</t>
        </is>
      </c>
      <c r="C30" s="538" t="n"/>
      <c r="D30" s="538" t="n"/>
      <c r="E30" s="538" t="n"/>
      <c r="F30" s="469" t="inlineStr">
        <is>
          <t>THERMOGRAPHY</t>
        </is>
      </c>
      <c r="G30" s="538" t="n"/>
      <c r="H30" s="538" t="n"/>
      <c r="I30" s="538" t="n"/>
      <c r="J30" s="538" t="n"/>
      <c r="K30" s="538" t="n"/>
      <c r="L30" s="538" t="n"/>
      <c r="M30" s="538" t="n"/>
      <c r="N30" s="538" t="n"/>
      <c r="O30" s="538" t="n"/>
      <c r="P30" s="538" t="n"/>
      <c r="Q30" s="538" t="n"/>
      <c r="R30" s="538" t="n"/>
      <c r="S30" s="538" t="n"/>
      <c r="T30" s="538" t="n"/>
      <c r="U30" s="538" t="n"/>
      <c r="V30" s="538" t="n"/>
      <c r="W30" s="538" t="n"/>
      <c r="X30" s="538" t="n"/>
      <c r="Y30" s="538" t="n"/>
      <c r="Z30" s="538" t="n"/>
      <c r="AA30" s="538" t="n"/>
      <c r="AB30" s="538" t="n"/>
      <c r="AC30" s="538" t="n"/>
      <c r="AD30" s="530" t="n"/>
      <c r="AE30" s="162" t="n"/>
      <c r="AI30" s="171" t="n"/>
    </row>
    <row r="31" ht="54" customHeight="1">
      <c r="B31" s="471" t="inlineStr">
        <is>
          <t>No</t>
        </is>
      </c>
      <c r="C31" s="559" t="inlineStr">
        <is>
          <t>TX No</t>
        </is>
      </c>
      <c r="D31" s="527" t="n"/>
      <c r="E31" s="528" t="n"/>
      <c r="F31" s="412" t="inlineStr">
        <is>
          <t>Marshalling Kiosk</t>
        </is>
      </c>
      <c r="G31" s="532" t="n"/>
      <c r="H31" s="532" t="n"/>
      <c r="I31" s="532" t="n"/>
      <c r="J31" s="533" t="n"/>
      <c r="K31" s="199" t="n"/>
      <c r="L31" s="477" t="inlineStr">
        <is>
          <t>Conservator Tank</t>
        </is>
      </c>
      <c r="M31" s="532" t="n"/>
      <c r="N31" s="532" t="n"/>
      <c r="O31" s="532" t="n"/>
      <c r="P31" s="533" t="n"/>
      <c r="Q31" s="200" t="n"/>
      <c r="R31" s="412" t="inlineStr">
        <is>
          <t>Body</t>
        </is>
      </c>
      <c r="S31" s="532" t="n"/>
      <c r="T31" s="532" t="n"/>
      <c r="U31" s="532" t="n"/>
      <c r="V31" s="533" t="n"/>
      <c r="W31" s="201" t="n"/>
      <c r="X31" s="477" t="inlineStr">
        <is>
          <t>Cooling Fin</t>
        </is>
      </c>
      <c r="Y31" s="532" t="n"/>
      <c r="Z31" s="532" t="n"/>
      <c r="AA31" s="532" t="n"/>
      <c r="AB31" s="533" t="n"/>
      <c r="AC31" s="526" t="inlineStr">
        <is>
          <t>Remarks</t>
        </is>
      </c>
      <c r="AD31" s="554" t="n"/>
      <c r="AE31" s="162" t="n"/>
      <c r="AI31" s="171" t="n"/>
    </row>
    <row r="32" ht="88.5" customHeight="1">
      <c r="B32" s="560" t="n"/>
      <c r="C32" s="561" t="n"/>
      <c r="D32" s="562" t="n"/>
      <c r="E32" s="563" t="n"/>
      <c r="F32" s="469" t="inlineStr">
        <is>
          <t>Ref. Temp 
(°C)</t>
        </is>
      </c>
      <c r="G32" s="469" t="inlineStr">
        <is>
          <t>Max Temp 
(°C)</t>
        </is>
      </c>
      <c r="H32" s="469" t="inlineStr">
        <is>
          <t>Defect
∆T</t>
        </is>
      </c>
      <c r="I32" s="469" t="inlineStr">
        <is>
          <t>Avg Temp 
(°C)</t>
        </is>
      </c>
      <c r="J32" s="467" t="inlineStr">
        <is>
          <t>File</t>
        </is>
      </c>
      <c r="K32" s="202" t="n"/>
      <c r="L32" s="275" t="inlineStr">
        <is>
          <t>Ref. Temp 
(°C)</t>
        </is>
      </c>
      <c r="M32" s="275" t="inlineStr">
        <is>
          <t>Max Temp 
(°C)</t>
        </is>
      </c>
      <c r="N32" s="275" t="inlineStr">
        <is>
          <t>Defect
∆T</t>
        </is>
      </c>
      <c r="O32" s="275" t="inlineStr">
        <is>
          <t>Avg Temp 
(°C)</t>
        </is>
      </c>
      <c r="P32" s="276" t="inlineStr">
        <is>
          <t>File</t>
        </is>
      </c>
      <c r="Q32" s="203" t="n"/>
      <c r="R32" s="469" t="inlineStr">
        <is>
          <t>Ref. Temp 
(°C)</t>
        </is>
      </c>
      <c r="S32" s="469" t="inlineStr">
        <is>
          <t>Max Temp 
(°C)</t>
        </is>
      </c>
      <c r="T32" s="469" t="inlineStr">
        <is>
          <t>Defect
∆T</t>
        </is>
      </c>
      <c r="U32" s="469" t="inlineStr">
        <is>
          <t>Avg Temp 
(°C)</t>
        </is>
      </c>
      <c r="V32" s="467" t="inlineStr">
        <is>
          <t>File</t>
        </is>
      </c>
      <c r="W32" s="204" t="n"/>
      <c r="X32" s="275" t="inlineStr">
        <is>
          <t>Ref. Temp 
(°C)</t>
        </is>
      </c>
      <c r="Y32" s="275" t="inlineStr">
        <is>
          <t>Max Temp 
(°C)</t>
        </is>
      </c>
      <c r="Z32" s="275" t="inlineStr">
        <is>
          <t>Defect
∆T</t>
        </is>
      </c>
      <c r="AA32" s="275" t="inlineStr">
        <is>
          <t>Avg Temp 
(°C)</t>
        </is>
      </c>
      <c r="AB32" s="276" t="inlineStr">
        <is>
          <t>File</t>
        </is>
      </c>
      <c r="AC32" s="531" t="n"/>
      <c r="AD32" s="533" t="n"/>
      <c r="AE32" s="162" t="n"/>
      <c r="AI32" s="171" t="n"/>
    </row>
    <row r="33" ht="46.5" customHeight="1">
      <c r="B33" s="454" t="n">
        <v>1</v>
      </c>
      <c r="C33" s="564" t="inlineStr">
        <is>
          <t>TX 1</t>
        </is>
      </c>
      <c r="D33" s="565" t="n"/>
      <c r="E33" s="566" t="n"/>
      <c r="F33" s="555" t="n"/>
      <c r="G33" s="555" t="n"/>
      <c r="H33" s="555">
        <f>IF(G33="","",G33-F33)</f>
        <v/>
      </c>
      <c r="I33" s="555">
        <f>IF(G33="","",((F33+G33)/2))</f>
        <v/>
      </c>
      <c r="J33" s="484" t="n"/>
      <c r="K33" s="290" t="n"/>
      <c r="L33" s="555" t="n"/>
      <c r="M33" s="555" t="n"/>
      <c r="N33" s="555">
        <f>IF(M33="","",M33-L33)</f>
        <v/>
      </c>
      <c r="O33" s="555">
        <f>IF(M33="","",((L33+M33)/2))</f>
        <v/>
      </c>
      <c r="P33" s="484" t="n"/>
      <c r="Q33" s="438" t="n"/>
      <c r="R33" s="555" t="n"/>
      <c r="S33" s="555" t="n"/>
      <c r="T33" s="555">
        <f>IF(S33="","",S33-R33)</f>
        <v/>
      </c>
      <c r="U33" s="555">
        <f>IF(S33="","",((R33+S33)/2))</f>
        <v/>
      </c>
      <c r="V33" s="484" t="n"/>
      <c r="W33" s="451" t="n"/>
      <c r="X33" s="555" t="n"/>
      <c r="Y33" s="555" t="n"/>
      <c r="Z33" s="555">
        <f>IF(Y33="","",Y33-X33)</f>
        <v/>
      </c>
      <c r="AA33" s="555">
        <f>IF(Y33="","",((X33+Y33)/2))</f>
        <v/>
      </c>
      <c r="AB33" s="484" t="n"/>
      <c r="AC33" s="433" t="n"/>
      <c r="AD33" s="528" t="n"/>
      <c r="AE33" s="162" t="n"/>
      <c r="AI33" s="171" t="n"/>
    </row>
    <row r="34" ht="46.5" customHeight="1">
      <c r="B34" s="567" t="n"/>
      <c r="C34" s="568" t="n"/>
      <c r="E34" s="554" t="n"/>
      <c r="F34" s="556" t="n"/>
      <c r="G34" s="556" t="n"/>
      <c r="H34" s="556" t="n"/>
      <c r="I34" s="556" t="n"/>
      <c r="J34" s="556" t="n"/>
      <c r="K34" s="556" t="n"/>
      <c r="L34" s="556" t="n"/>
      <c r="M34" s="556" t="n"/>
      <c r="N34" s="556" t="n"/>
      <c r="O34" s="556" t="n"/>
      <c r="P34" s="556" t="n"/>
      <c r="Q34" s="557" t="n"/>
      <c r="R34" s="556" t="n"/>
      <c r="S34" s="556" t="n"/>
      <c r="T34" s="556" t="n"/>
      <c r="U34" s="556" t="n"/>
      <c r="V34" s="556" t="n"/>
      <c r="W34" s="452" t="n"/>
      <c r="X34" s="556" t="n"/>
      <c r="Y34" s="556" t="n"/>
      <c r="Z34" s="556" t="n"/>
      <c r="AA34" s="556" t="n"/>
      <c r="AB34" s="556" t="n"/>
      <c r="AD34" s="554" t="n"/>
      <c r="AE34" s="162" t="n"/>
      <c r="AI34" s="171" t="n"/>
    </row>
    <row r="35" ht="46.5" customHeight="1">
      <c r="B35" s="567" t="n"/>
      <c r="C35" s="561" t="n"/>
      <c r="D35" s="562" t="n"/>
      <c r="E35" s="563" t="n"/>
      <c r="F35" s="540" t="n"/>
      <c r="G35" s="540" t="n"/>
      <c r="H35" s="540" t="n"/>
      <c r="I35" s="540" t="n"/>
      <c r="J35" s="540" t="n"/>
      <c r="K35" s="540" t="n"/>
      <c r="L35" s="540" t="n"/>
      <c r="M35" s="540" t="n"/>
      <c r="N35" s="540" t="n"/>
      <c r="O35" s="540" t="n"/>
      <c r="P35" s="540" t="n"/>
      <c r="Q35" s="531" t="n"/>
      <c r="R35" s="540" t="n"/>
      <c r="S35" s="540" t="n"/>
      <c r="T35" s="540" t="n"/>
      <c r="U35" s="540" t="n"/>
      <c r="V35" s="540" t="n"/>
      <c r="W35" s="453" t="n"/>
      <c r="X35" s="540" t="n"/>
      <c r="Y35" s="540" t="n"/>
      <c r="Z35" s="540" t="n"/>
      <c r="AA35" s="540" t="n"/>
      <c r="AB35" s="540" t="n"/>
      <c r="AC35" s="532" t="n"/>
      <c r="AD35" s="533" t="n"/>
      <c r="AE35" s="162" t="n"/>
      <c r="AI35" s="171" t="n"/>
    </row>
    <row r="36" ht="46.5" customHeight="1">
      <c r="B36" s="569" t="n">
        <v>2</v>
      </c>
      <c r="C36" s="564" t="inlineStr">
        <is>
          <t>TX 2</t>
        </is>
      </c>
      <c r="D36" s="565" t="n"/>
      <c r="E36" s="566" t="n"/>
      <c r="F36" s="555" t="n"/>
      <c r="G36" s="555" t="n"/>
      <c r="H36" s="555">
        <f>IF(G36="","",G36-F36)</f>
        <v/>
      </c>
      <c r="I36" s="555">
        <f>IF(G36="","",((F36+G36)/2))</f>
        <v/>
      </c>
      <c r="J36" s="484" t="n"/>
      <c r="K36" s="290" t="n"/>
      <c r="L36" s="555" t="n"/>
      <c r="M36" s="555" t="n"/>
      <c r="N36" s="555">
        <f>IF(M36="","",M36-L36)</f>
        <v/>
      </c>
      <c r="O36" s="555">
        <f>IF(M36="","",((L36+M36)/2))</f>
        <v/>
      </c>
      <c r="P36" s="484" t="n"/>
      <c r="Q36" s="438" t="n"/>
      <c r="R36" s="555" t="n"/>
      <c r="S36" s="555" t="n"/>
      <c r="T36" s="555">
        <f>IF(S36="","",S36-R36)</f>
        <v/>
      </c>
      <c r="U36" s="555">
        <f>IF(S36="","",((R36+S36)/2))</f>
        <v/>
      </c>
      <c r="V36" s="484" t="n"/>
      <c r="W36" s="451" t="n"/>
      <c r="X36" s="555" t="n"/>
      <c r="Y36" s="555" t="n"/>
      <c r="Z36" s="555">
        <f>IF(Y36="","",Y36-X36)</f>
        <v/>
      </c>
      <c r="AA36" s="555">
        <f>IF(Y36="","",((X36+Y36)/2))</f>
        <v/>
      </c>
      <c r="AB36" s="484" t="n"/>
      <c r="AC36" s="433" t="n"/>
      <c r="AD36" s="528" t="n"/>
      <c r="AE36" s="162" t="n"/>
      <c r="AI36" s="171" t="n"/>
    </row>
    <row r="37" ht="46.5" customHeight="1">
      <c r="B37" s="567" t="n"/>
      <c r="C37" s="568" t="n"/>
      <c r="E37" s="554" t="n"/>
      <c r="F37" s="556" t="n"/>
      <c r="G37" s="556" t="n"/>
      <c r="H37" s="556" t="n"/>
      <c r="I37" s="556" t="n"/>
      <c r="J37" s="556" t="n"/>
      <c r="K37" s="556" t="n"/>
      <c r="L37" s="556" t="n"/>
      <c r="M37" s="556" t="n"/>
      <c r="N37" s="556" t="n"/>
      <c r="O37" s="556" t="n"/>
      <c r="P37" s="556" t="n"/>
      <c r="Q37" s="557" t="n"/>
      <c r="R37" s="556" t="n"/>
      <c r="S37" s="556" t="n"/>
      <c r="T37" s="556" t="n"/>
      <c r="U37" s="556" t="n"/>
      <c r="V37" s="556" t="n"/>
      <c r="W37" s="452" t="n"/>
      <c r="X37" s="556" t="n"/>
      <c r="Y37" s="556" t="n"/>
      <c r="Z37" s="556" t="n"/>
      <c r="AA37" s="556" t="n"/>
      <c r="AB37" s="556" t="n"/>
      <c r="AD37" s="554" t="n"/>
      <c r="AE37" s="162" t="n"/>
      <c r="AI37" s="171" t="n"/>
    </row>
    <row r="38" ht="46.5" customHeight="1">
      <c r="B38" s="560" t="n"/>
      <c r="C38" s="561" t="n"/>
      <c r="D38" s="562" t="n"/>
      <c r="E38" s="563" t="n"/>
      <c r="F38" s="540" t="n"/>
      <c r="G38" s="540" t="n"/>
      <c r="H38" s="540" t="n"/>
      <c r="I38" s="540" t="n"/>
      <c r="J38" s="540" t="n"/>
      <c r="K38" s="540" t="n"/>
      <c r="L38" s="540" t="n"/>
      <c r="M38" s="540" t="n"/>
      <c r="N38" s="540" t="n"/>
      <c r="O38" s="540" t="n"/>
      <c r="P38" s="540" t="n"/>
      <c r="Q38" s="531" t="n"/>
      <c r="R38" s="540" t="n"/>
      <c r="S38" s="540" t="n"/>
      <c r="T38" s="540" t="n"/>
      <c r="U38" s="540" t="n"/>
      <c r="V38" s="540" t="n"/>
      <c r="W38" s="453" t="n"/>
      <c r="X38" s="540" t="n"/>
      <c r="Y38" s="540" t="n"/>
      <c r="Z38" s="540" t="n"/>
      <c r="AA38" s="540" t="n"/>
      <c r="AB38" s="540" t="n"/>
      <c r="AC38" s="532" t="n"/>
      <c r="AD38" s="533" t="n"/>
      <c r="AE38" s="162" t="n"/>
      <c r="AI38" s="171" t="n"/>
    </row>
    <row r="39" ht="46.5" customHeight="1">
      <c r="B39" s="454" t="n">
        <v>3</v>
      </c>
      <c r="C39" s="564" t="inlineStr">
        <is>
          <t>TX 3</t>
        </is>
      </c>
      <c r="D39" s="565" t="n"/>
      <c r="E39" s="566" t="n"/>
      <c r="F39" s="555" t="n"/>
      <c r="G39" s="555" t="n"/>
      <c r="H39" s="555">
        <f>IF(G39="","",G39-F39)</f>
        <v/>
      </c>
      <c r="I39" s="555">
        <f>IF(G39="","",((F39+G39)/2))</f>
        <v/>
      </c>
      <c r="J39" s="484" t="n"/>
      <c r="K39" s="290" t="n"/>
      <c r="L39" s="555" t="n"/>
      <c r="M39" s="555" t="n"/>
      <c r="N39" s="555">
        <f>IF(M39="","",M39-L39)</f>
        <v/>
      </c>
      <c r="O39" s="555">
        <f>IF(M39="","",((L39+M39)/2))</f>
        <v/>
      </c>
      <c r="P39" s="484" t="n"/>
      <c r="Q39" s="438" t="n"/>
      <c r="R39" s="555" t="n"/>
      <c r="S39" s="555" t="n"/>
      <c r="T39" s="555">
        <f>IF(S39="","",S39-R39)</f>
        <v/>
      </c>
      <c r="U39" s="555">
        <f>IF(S39="","",((R39+S39)/2))</f>
        <v/>
      </c>
      <c r="V39" s="484" t="n"/>
      <c r="W39" s="451" t="n"/>
      <c r="X39" s="555" t="n"/>
      <c r="Y39" s="555" t="n"/>
      <c r="Z39" s="555">
        <f>IF(Y39="","",Y39-X39)</f>
        <v/>
      </c>
      <c r="AA39" s="555">
        <f>IF(Y39="","",((X39+Y39)/2))</f>
        <v/>
      </c>
      <c r="AB39" s="484" t="n"/>
      <c r="AC39" s="433" t="n"/>
      <c r="AD39" s="528" t="n"/>
      <c r="AE39" s="162" t="n"/>
      <c r="AI39" s="171" t="n"/>
    </row>
    <row r="40" ht="46.5" customHeight="1">
      <c r="B40" s="567" t="n"/>
      <c r="C40" s="568" t="n"/>
      <c r="E40" s="554" t="n"/>
      <c r="F40" s="556" t="n"/>
      <c r="G40" s="556" t="n"/>
      <c r="H40" s="556" t="n"/>
      <c r="I40" s="556" t="n"/>
      <c r="J40" s="556" t="n"/>
      <c r="K40" s="556" t="n"/>
      <c r="L40" s="556" t="n"/>
      <c r="M40" s="556" t="n"/>
      <c r="N40" s="556" t="n"/>
      <c r="O40" s="556" t="n"/>
      <c r="P40" s="556" t="n"/>
      <c r="Q40" s="557" t="n"/>
      <c r="R40" s="556" t="n"/>
      <c r="S40" s="556" t="n"/>
      <c r="T40" s="556" t="n"/>
      <c r="U40" s="556" t="n"/>
      <c r="V40" s="556" t="n"/>
      <c r="W40" s="452" t="n"/>
      <c r="X40" s="556" t="n"/>
      <c r="Y40" s="556" t="n"/>
      <c r="Z40" s="556" t="n"/>
      <c r="AA40" s="556" t="n"/>
      <c r="AB40" s="556" t="n"/>
      <c r="AD40" s="554" t="n"/>
      <c r="AE40" s="162" t="n"/>
      <c r="AI40" s="171" t="n"/>
    </row>
    <row r="41" ht="46.5" customHeight="1">
      <c r="B41" s="567" t="n"/>
      <c r="C41" s="561" t="n"/>
      <c r="D41" s="562" t="n"/>
      <c r="E41" s="563" t="n"/>
      <c r="F41" s="540" t="n"/>
      <c r="G41" s="540" t="n"/>
      <c r="H41" s="540" t="n"/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31" t="n"/>
      <c r="R41" s="540" t="n"/>
      <c r="S41" s="540" t="n"/>
      <c r="T41" s="540" t="n"/>
      <c r="U41" s="540" t="n"/>
      <c r="V41" s="540" t="n"/>
      <c r="W41" s="453" t="n"/>
      <c r="X41" s="540" t="n"/>
      <c r="Y41" s="540" t="n"/>
      <c r="Z41" s="540" t="n"/>
      <c r="AA41" s="540" t="n"/>
      <c r="AB41" s="540" t="n"/>
      <c r="AC41" s="532" t="n"/>
      <c r="AD41" s="533" t="n"/>
      <c r="AE41" s="162" t="n"/>
      <c r="AI41" s="171" t="n"/>
    </row>
    <row r="42" ht="46.5" customHeight="1">
      <c r="B42" s="454" t="n">
        <v>4</v>
      </c>
      <c r="C42" s="564" t="inlineStr">
        <is>
          <t>TX 4</t>
        </is>
      </c>
      <c r="D42" s="565" t="n"/>
      <c r="E42" s="566" t="n"/>
      <c r="F42" s="555" t="n"/>
      <c r="G42" s="555" t="n"/>
      <c r="H42" s="555">
        <f>IF(G42="","",G42-F42)</f>
        <v/>
      </c>
      <c r="I42" s="555">
        <f>IF(G42="","",((F42+G42)/2))</f>
        <v/>
      </c>
      <c r="J42" s="484" t="n"/>
      <c r="K42" s="290" t="n"/>
      <c r="L42" s="555" t="n"/>
      <c r="M42" s="555" t="n"/>
      <c r="N42" s="555">
        <f>IF(M42="","",M42-L42)</f>
        <v/>
      </c>
      <c r="O42" s="555">
        <f>IF(M42="","",((L42+M42)/2))</f>
        <v/>
      </c>
      <c r="P42" s="484" t="n"/>
      <c r="Q42" s="438" t="n"/>
      <c r="R42" s="555" t="n"/>
      <c r="S42" s="555" t="n"/>
      <c r="T42" s="555">
        <f>IF(S42="","",S42-R42)</f>
        <v/>
      </c>
      <c r="U42" s="555">
        <f>IF(S42="","",((R42+S42)/2))</f>
        <v/>
      </c>
      <c r="V42" s="484" t="n"/>
      <c r="W42" s="451" t="n"/>
      <c r="X42" s="555" t="n"/>
      <c r="Y42" s="555" t="n"/>
      <c r="Z42" s="555">
        <f>IF(Y42="","",Y42-X42)</f>
        <v/>
      </c>
      <c r="AA42" s="555">
        <f>IF(Y42="","",((X42+Y42)/2))</f>
        <v/>
      </c>
      <c r="AB42" s="484" t="n"/>
      <c r="AC42" s="433" t="n"/>
      <c r="AD42" s="528" t="n"/>
      <c r="AE42" s="162" t="n"/>
      <c r="AI42" s="171" t="n"/>
    </row>
    <row r="43" ht="46.5" customHeight="1">
      <c r="B43" s="567" t="n"/>
      <c r="C43" s="568" t="n"/>
      <c r="E43" s="554" t="n"/>
      <c r="F43" s="556" t="n"/>
      <c r="G43" s="556" t="n"/>
      <c r="H43" s="556" t="n"/>
      <c r="I43" s="556" t="n"/>
      <c r="J43" s="556" t="n"/>
      <c r="K43" s="556" t="n"/>
      <c r="L43" s="556" t="n"/>
      <c r="M43" s="556" t="n"/>
      <c r="N43" s="556" t="n"/>
      <c r="O43" s="556" t="n"/>
      <c r="P43" s="556" t="n"/>
      <c r="Q43" s="557" t="n"/>
      <c r="R43" s="556" t="n"/>
      <c r="S43" s="556" t="n"/>
      <c r="T43" s="556" t="n"/>
      <c r="U43" s="556" t="n"/>
      <c r="V43" s="556" t="n"/>
      <c r="W43" s="452" t="n"/>
      <c r="X43" s="556" t="n"/>
      <c r="Y43" s="556" t="n"/>
      <c r="Z43" s="556" t="n"/>
      <c r="AA43" s="556" t="n"/>
      <c r="AB43" s="556" t="n"/>
      <c r="AD43" s="554" t="n"/>
      <c r="AE43" s="162" t="n"/>
      <c r="AI43" s="171" t="n"/>
    </row>
    <row r="44" ht="46.5" customHeight="1">
      <c r="B44" s="567" t="n"/>
      <c r="C44" s="561" t="n"/>
      <c r="D44" s="562" t="n"/>
      <c r="E44" s="563" t="n"/>
      <c r="F44" s="540" t="n"/>
      <c r="G44" s="540" t="n"/>
      <c r="H44" s="540" t="n"/>
      <c r="I44" s="540" t="n"/>
      <c r="J44" s="540" t="n"/>
      <c r="K44" s="540" t="n"/>
      <c r="L44" s="540" t="n"/>
      <c r="M44" s="540" t="n"/>
      <c r="N44" s="540" t="n"/>
      <c r="O44" s="540" t="n"/>
      <c r="P44" s="540" t="n"/>
      <c r="Q44" s="531" t="n"/>
      <c r="R44" s="540" t="n"/>
      <c r="S44" s="540" t="n"/>
      <c r="T44" s="540" t="n"/>
      <c r="U44" s="540" t="n"/>
      <c r="V44" s="540" t="n"/>
      <c r="W44" s="453" t="n"/>
      <c r="X44" s="540" t="n"/>
      <c r="Y44" s="540" t="n"/>
      <c r="Z44" s="540" t="n"/>
      <c r="AA44" s="540" t="n"/>
      <c r="AB44" s="540" t="n"/>
      <c r="AC44" s="532" t="n"/>
      <c r="AD44" s="533" t="n"/>
      <c r="AE44" s="162" t="n"/>
      <c r="AI44" s="171" t="n"/>
    </row>
    <row r="45" ht="46.5" customHeight="1">
      <c r="B45" s="570" t="n">
        <v>5</v>
      </c>
      <c r="C45" s="571" t="inlineStr">
        <is>
          <t>LOCAL TX</t>
        </is>
      </c>
      <c r="D45" s="565" t="n"/>
      <c r="E45" s="566" t="n"/>
      <c r="F45" s="555" t="n"/>
      <c r="G45" s="555" t="n"/>
      <c r="H45" s="555">
        <f>IF(G45="","",G45-F45)</f>
        <v/>
      </c>
      <c r="I45" s="555">
        <f>IF(G45="","",((F45+G45)/2))</f>
        <v/>
      </c>
      <c r="J45" s="484" t="n"/>
      <c r="K45" s="290" t="n"/>
      <c r="L45" s="555" t="n"/>
      <c r="M45" s="555" t="n"/>
      <c r="N45" s="555">
        <f>IF(M45="","",M45-L45)</f>
        <v/>
      </c>
      <c r="O45" s="555">
        <f>IF(M45="","",((L45+M45)/2))</f>
        <v/>
      </c>
      <c r="P45" s="484" t="n"/>
      <c r="Q45" s="438" t="n"/>
      <c r="R45" s="555" t="n"/>
      <c r="S45" s="555" t="n"/>
      <c r="T45" s="555">
        <f>IF(S45="","",S45-R45)</f>
        <v/>
      </c>
      <c r="U45" s="555">
        <f>IF(S45="","",((R45+S45)/2))</f>
        <v/>
      </c>
      <c r="V45" s="484" t="n"/>
      <c r="W45" s="290" t="n"/>
      <c r="X45" s="555" t="n"/>
      <c r="Y45" s="555" t="n"/>
      <c r="Z45" s="555">
        <f>IF(Y45="","",Y45-X45)</f>
        <v/>
      </c>
      <c r="AA45" s="555">
        <f>IF(Y45="","",((X45+Y45)/2))</f>
        <v/>
      </c>
      <c r="AB45" s="484" t="n"/>
      <c r="AC45" s="433" t="n"/>
      <c r="AD45" s="528" t="n"/>
      <c r="AE45" s="162" t="n"/>
      <c r="AI45" s="171" t="n"/>
    </row>
    <row r="46" ht="46.5" customHeight="1">
      <c r="B46" s="567" t="n"/>
      <c r="C46" s="568" t="n"/>
      <c r="E46" s="554" t="n"/>
      <c r="F46" s="556" t="n"/>
      <c r="G46" s="556" t="n"/>
      <c r="H46" s="556" t="n"/>
      <c r="I46" s="556" t="n"/>
      <c r="J46" s="556" t="n"/>
      <c r="K46" s="556" t="n"/>
      <c r="L46" s="556" t="n"/>
      <c r="M46" s="556" t="n"/>
      <c r="N46" s="556" t="n"/>
      <c r="O46" s="556" t="n"/>
      <c r="P46" s="556" t="n"/>
      <c r="Q46" s="557" t="n"/>
      <c r="R46" s="556" t="n"/>
      <c r="S46" s="556" t="n"/>
      <c r="T46" s="556" t="n"/>
      <c r="U46" s="556" t="n"/>
      <c r="V46" s="556" t="n"/>
      <c r="W46" s="290" t="n"/>
      <c r="X46" s="556" t="n"/>
      <c r="Y46" s="556" t="n"/>
      <c r="Z46" s="556" t="n"/>
      <c r="AA46" s="556" t="n"/>
      <c r="AB46" s="556" t="n"/>
      <c r="AD46" s="554" t="n"/>
      <c r="AE46" s="162" t="n"/>
      <c r="AI46" s="171" t="n"/>
    </row>
    <row r="47" ht="46.5" customHeight="1">
      <c r="B47" s="560" t="n"/>
      <c r="C47" s="561" t="n"/>
      <c r="D47" s="562" t="n"/>
      <c r="E47" s="563" t="n"/>
      <c r="F47" s="540" t="n"/>
      <c r="G47" s="540" t="n"/>
      <c r="H47" s="540" t="n"/>
      <c r="I47" s="540" t="n"/>
      <c r="J47" s="540" t="n"/>
      <c r="K47" s="540" t="n"/>
      <c r="L47" s="540" t="n"/>
      <c r="M47" s="540" t="n"/>
      <c r="N47" s="540" t="n"/>
      <c r="O47" s="540" t="n"/>
      <c r="P47" s="540" t="n"/>
      <c r="Q47" s="531" t="n"/>
      <c r="R47" s="540" t="n"/>
      <c r="S47" s="540" t="n"/>
      <c r="T47" s="540" t="n"/>
      <c r="U47" s="540" t="n"/>
      <c r="V47" s="540" t="n"/>
      <c r="W47" s="290" t="n"/>
      <c r="X47" s="540" t="n"/>
      <c r="Y47" s="540" t="n"/>
      <c r="Z47" s="540" t="n"/>
      <c r="AA47" s="540" t="n"/>
      <c r="AB47" s="540" t="n"/>
      <c r="AC47" s="532" t="n"/>
      <c r="AD47" s="533" t="n"/>
      <c r="AE47" s="162" t="n"/>
      <c r="AI47" s="171" t="n"/>
    </row>
    <row r="48" ht="30" customHeight="1">
      <c r="B48" s="182" t="n"/>
      <c r="C48" s="194" t="n"/>
      <c r="D48" s="197" t="n"/>
      <c r="E48" s="197" t="n"/>
      <c r="F48" s="194" t="n"/>
      <c r="G48" s="194" t="n"/>
      <c r="H48" s="194" t="n"/>
      <c r="I48" s="194" t="n"/>
      <c r="J48" s="194" t="n"/>
      <c r="K48" s="197" t="n"/>
      <c r="L48" s="194" t="n"/>
      <c r="M48" s="194" t="n"/>
      <c r="N48" s="194" t="n"/>
      <c r="O48" s="194" t="n"/>
      <c r="P48" s="194" t="n"/>
      <c r="Q48" s="197" t="n"/>
      <c r="R48" s="194" t="n"/>
      <c r="S48" s="194" t="n"/>
      <c r="T48" s="194" t="n"/>
      <c r="U48" s="194" t="n"/>
      <c r="V48" s="194" t="n"/>
      <c r="W48" s="194" t="n"/>
      <c r="X48" s="194" t="n"/>
      <c r="Y48" s="194" t="n"/>
      <c r="Z48" s="194" t="n"/>
      <c r="AA48" s="194" t="n"/>
      <c r="AB48" s="194" t="n"/>
      <c r="AD48" s="171" t="n"/>
      <c r="AE48" s="162" t="n"/>
      <c r="AI48" s="171" t="n"/>
    </row>
    <row r="49" ht="60" customHeight="1">
      <c r="B49" s="435" t="inlineStr">
        <is>
          <t>LV DISTRIBUTION BOARD/FEEDER PILLAR/OTHERS</t>
        </is>
      </c>
      <c r="C49" s="532" t="n"/>
      <c r="D49" s="532" t="n"/>
      <c r="E49" s="532" t="n"/>
      <c r="F49" s="532" t="n"/>
      <c r="G49" s="532" t="n"/>
      <c r="H49" s="532" t="n"/>
      <c r="I49" s="532" t="n"/>
      <c r="J49" s="532" t="n"/>
      <c r="K49" s="532" t="n"/>
      <c r="L49" s="532" t="n"/>
      <c r="M49" s="532" t="n"/>
      <c r="N49" s="532" t="n"/>
      <c r="O49" s="532" t="n"/>
      <c r="P49" s="532" t="n"/>
      <c r="Q49" s="532" t="n"/>
      <c r="R49" s="532" t="n"/>
      <c r="S49" s="532" t="n"/>
      <c r="T49" s="532" t="n"/>
      <c r="U49" s="532" t="n"/>
      <c r="V49" s="532" t="n"/>
      <c r="W49" s="532" t="n"/>
      <c r="X49" s="532" t="n"/>
      <c r="Y49" s="532" t="n"/>
      <c r="Z49" s="532" t="n"/>
      <c r="AA49" s="532" t="n"/>
      <c r="AB49" s="532" t="n"/>
      <c r="AC49" s="532" t="n"/>
      <c r="AD49" s="533" t="n"/>
      <c r="AE49" s="191" t="n"/>
      <c r="AI49" s="171" t="n"/>
    </row>
    <row r="50" ht="45" customHeight="1">
      <c r="B50" s="208" t="n"/>
      <c r="C50" s="178" t="n"/>
      <c r="D50" s="194" t="n"/>
      <c r="G50" s="194" t="n"/>
      <c r="H50" s="194" t="n"/>
      <c r="I50" s="194" t="n"/>
      <c r="J50" s="194" t="n"/>
      <c r="K50" s="194" t="n"/>
      <c r="L50" s="194" t="n"/>
      <c r="M50" s="194" t="n"/>
      <c r="N50" s="194" t="n"/>
      <c r="O50" s="194" t="n"/>
      <c r="P50" s="194" t="n"/>
      <c r="Q50" s="194" t="n"/>
      <c r="R50" s="183" t="n"/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3" t="n"/>
      <c r="AC50" s="183" t="n"/>
      <c r="AD50" s="209" t="n"/>
      <c r="AE50" s="191" t="n"/>
      <c r="AI50" s="171" t="n"/>
    </row>
    <row r="51" ht="79.5" customHeight="1">
      <c r="B51" s="172" t="inlineStr">
        <is>
          <t>Rating (A):</t>
        </is>
      </c>
      <c r="C51" s="210" t="n"/>
      <c r="D51" s="437" t="n"/>
      <c r="E51" s="532" t="n"/>
      <c r="F51" s="532" t="n"/>
      <c r="G51" s="194" t="n"/>
      <c r="H51" s="194" t="n"/>
      <c r="I51" s="194" t="n"/>
      <c r="J51" s="194" t="n"/>
      <c r="K51" s="194" t="n"/>
      <c r="L51" s="194" t="n"/>
      <c r="M51" s="194" t="n"/>
      <c r="N51" s="194" t="n"/>
      <c r="O51" s="194" t="n"/>
      <c r="P51" s="194" t="n"/>
      <c r="Q51" s="194" t="n"/>
      <c r="R51" s="183" t="n"/>
      <c r="X51" s="183" t="n"/>
      <c r="AC51" s="183" t="n"/>
      <c r="AD51" s="209" t="n"/>
      <c r="AE51" s="191" t="n"/>
      <c r="AI51" s="171" t="n"/>
    </row>
    <row r="52" ht="79.5" customHeight="1">
      <c r="B52" s="172" t="inlineStr">
        <is>
          <t xml:space="preserve">Serial No.: </t>
        </is>
      </c>
      <c r="C52" s="173" t="n"/>
      <c r="D52" s="425" t="n"/>
      <c r="E52" s="538" t="n"/>
      <c r="F52" s="538" t="n"/>
      <c r="G52" s="194" t="n"/>
      <c r="H52" s="194" t="n"/>
      <c r="I52" s="194" t="n"/>
      <c r="J52" s="194" t="n"/>
      <c r="K52" s="194" t="n"/>
      <c r="L52" s="194" t="n"/>
      <c r="M52" s="194" t="n"/>
      <c r="N52" s="194" t="n"/>
      <c r="O52" s="194" t="n"/>
      <c r="P52" s="194" t="n"/>
      <c r="Q52" s="194" t="n"/>
      <c r="R52" s="183" t="n"/>
      <c r="X52" s="183" t="n"/>
      <c r="AC52" s="183" t="n"/>
      <c r="AD52" s="209" t="n"/>
      <c r="AE52" s="191" t="n"/>
      <c r="AI52" s="171" t="n"/>
    </row>
    <row r="53" ht="79.5" customHeight="1">
      <c r="B53" s="172" t="inlineStr">
        <is>
          <t>Type:</t>
        </is>
      </c>
      <c r="C53" s="210" t="n"/>
      <c r="D53" s="426" t="n"/>
      <c r="E53" s="538" t="n"/>
      <c r="F53" s="538" t="n"/>
      <c r="G53" s="194" t="n"/>
      <c r="H53" s="194" t="n"/>
      <c r="I53" s="194" t="n"/>
      <c r="J53" s="194" t="n"/>
      <c r="K53" s="194" t="n"/>
      <c r="L53" s="194" t="n"/>
      <c r="M53" s="194" t="n"/>
      <c r="N53" s="194" t="n"/>
      <c r="O53" s="194" t="n"/>
      <c r="P53" s="194" t="n"/>
      <c r="Q53" s="194" t="n"/>
      <c r="R53" s="183" t="n"/>
      <c r="X53" s="183" t="n"/>
      <c r="AC53" s="183" t="n"/>
      <c r="AD53" s="209" t="n"/>
      <c r="AE53" s="191" t="n"/>
      <c r="AI53" s="171" t="n"/>
    </row>
    <row r="54" ht="79.5" customHeight="1">
      <c r="B54" s="172" t="inlineStr">
        <is>
          <t>Manufacturer:</t>
        </is>
      </c>
      <c r="C54" s="210" t="n"/>
      <c r="D54" s="426" t="n"/>
      <c r="E54" s="538" t="n"/>
      <c r="F54" s="538" t="n"/>
      <c r="G54" s="194" t="n"/>
      <c r="H54" s="194" t="n"/>
      <c r="I54" s="194" t="n"/>
      <c r="J54" s="194" t="n"/>
      <c r="K54" s="194" t="n"/>
      <c r="L54" s="194" t="n"/>
      <c r="M54" s="194" t="n"/>
      <c r="N54" s="194" t="n"/>
      <c r="O54" s="194" t="n"/>
      <c r="P54" s="194" t="n"/>
      <c r="Q54" s="194" t="n"/>
      <c r="R54" s="183" t="n"/>
      <c r="X54" s="183" t="n"/>
      <c r="AC54" s="183" t="n"/>
      <c r="AD54" s="209" t="n"/>
      <c r="AE54" s="191" t="n"/>
      <c r="AI54" s="171" t="n"/>
    </row>
    <row r="55" ht="39.75" customHeight="1">
      <c r="B55" s="208" t="n"/>
      <c r="D55" s="520" t="n"/>
      <c r="E55" s="520" t="n"/>
      <c r="F55" s="520" t="n"/>
      <c r="G55" s="194" t="n"/>
      <c r="H55" s="194" t="n"/>
      <c r="I55" s="194" t="n"/>
      <c r="J55" s="194" t="n"/>
      <c r="K55" s="194" t="n"/>
      <c r="L55" s="194" t="n"/>
      <c r="M55" s="194" t="n"/>
      <c r="N55" s="194" t="n"/>
      <c r="O55" s="194" t="n"/>
      <c r="P55" s="194" t="n"/>
      <c r="Q55" s="194" t="n"/>
      <c r="R55" s="183" t="n"/>
      <c r="X55" s="183" t="n"/>
      <c r="AC55" s="183" t="n"/>
      <c r="AD55" s="209" t="n"/>
      <c r="AE55" s="191" t="n"/>
    </row>
    <row r="56" ht="81" customFormat="1" customHeight="1" s="165">
      <c r="A56" s="162" t="n"/>
      <c r="B56" s="416" t="inlineStr">
        <is>
          <t xml:space="preserve">LVDB / FP </t>
        </is>
      </c>
      <c r="C56" s="530" t="n"/>
      <c r="D56" s="416" t="inlineStr">
        <is>
          <t>INC 1</t>
        </is>
      </c>
      <c r="E56" s="530" t="n"/>
      <c r="F56" s="416" t="inlineStr">
        <is>
          <t>INC 2</t>
        </is>
      </c>
      <c r="G56" s="416" t="inlineStr">
        <is>
          <t>INC 3</t>
        </is>
      </c>
      <c r="H56" s="416" t="inlineStr">
        <is>
          <t>F1</t>
        </is>
      </c>
      <c r="I56" s="416" t="inlineStr">
        <is>
          <t>F2</t>
        </is>
      </c>
      <c r="J56" s="416" t="inlineStr">
        <is>
          <t>F3</t>
        </is>
      </c>
      <c r="K56" s="416" t="inlineStr">
        <is>
          <t>F4</t>
        </is>
      </c>
      <c r="L56" s="416" t="inlineStr">
        <is>
          <t>F5</t>
        </is>
      </c>
      <c r="M56" s="416" t="inlineStr">
        <is>
          <t>F6</t>
        </is>
      </c>
      <c r="N56" s="416" t="inlineStr">
        <is>
          <t>F7</t>
        </is>
      </c>
      <c r="O56" s="416" t="inlineStr">
        <is>
          <t>F8</t>
        </is>
      </c>
      <c r="P56" s="163" t="n"/>
      <c r="Q56" s="212" t="n"/>
      <c r="R56" s="212" t="n"/>
      <c r="S56" s="212" t="n"/>
      <c r="T56" s="212" t="n"/>
      <c r="U56" s="212" t="n"/>
      <c r="V56" s="212" t="n"/>
      <c r="W56" s="212" t="n"/>
      <c r="X56" s="212" t="n"/>
      <c r="Y56" s="212" t="n"/>
      <c r="Z56" s="212" t="n"/>
      <c r="AA56" s="212" t="n"/>
      <c r="AB56" s="212" t="n"/>
      <c r="AC56" s="212" t="n"/>
      <c r="AD56" s="213" t="n"/>
      <c r="AE56" s="212" t="n"/>
      <c r="AF56" s="212" t="n"/>
      <c r="AG56" s="212" t="n"/>
      <c r="AH56" s="212" t="n"/>
      <c r="AJ56" s="214" t="n"/>
      <c r="AK56" s="214" t="n"/>
    </row>
    <row r="57" ht="81" customFormat="1" customHeight="1" s="165">
      <c r="A57" s="162" t="n"/>
      <c r="B57" s="416" t="inlineStr">
        <is>
          <t>Cable Type</t>
        </is>
      </c>
      <c r="C57" s="530" t="n"/>
      <c r="D57" s="216" t="n"/>
      <c r="E57" s="530" t="n"/>
      <c r="F57" s="216" t="n"/>
      <c r="G57" s="216" t="n"/>
      <c r="H57" s="216" t="n"/>
      <c r="I57" s="216" t="n"/>
      <c r="J57" s="216" t="n"/>
      <c r="K57" s="216" t="n"/>
      <c r="L57" s="216" t="n"/>
      <c r="M57" s="216" t="n"/>
      <c r="N57" s="216" t="n"/>
      <c r="O57" s="216" t="n"/>
      <c r="P57" s="162" t="n"/>
      <c r="AD57" s="217" t="n"/>
      <c r="AJ57" s="214" t="n"/>
      <c r="AK57" s="214" t="n"/>
    </row>
    <row r="58" ht="81" customFormat="1" customHeight="1" s="165">
      <c r="A58" s="162" t="n"/>
      <c r="B58" s="416" t="inlineStr">
        <is>
          <t>Cable Size</t>
        </is>
      </c>
      <c r="C58" s="530" t="n"/>
      <c r="D58" s="216" t="n"/>
      <c r="E58" s="530" t="n"/>
      <c r="F58" s="215" t="n"/>
      <c r="G58" s="216" t="n"/>
      <c r="H58" s="216" t="n"/>
      <c r="I58" s="216" t="n"/>
      <c r="J58" s="216" t="n"/>
      <c r="K58" s="216" t="n"/>
      <c r="L58" s="216" t="n"/>
      <c r="M58" s="216" t="n"/>
      <c r="N58" s="216" t="n"/>
      <c r="O58" s="216" t="n"/>
      <c r="P58" s="162" t="n"/>
      <c r="AD58" s="217" t="n"/>
      <c r="AJ58" s="214" t="n"/>
      <c r="AK58" s="214" t="n"/>
    </row>
    <row r="59" ht="39.75" customHeight="1">
      <c r="B59" s="218" t="n"/>
      <c r="C59" s="520" t="n"/>
      <c r="D59" s="194" t="n"/>
      <c r="E59" s="178" t="n"/>
      <c r="F59" s="520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3" t="n"/>
      <c r="AA59" s="183" t="n"/>
      <c r="AB59" s="183" t="n"/>
      <c r="AC59" s="183" t="n"/>
      <c r="AD59" s="209" t="n"/>
      <c r="AE59" s="191" t="n"/>
      <c r="AI59" s="171" t="n"/>
    </row>
    <row r="60" ht="57" customHeight="1">
      <c r="B60" s="572" t="inlineStr">
        <is>
          <t>No</t>
        </is>
      </c>
      <c r="C60" s="413" t="inlineStr">
        <is>
          <t>LVDB / FP</t>
        </is>
      </c>
      <c r="D60" s="469" t="inlineStr">
        <is>
          <t>Cable Type</t>
        </is>
      </c>
      <c r="E60" s="528" t="n"/>
      <c r="F60" s="469" t="inlineStr">
        <is>
          <t>Cable Size</t>
        </is>
      </c>
      <c r="G60" s="469" t="inlineStr">
        <is>
          <t>Ref. Temp 
(°C)</t>
        </is>
      </c>
      <c r="H60" s="469" t="inlineStr">
        <is>
          <t>Max Temp 
(°C)</t>
        </is>
      </c>
      <c r="I60" s="469" t="inlineStr">
        <is>
          <t>Defect
∆T</t>
        </is>
      </c>
      <c r="J60" s="469" t="inlineStr">
        <is>
          <t>Avg Temp 
(°C)</t>
        </is>
      </c>
      <c r="K60" s="469" t="inlineStr">
        <is>
          <t>File</t>
        </is>
      </c>
      <c r="L60" s="416" t="inlineStr">
        <is>
          <t>Load (A)</t>
        </is>
      </c>
      <c r="M60" s="538" t="n"/>
      <c r="N60" s="538" t="n"/>
      <c r="O60" s="530" t="n"/>
      <c r="P60" s="416" t="inlineStr">
        <is>
          <t>Remarks</t>
        </is>
      </c>
      <c r="Q60" s="528" t="n"/>
      <c r="S60" s="163" t="n"/>
      <c r="T60" s="163" t="n"/>
      <c r="U60" s="163" t="n"/>
      <c r="V60" s="163" t="n"/>
      <c r="W60" s="163" t="n"/>
      <c r="Y60" s="163" t="n"/>
      <c r="Z60" s="163" t="n"/>
      <c r="AA60" s="163" t="n"/>
      <c r="AB60" s="163" t="n"/>
      <c r="AD60" s="171" t="n"/>
      <c r="AE60" s="162" t="n"/>
      <c r="AF60" s="520" t="n"/>
      <c r="AI60" s="171" t="n"/>
    </row>
    <row r="61" ht="63" customHeight="1">
      <c r="B61" s="540" t="n"/>
      <c r="C61" s="531" t="n"/>
      <c r="D61" s="531" t="n"/>
      <c r="E61" s="533" t="n"/>
      <c r="F61" s="540" t="n"/>
      <c r="G61" s="540" t="n"/>
      <c r="H61" s="540" t="n"/>
      <c r="I61" s="540" t="n"/>
      <c r="J61" s="540" t="n"/>
      <c r="K61" s="540" t="n"/>
      <c r="L61" s="416" t="inlineStr">
        <is>
          <t>Red</t>
        </is>
      </c>
      <c r="M61" s="416" t="inlineStr">
        <is>
          <t>Yellow</t>
        </is>
      </c>
      <c r="N61" s="525" t="inlineStr">
        <is>
          <t>Blue</t>
        </is>
      </c>
      <c r="O61" s="525" t="inlineStr">
        <is>
          <t>Neutral</t>
        </is>
      </c>
      <c r="P61" s="531" t="n"/>
      <c r="Q61" s="533" t="n"/>
      <c r="S61" s="163" t="n"/>
      <c r="T61" s="163" t="n"/>
      <c r="U61" s="163" t="n"/>
      <c r="V61" s="163" t="n"/>
      <c r="W61" s="163" t="n"/>
      <c r="Y61" s="163" t="n"/>
      <c r="Z61" s="163" t="n"/>
      <c r="AA61" s="163" t="n"/>
      <c r="AB61" s="163" t="n"/>
      <c r="AD61" s="171" t="n"/>
      <c r="AE61" s="162" t="n"/>
      <c r="AF61" s="520" t="n"/>
      <c r="AI61" s="171" t="n"/>
    </row>
    <row r="62" ht="57" customFormat="1" customHeight="1" s="219">
      <c r="B62" s="573" t="inlineStr">
        <is>
          <t>1</t>
        </is>
      </c>
      <c r="C62" s="399" t="n"/>
      <c r="D62" s="399" t="n"/>
      <c r="E62" s="528" t="n"/>
      <c r="F62" s="385" t="n"/>
      <c r="G62" s="574" t="n"/>
      <c r="H62" s="574" t="n"/>
      <c r="I62" s="575" t="n"/>
      <c r="J62" s="576" t="n"/>
      <c r="K62" s="577" t="n"/>
      <c r="L62" s="577" t="n"/>
      <c r="M62" s="399" t="n"/>
      <c r="N62" s="399" t="n"/>
      <c r="O62" s="399" t="n"/>
      <c r="P62" s="399" t="n"/>
      <c r="Q62" s="528" t="n"/>
      <c r="R62" s="220" t="n"/>
      <c r="S62" s="221" t="n"/>
      <c r="T62" s="221" t="n"/>
      <c r="U62" s="221" t="n"/>
      <c r="V62" s="221" t="n"/>
      <c r="W62" s="221" t="n"/>
      <c r="X62" s="220" t="n"/>
      <c r="Y62" s="221" t="n"/>
      <c r="Z62" s="221" t="n"/>
      <c r="AA62" s="221" t="n"/>
      <c r="AB62" s="221" t="n"/>
      <c r="AC62" s="222" t="n"/>
      <c r="AD62" s="223" t="n"/>
      <c r="AE62" s="224" t="n"/>
      <c r="AI62" s="225" t="n"/>
    </row>
    <row r="63" ht="57" customFormat="1" customHeight="1" s="219">
      <c r="B63" s="540" t="n"/>
      <c r="C63" s="540" t="n"/>
      <c r="D63" s="531" t="n"/>
      <c r="E63" s="533" t="n"/>
      <c r="F63" s="556" t="n"/>
      <c r="G63" s="540" t="n"/>
      <c r="H63" s="540" t="n"/>
      <c r="I63" s="540" t="n"/>
      <c r="J63" s="540" t="n"/>
      <c r="K63" s="540" t="n"/>
      <c r="L63" s="540" t="n"/>
      <c r="M63" s="540" t="n"/>
      <c r="N63" s="540" t="n"/>
      <c r="O63" s="540" t="n"/>
      <c r="P63" s="531" t="n"/>
      <c r="Q63" s="533" t="n"/>
      <c r="R63" s="220" t="n"/>
      <c r="S63" s="221" t="n"/>
      <c r="T63" s="221" t="n"/>
      <c r="U63" s="221" t="n"/>
      <c r="V63" s="221" t="n"/>
      <c r="W63" s="221" t="n"/>
      <c r="X63" s="220" t="n"/>
      <c r="Y63" s="221" t="n"/>
      <c r="Z63" s="221" t="n"/>
      <c r="AA63" s="221" t="n"/>
      <c r="AB63" s="221" t="n"/>
      <c r="AC63" s="222" t="n"/>
      <c r="AD63" s="223" t="n"/>
      <c r="AE63" s="224" t="n"/>
      <c r="AI63" s="225" t="n"/>
    </row>
    <row r="64" ht="57" customFormat="1" customHeight="1" s="219">
      <c r="B64" s="573" t="inlineStr">
        <is>
          <t>2</t>
        </is>
      </c>
      <c r="C64" s="399" t="n"/>
      <c r="D64" s="399" t="n"/>
      <c r="E64" s="528" t="n"/>
      <c r="F64" s="385" t="n"/>
      <c r="G64" s="574" t="n"/>
      <c r="H64" s="574" t="n"/>
      <c r="I64" s="575" t="n"/>
      <c r="J64" s="576" t="n"/>
      <c r="K64" s="577" t="n"/>
      <c r="L64" s="577" t="n"/>
      <c r="M64" s="399" t="n"/>
      <c r="N64" s="399" t="n"/>
      <c r="O64" s="399" t="n"/>
      <c r="P64" s="399" t="n"/>
      <c r="Q64" s="528" t="n"/>
      <c r="R64" s="220" t="n"/>
      <c r="S64" s="221" t="n"/>
      <c r="T64" s="221" t="n"/>
      <c r="U64" s="221" t="n"/>
      <c r="V64" s="221" t="n"/>
      <c r="W64" s="221" t="n"/>
      <c r="X64" s="220" t="n"/>
      <c r="Y64" s="221" t="n"/>
      <c r="Z64" s="221" t="n"/>
      <c r="AA64" s="221" t="n"/>
      <c r="AB64" s="221" t="n"/>
      <c r="AC64" s="222" t="n"/>
      <c r="AD64" s="223" t="n"/>
      <c r="AE64" s="224" t="n"/>
      <c r="AI64" s="225" t="n"/>
    </row>
    <row r="65" ht="57" customFormat="1" customHeight="1" s="219">
      <c r="B65" s="540" t="n"/>
      <c r="C65" s="540" t="n"/>
      <c r="D65" s="531" t="n"/>
      <c r="E65" s="533" t="n"/>
      <c r="F65" s="556" t="n"/>
      <c r="G65" s="540" t="n"/>
      <c r="H65" s="540" t="n"/>
      <c r="I65" s="540" t="n"/>
      <c r="J65" s="540" t="n"/>
      <c r="K65" s="540" t="n"/>
      <c r="L65" s="540" t="n"/>
      <c r="M65" s="540" t="n"/>
      <c r="N65" s="540" t="n"/>
      <c r="O65" s="540" t="n"/>
      <c r="P65" s="531" t="n"/>
      <c r="Q65" s="533" t="n"/>
      <c r="R65" s="220" t="n"/>
      <c r="S65" s="406" t="inlineStr">
        <is>
          <t>ULTRASOUND Type Characteristic</t>
        </is>
      </c>
      <c r="T65" s="538" t="n"/>
      <c r="U65" s="538" t="n"/>
      <c r="V65" s="530" t="n"/>
      <c r="W65" s="226" t="n"/>
      <c r="X65" s="220" t="n"/>
      <c r="Y65" s="405" t="n"/>
      <c r="AC65" s="222" t="n"/>
      <c r="AD65" s="223" t="n"/>
      <c r="AE65" s="224" t="n"/>
      <c r="AI65" s="225" t="n"/>
    </row>
    <row r="66" ht="57" customFormat="1" customHeight="1" s="219">
      <c r="B66" s="573" t="inlineStr">
        <is>
          <t>3</t>
        </is>
      </c>
      <c r="C66" s="399" t="n"/>
      <c r="D66" s="399" t="n"/>
      <c r="E66" s="528" t="n"/>
      <c r="F66" s="385" t="n"/>
      <c r="G66" s="574" t="n"/>
      <c r="H66" s="574" t="n"/>
      <c r="I66" s="575" t="n"/>
      <c r="J66" s="576" t="n"/>
      <c r="K66" s="577" t="n"/>
      <c r="L66" s="577" t="n"/>
      <c r="M66" s="399" t="n"/>
      <c r="N66" s="399" t="n"/>
      <c r="O66" s="399" t="n"/>
      <c r="P66" s="399" t="n"/>
      <c r="Q66" s="528" t="n"/>
      <c r="R66" s="220" t="n"/>
      <c r="S66" s="402" t="inlineStr">
        <is>
          <t>A</t>
        </is>
      </c>
      <c r="T66" s="402" t="inlineStr">
        <is>
          <t>Arcing</t>
        </is>
      </c>
      <c r="U66" s="538" t="n"/>
      <c r="V66" s="530" t="n"/>
      <c r="W66" s="228" t="n"/>
      <c r="X66" s="220" t="n"/>
      <c r="Y66" s="403" t="n"/>
      <c r="Z66" s="403" t="n"/>
      <c r="AC66" s="222" t="n"/>
      <c r="AD66" s="223" t="n"/>
      <c r="AE66" s="224" t="n"/>
      <c r="AI66" s="225" t="n"/>
    </row>
    <row r="67" ht="57" customFormat="1" customHeight="1" s="219">
      <c r="B67" s="540" t="n"/>
      <c r="C67" s="540" t="n"/>
      <c r="D67" s="531" t="n"/>
      <c r="E67" s="533" t="n"/>
      <c r="F67" s="556" t="n"/>
      <c r="G67" s="540" t="n"/>
      <c r="H67" s="540" t="n"/>
      <c r="I67" s="540" t="n"/>
      <c r="J67" s="540" t="n"/>
      <c r="K67" s="540" t="n"/>
      <c r="L67" s="540" t="n"/>
      <c r="M67" s="540" t="n"/>
      <c r="N67" s="540" t="n"/>
      <c r="O67" s="540" t="n"/>
      <c r="P67" s="531" t="n"/>
      <c r="Q67" s="533" t="n"/>
      <c r="R67" s="220" t="n"/>
      <c r="S67" s="402" t="inlineStr">
        <is>
          <t>T</t>
        </is>
      </c>
      <c r="T67" s="402" t="inlineStr">
        <is>
          <t>Tracking</t>
        </is>
      </c>
      <c r="U67" s="538" t="n"/>
      <c r="V67" s="530" t="n"/>
      <c r="W67" s="228" t="n"/>
      <c r="X67" s="220" t="n"/>
      <c r="Y67" s="403" t="n"/>
      <c r="Z67" s="403" t="n"/>
      <c r="AC67" s="222" t="n"/>
      <c r="AD67" s="223" t="n"/>
      <c r="AE67" s="224" t="n"/>
      <c r="AI67" s="225" t="n"/>
    </row>
    <row r="68" ht="57" customFormat="1" customHeight="1" s="219">
      <c r="B68" s="573" t="inlineStr">
        <is>
          <t>4</t>
        </is>
      </c>
      <c r="C68" s="399" t="n"/>
      <c r="D68" s="399" t="n"/>
      <c r="E68" s="528" t="n"/>
      <c r="F68" s="385" t="n"/>
      <c r="G68" s="574" t="n"/>
      <c r="H68" s="574" t="n"/>
      <c r="I68" s="575" t="n"/>
      <c r="J68" s="576" t="n"/>
      <c r="K68" s="577" t="n"/>
      <c r="L68" s="577" t="n"/>
      <c r="M68" s="399" t="n"/>
      <c r="N68" s="399" t="n"/>
      <c r="O68" s="399" t="n"/>
      <c r="P68" s="399" t="n"/>
      <c r="Q68" s="528" t="n"/>
      <c r="R68" s="220" t="n"/>
      <c r="S68" s="402" t="inlineStr">
        <is>
          <t>C</t>
        </is>
      </c>
      <c r="T68" s="402" t="inlineStr">
        <is>
          <t>Corona</t>
        </is>
      </c>
      <c r="U68" s="538" t="n"/>
      <c r="V68" s="530" t="n"/>
      <c r="W68" s="228" t="n"/>
      <c r="X68" s="220" t="n"/>
      <c r="Y68" s="403" t="n"/>
      <c r="Z68" s="403" t="n"/>
      <c r="AC68" s="222" t="n"/>
      <c r="AD68" s="223" t="n"/>
      <c r="AE68" s="224" t="n"/>
      <c r="AI68" s="225" t="n"/>
    </row>
    <row r="69" ht="57" customFormat="1" customHeight="1" s="219">
      <c r="B69" s="540" t="n"/>
      <c r="C69" s="540" t="n"/>
      <c r="D69" s="531" t="n"/>
      <c r="E69" s="533" t="n"/>
      <c r="F69" s="556" t="n"/>
      <c r="G69" s="540" t="n"/>
      <c r="H69" s="540" t="n"/>
      <c r="I69" s="540" t="n"/>
      <c r="J69" s="540" t="n"/>
      <c r="K69" s="540" t="n"/>
      <c r="L69" s="540" t="n"/>
      <c r="M69" s="540" t="n"/>
      <c r="N69" s="540" t="n"/>
      <c r="O69" s="540" t="n"/>
      <c r="P69" s="531" t="n"/>
      <c r="Q69" s="533" t="n"/>
      <c r="R69" s="220" t="n"/>
      <c r="S69" s="402" t="inlineStr">
        <is>
          <t>MV</t>
        </is>
      </c>
      <c r="T69" s="402" t="inlineStr">
        <is>
          <t>Mechanical Vibration</t>
        </is>
      </c>
      <c r="U69" s="538" t="n"/>
      <c r="V69" s="530" t="n"/>
      <c r="W69" s="228" t="n"/>
      <c r="X69" s="220" t="n"/>
      <c r="Y69" s="403" t="n"/>
      <c r="Z69" s="403" t="n"/>
      <c r="AC69" s="222" t="n"/>
      <c r="AD69" s="223" t="n"/>
      <c r="AE69" s="224" t="n"/>
      <c r="AI69" s="225" t="n"/>
    </row>
    <row r="70" ht="57" customFormat="1" customHeight="1" s="219">
      <c r="B70" s="573" t="inlineStr">
        <is>
          <t>5</t>
        </is>
      </c>
      <c r="C70" s="399" t="n"/>
      <c r="D70" s="399" t="n"/>
      <c r="E70" s="528" t="n"/>
      <c r="F70" s="399" t="n"/>
      <c r="G70" s="574" t="n"/>
      <c r="H70" s="574" t="n"/>
      <c r="I70" s="575" t="n"/>
      <c r="J70" s="576" t="n"/>
      <c r="K70" s="577" t="n"/>
      <c r="L70" s="577" t="n"/>
      <c r="M70" s="399" t="n"/>
      <c r="N70" s="399" t="n"/>
      <c r="O70" s="399" t="n"/>
      <c r="P70" s="399" t="n"/>
      <c r="Q70" s="528" t="n"/>
      <c r="R70" s="220" t="n"/>
      <c r="S70" s="221" t="n"/>
      <c r="T70" s="221" t="n"/>
      <c r="U70" s="221" t="n"/>
      <c r="V70" s="221" t="n"/>
      <c r="W70" s="221" t="n"/>
      <c r="X70" s="220" t="n"/>
      <c r="Y70" s="221" t="n"/>
      <c r="Z70" s="221" t="n"/>
      <c r="AA70" s="221" t="n"/>
      <c r="AB70" s="221" t="n"/>
      <c r="AC70" s="230" t="n"/>
      <c r="AD70" s="231" t="n"/>
      <c r="AE70" s="230" t="n"/>
      <c r="AF70" s="230" t="n"/>
      <c r="AG70" s="230" t="n"/>
      <c r="AH70" s="230" t="n"/>
      <c r="AI70" s="231" t="n"/>
    </row>
    <row r="71" ht="57" customFormat="1" customHeight="1" s="219">
      <c r="B71" s="540" t="n"/>
      <c r="C71" s="540" t="n"/>
      <c r="D71" s="531" t="n"/>
      <c r="E71" s="533" t="n"/>
      <c r="F71" s="540" t="n"/>
      <c r="G71" s="540" t="n"/>
      <c r="H71" s="540" t="n"/>
      <c r="I71" s="540" t="n"/>
      <c r="J71" s="540" t="n"/>
      <c r="K71" s="540" t="n"/>
      <c r="L71" s="540" t="n"/>
      <c r="M71" s="540" t="n"/>
      <c r="N71" s="540" t="n"/>
      <c r="O71" s="540" t="n"/>
      <c r="P71" s="531" t="n"/>
      <c r="Q71" s="533" t="n"/>
      <c r="R71" s="232" t="n"/>
      <c r="S71" s="233" t="n"/>
      <c r="T71" s="233" t="n"/>
      <c r="U71" s="233" t="n"/>
      <c r="V71" s="233" t="n"/>
      <c r="W71" s="233" t="n"/>
      <c r="X71" s="232" t="n"/>
      <c r="Y71" s="233" t="n"/>
      <c r="Z71" s="233" t="n"/>
      <c r="AA71" s="233" t="n"/>
      <c r="AB71" s="233" t="n"/>
      <c r="AC71" s="234" t="n"/>
      <c r="AD71" s="235" t="n"/>
      <c r="AE71" s="224" t="n"/>
      <c r="AI71" s="225" t="n"/>
    </row>
    <row r="72" ht="55.5" customHeight="1">
      <c r="B72" s="236" t="n"/>
      <c r="C72" s="520" t="n"/>
      <c r="D72" s="520" t="n"/>
      <c r="E72" s="520" t="n"/>
      <c r="F72" s="520" t="n"/>
      <c r="G72" s="520" t="n"/>
      <c r="H72" s="520" t="n"/>
      <c r="I72" s="520" t="n"/>
      <c r="J72" s="520" t="n"/>
      <c r="K72" s="520" t="n"/>
      <c r="L72" s="520" t="n"/>
      <c r="M72" s="520" t="n"/>
      <c r="N72" s="520" t="n"/>
      <c r="O72" s="520" t="n"/>
      <c r="P72" s="520" t="n"/>
      <c r="R72" s="520" t="n"/>
      <c r="X72" s="520" t="n"/>
      <c r="AD72" s="171" t="n"/>
      <c r="AE72" s="162" t="n"/>
      <c r="AF72" s="520" t="n"/>
      <c r="AI72" s="171" t="n"/>
    </row>
    <row r="73" ht="45" customHeight="1">
      <c r="B73" s="172" t="inlineStr">
        <is>
          <t>Testing Company:</t>
        </is>
      </c>
      <c r="C73" s="237" t="n"/>
      <c r="D73" s="237" t="n"/>
      <c r="E73" s="238" t="n"/>
      <c r="F73" s="517" t="inlineStr">
        <is>
          <t>{{signvendor}}</t>
        </is>
      </c>
      <c r="G73" s="550" t="n"/>
      <c r="H73" s="170" t="n"/>
      <c r="J73" s="210" t="n"/>
      <c r="K73" s="210" t="n"/>
      <c r="L73" s="240" t="n"/>
      <c r="M73" s="241" t="n"/>
      <c r="N73" s="241" t="n"/>
      <c r="O73" s="174" t="inlineStr">
        <is>
          <t>TNB Supervisor (Name &amp; Signature):</t>
        </is>
      </c>
      <c r="P73" s="242" t="n"/>
      <c r="Q73" s="242" t="n"/>
      <c r="R73" s="517" t="inlineStr">
        <is>
          <t>{{signtnb}}</t>
        </is>
      </c>
      <c r="S73" s="550" t="n"/>
      <c r="T73" s="186" t="n"/>
      <c r="U73" s="186" t="n"/>
      <c r="Y73" s="174" t="inlineStr">
        <is>
          <t>TNB Engineer (Name &amp; Signature):</t>
        </is>
      </c>
      <c r="Z73" s="186" t="n"/>
      <c r="AA73" s="243" t="n"/>
      <c r="AB73" s="244" t="n"/>
      <c r="AC73" s="185" t="n"/>
      <c r="AD73" s="171" t="n"/>
      <c r="AE73" s="162" t="n"/>
      <c r="AF73" s="520" t="n"/>
      <c r="AI73" s="171" t="n"/>
    </row>
    <row r="74" ht="45" customHeight="1">
      <c r="B74" s="172" t="n"/>
      <c r="C74" s="237" t="n"/>
      <c r="D74" s="237" t="n"/>
      <c r="E74" s="245" t="n"/>
      <c r="F74" s="245" t="n"/>
      <c r="G74" s="237" t="n"/>
      <c r="H74" s="170" t="n"/>
      <c r="J74" s="210" t="n"/>
      <c r="K74" s="210" t="n"/>
      <c r="L74" s="240" t="n"/>
      <c r="M74" s="246" t="n"/>
      <c r="N74" s="246" t="n"/>
      <c r="O74" s="174" t="n"/>
      <c r="P74" s="240" t="n"/>
      <c r="Q74" s="242" t="n"/>
      <c r="R74" s="247" t="n"/>
      <c r="S74" s="247" t="n"/>
      <c r="T74" s="186" t="n"/>
      <c r="U74" s="186" t="n"/>
      <c r="Y74" s="174" t="n"/>
      <c r="Z74" s="186" t="n"/>
      <c r="AA74" s="186" t="n"/>
      <c r="AB74" s="186" t="n"/>
      <c r="AC74" s="186" t="n"/>
      <c r="AD74" s="171" t="n"/>
      <c r="AE74" s="162" t="n"/>
      <c r="AF74" s="520" t="n"/>
      <c r="AI74" s="171" t="n"/>
    </row>
    <row r="75" ht="45" customHeight="1">
      <c r="B75" s="172" t="inlineStr">
        <is>
          <t>Tested by (Name &amp; Signature):</t>
        </is>
      </c>
      <c r="C75" s="237" t="n"/>
      <c r="D75" s="237" t="n"/>
      <c r="E75" s="238" t="n"/>
      <c r="F75" s="239" t="n"/>
      <c r="G75" s="248" t="n"/>
      <c r="H75" s="163" t="n"/>
      <c r="J75" s="210" t="n"/>
      <c r="K75" s="210" t="n"/>
      <c r="L75" s="245" t="n"/>
      <c r="M75" s="249" t="n"/>
      <c r="N75" s="249" t="n"/>
      <c r="O75" s="174" t="inlineStr">
        <is>
          <t>Date :</t>
        </is>
      </c>
      <c r="P75" s="250" t="n"/>
      <c r="Q75" s="242" t="n"/>
      <c r="R75" s="251" t="n"/>
      <c r="S75" s="251" t="n"/>
      <c r="Y75" s="174" t="inlineStr">
        <is>
          <t>Date :</t>
        </is>
      </c>
      <c r="AB75" s="177" t="n"/>
      <c r="AC75" s="177" t="n"/>
      <c r="AD75" s="521" t="n"/>
      <c r="AE75" s="520" t="n"/>
      <c r="AF75" s="520" t="n"/>
      <c r="AH75" s="520" t="n"/>
      <c r="AI75" s="521" t="n"/>
    </row>
    <row r="76" ht="34.5" customHeight="1">
      <c r="B76" s="252" t="n"/>
      <c r="C76" s="210" t="n"/>
      <c r="D76" s="210" t="n"/>
      <c r="E76" s="210" t="n"/>
      <c r="F76" s="210" t="n"/>
      <c r="G76" s="210" t="n"/>
      <c r="AD76" s="171" t="n"/>
    </row>
    <row r="77" ht="34.5" customHeight="1">
      <c r="B77" s="253" t="inlineStr">
        <is>
          <t>** N/A = NOT ACCESSIBLE / APPLICABLE</t>
        </is>
      </c>
      <c r="C77" s="251" t="n"/>
      <c r="D77" s="251" t="n"/>
      <c r="E77" s="251" t="n"/>
      <c r="F77" s="251" t="n"/>
      <c r="G77" s="251" t="n"/>
      <c r="H77" s="177" t="n"/>
      <c r="I77" s="177" t="n"/>
      <c r="J77" s="177" t="n"/>
      <c r="K77" s="177" t="n"/>
      <c r="L77" s="177" t="n"/>
      <c r="M77" s="177" t="n"/>
      <c r="N77" s="177" t="n"/>
      <c r="O77" s="177" t="n"/>
      <c r="P77" s="177" t="n"/>
      <c r="Q77" s="177" t="n"/>
      <c r="R77" s="177" t="n"/>
      <c r="S77" s="177" t="n"/>
      <c r="T77" s="177" t="n"/>
      <c r="U77" s="177" t="n"/>
      <c r="V77" s="177" t="n"/>
      <c r="W77" s="177" t="n"/>
      <c r="X77" s="177" t="n"/>
      <c r="Y77" s="177" t="n"/>
      <c r="Z77" s="177" t="n"/>
      <c r="AA77" s="177" t="n"/>
      <c r="AB77" s="177" t="n"/>
      <c r="AC77" s="177" t="n"/>
      <c r="AD77" s="254" t="n"/>
    </row>
    <row r="87">
      <c r="G87" s="255" t="n"/>
      <c r="H87" s="255" t="n"/>
      <c r="AE87" s="162" t="n"/>
    </row>
  </sheetData>
  <mergeCells count="360">
    <mergeCell ref="V26:V28"/>
    <mergeCell ref="J60:J61"/>
    <mergeCell ref="X26:X28"/>
    <mergeCell ref="Z17:Z19"/>
    <mergeCell ref="D53:F53"/>
    <mergeCell ref="Z68:AB68"/>
    <mergeCell ref="B36:B38"/>
    <mergeCell ref="M23:M25"/>
    <mergeCell ref="J68:J69"/>
    <mergeCell ref="Z67:AB67"/>
    <mergeCell ref="Z69:AB69"/>
    <mergeCell ref="F62:F63"/>
    <mergeCell ref="X39:X41"/>
    <mergeCell ref="G60:G61"/>
    <mergeCell ref="B64:B65"/>
    <mergeCell ref="G42:G44"/>
    <mergeCell ref="I60:I61"/>
    <mergeCell ref="F31:J31"/>
    <mergeCell ref="F64:F65"/>
    <mergeCell ref="AA33:AA35"/>
    <mergeCell ref="U36:U38"/>
    <mergeCell ref="O17:P19"/>
    <mergeCell ref="M45:M47"/>
    <mergeCell ref="L66:L67"/>
    <mergeCell ref="G70:G71"/>
    <mergeCell ref="N66:N67"/>
    <mergeCell ref="G45:G47"/>
    <mergeCell ref="I70:I71"/>
    <mergeCell ref="H23:I25"/>
    <mergeCell ref="L68:L69"/>
    <mergeCell ref="N68:N69"/>
    <mergeCell ref="C36:E38"/>
    <mergeCell ref="T36:T38"/>
    <mergeCell ref="H33:H35"/>
    <mergeCell ref="J33:J35"/>
    <mergeCell ref="O62:O63"/>
    <mergeCell ref="F20:G22"/>
    <mergeCell ref="W12:AA12"/>
    <mergeCell ref="K66:K67"/>
    <mergeCell ref="M66:M67"/>
    <mergeCell ref="O70:O71"/>
    <mergeCell ref="C31:E32"/>
    <mergeCell ref="W26:W28"/>
    <mergeCell ref="B39:B41"/>
    <mergeCell ref="Y26:Y28"/>
    <mergeCell ref="G33:G35"/>
    <mergeCell ref="I33:I35"/>
    <mergeCell ref="N23:N25"/>
    <mergeCell ref="X45:X47"/>
    <mergeCell ref="F73:G73"/>
    <mergeCell ref="L62:L63"/>
    <mergeCell ref="M42:M44"/>
    <mergeCell ref="O42:O44"/>
    <mergeCell ref="M17:M19"/>
    <mergeCell ref="R31:V31"/>
    <mergeCell ref="Q17:Q19"/>
    <mergeCell ref="U39:U41"/>
    <mergeCell ref="B11:I11"/>
    <mergeCell ref="H60:H61"/>
    <mergeCell ref="AC42:AD44"/>
    <mergeCell ref="C17:E19"/>
    <mergeCell ref="AB33:AB35"/>
    <mergeCell ref="D51:F51"/>
    <mergeCell ref="O20:P22"/>
    <mergeCell ref="Q14:Q16"/>
    <mergeCell ref="S14:S16"/>
    <mergeCell ref="F45:F47"/>
    <mergeCell ref="K23:L25"/>
    <mergeCell ref="H36:H38"/>
    <mergeCell ref="AB26:AD28"/>
    <mergeCell ref="K68:K69"/>
    <mergeCell ref="M68:M69"/>
    <mergeCell ref="J36:J38"/>
    <mergeCell ref="P70:Q71"/>
    <mergeCell ref="AH3:AI3"/>
    <mergeCell ref="Y65:AB65"/>
    <mergeCell ref="N62:N63"/>
    <mergeCell ref="L64:L65"/>
    <mergeCell ref="J39:J41"/>
    <mergeCell ref="N64:N65"/>
    <mergeCell ref="G36:G38"/>
    <mergeCell ref="I36:I38"/>
    <mergeCell ref="V23:V25"/>
    <mergeCell ref="N26:N28"/>
    <mergeCell ref="K36:K38"/>
    <mergeCell ref="X23:X25"/>
    <mergeCell ref="U45:U47"/>
    <mergeCell ref="C12:E13"/>
    <mergeCell ref="O45:O47"/>
    <mergeCell ref="P60:Q61"/>
    <mergeCell ref="K62:K63"/>
    <mergeCell ref="M62:M63"/>
    <mergeCell ref="Q20:Q22"/>
    <mergeCell ref="Y17:Y19"/>
    <mergeCell ref="B66:B67"/>
    <mergeCell ref="L42:L44"/>
    <mergeCell ref="N42:N44"/>
    <mergeCell ref="K64:K65"/>
    <mergeCell ref="M64:M65"/>
    <mergeCell ref="AC45:AD47"/>
    <mergeCell ref="N17:N19"/>
    <mergeCell ref="C20:E22"/>
    <mergeCell ref="AB36:AB38"/>
    <mergeCell ref="C14:E16"/>
    <mergeCell ref="T66:V66"/>
    <mergeCell ref="N20:N22"/>
    <mergeCell ref="K26:L28"/>
    <mergeCell ref="R14:R16"/>
    <mergeCell ref="O33:O35"/>
    <mergeCell ref="N12:Q12"/>
    <mergeCell ref="Q33:Q35"/>
    <mergeCell ref="B23:B25"/>
    <mergeCell ref="B49:AD49"/>
    <mergeCell ref="X31:AB31"/>
    <mergeCell ref="K13:L13"/>
    <mergeCell ref="I39:I41"/>
    <mergeCell ref="K39:K41"/>
    <mergeCell ref="P66:Q67"/>
    <mergeCell ref="U23:U25"/>
    <mergeCell ref="W23:W25"/>
    <mergeCell ref="P68:Q69"/>
    <mergeCell ref="AB42:AB44"/>
    <mergeCell ref="AA14:AA16"/>
    <mergeCell ref="T42:T44"/>
    <mergeCell ref="V42:V44"/>
    <mergeCell ref="N45:N47"/>
    <mergeCell ref="P45:P47"/>
    <mergeCell ref="V17:V19"/>
    <mergeCell ref="X17:X19"/>
    <mergeCell ref="D70:E71"/>
    <mergeCell ref="F14:G16"/>
    <mergeCell ref="X14:X16"/>
    <mergeCell ref="Z14:Z16"/>
    <mergeCell ref="Y33:Y35"/>
    <mergeCell ref="Q36:Q38"/>
    <mergeCell ref="S36:S38"/>
    <mergeCell ref="B58:C58"/>
    <mergeCell ref="B26:B28"/>
    <mergeCell ref="P33:P35"/>
    <mergeCell ref="R33:R35"/>
    <mergeCell ref="AB23:AD25"/>
    <mergeCell ref="H66:H67"/>
    <mergeCell ref="C70:C71"/>
    <mergeCell ref="J66:J67"/>
    <mergeCell ref="D60:E61"/>
    <mergeCell ref="B42:B44"/>
    <mergeCell ref="B17:B19"/>
    <mergeCell ref="H39:H41"/>
    <mergeCell ref="P36:P38"/>
    <mergeCell ref="O14:P16"/>
    <mergeCell ref="V45:V47"/>
    <mergeCell ref="G66:G67"/>
    <mergeCell ref="B70:B71"/>
    <mergeCell ref="X20:X22"/>
    <mergeCell ref="I66:I67"/>
    <mergeCell ref="Z20:Z22"/>
    <mergeCell ref="F70:F71"/>
    <mergeCell ref="U42:U44"/>
    <mergeCell ref="S26:S28"/>
    <mergeCell ref="W17:W19"/>
    <mergeCell ref="AB11:AD13"/>
    <mergeCell ref="U26:U28"/>
    <mergeCell ref="J23:J25"/>
    <mergeCell ref="B10:AD10"/>
    <mergeCell ref="L31:P31"/>
    <mergeCell ref="Y14:Y16"/>
    <mergeCell ref="Q39:Q41"/>
    <mergeCell ref="AA36:AA38"/>
    <mergeCell ref="C42:E44"/>
    <mergeCell ref="S39:S41"/>
    <mergeCell ref="F60:F61"/>
    <mergeCell ref="X33:X35"/>
    <mergeCell ref="R36:R38"/>
    <mergeCell ref="Z33:Z35"/>
    <mergeCell ref="D66:E67"/>
    <mergeCell ref="T68:V68"/>
    <mergeCell ref="B12:B13"/>
    <mergeCell ref="M70:M71"/>
    <mergeCell ref="D68:E69"/>
    <mergeCell ref="H26:I28"/>
    <mergeCell ref="M14:M16"/>
    <mergeCell ref="P42:P44"/>
    <mergeCell ref="B45:B47"/>
    <mergeCell ref="H12:I13"/>
    <mergeCell ref="B20:B22"/>
    <mergeCell ref="R39:R41"/>
    <mergeCell ref="G68:G69"/>
    <mergeCell ref="C39:E41"/>
    <mergeCell ref="T39:T41"/>
    <mergeCell ref="AB17:AD19"/>
    <mergeCell ref="I68:I69"/>
    <mergeCell ref="D56:E56"/>
    <mergeCell ref="K17:L19"/>
    <mergeCell ref="W20:W22"/>
    <mergeCell ref="AB14:AD16"/>
    <mergeCell ref="Y20:Y22"/>
    <mergeCell ref="F68:F69"/>
    <mergeCell ref="Z23:Z25"/>
    <mergeCell ref="R26:R28"/>
    <mergeCell ref="H68:H69"/>
    <mergeCell ref="R73:S73"/>
    <mergeCell ref="J26:J28"/>
    <mergeCell ref="T26:T28"/>
    <mergeCell ref="B33:B35"/>
    <mergeCell ref="G62:G63"/>
    <mergeCell ref="I62:I63"/>
    <mergeCell ref="H42:H44"/>
    <mergeCell ref="J42:J44"/>
    <mergeCell ref="G64:G65"/>
    <mergeCell ref="T69:V69"/>
    <mergeCell ref="R11:AA11"/>
    <mergeCell ref="X36:X38"/>
    <mergeCell ref="Z36:Z38"/>
    <mergeCell ref="C60:C61"/>
    <mergeCell ref="O66:O67"/>
    <mergeCell ref="R45:R47"/>
    <mergeCell ref="H45:H47"/>
    <mergeCell ref="L70:L71"/>
    <mergeCell ref="N70:N71"/>
    <mergeCell ref="J20:J22"/>
    <mergeCell ref="O23:P25"/>
    <mergeCell ref="O68:O69"/>
    <mergeCell ref="N14:N16"/>
    <mergeCell ref="AB20:AD22"/>
    <mergeCell ref="B31:B32"/>
    <mergeCell ref="I42:I44"/>
    <mergeCell ref="K42:K44"/>
    <mergeCell ref="J12:M12"/>
    <mergeCell ref="M33:M35"/>
    <mergeCell ref="T23:T25"/>
    <mergeCell ref="K20:L22"/>
    <mergeCell ref="AC33:AD35"/>
    <mergeCell ref="K70:K71"/>
    <mergeCell ref="F26:G28"/>
    <mergeCell ref="Z26:Z28"/>
    <mergeCell ref="G39:G41"/>
    <mergeCell ref="T67:V67"/>
    <mergeCell ref="Q23:Q25"/>
    <mergeCell ref="F36:F38"/>
    <mergeCell ref="AA45:AA47"/>
    <mergeCell ref="S23:S25"/>
    <mergeCell ref="R42:R44"/>
    <mergeCell ref="J45:J47"/>
    <mergeCell ref="L45:L47"/>
    <mergeCell ref="R17:R19"/>
    <mergeCell ref="T17:T19"/>
    <mergeCell ref="B62:B63"/>
    <mergeCell ref="L60:O60"/>
    <mergeCell ref="Z39:Z41"/>
    <mergeCell ref="AB39:AB41"/>
    <mergeCell ref="B30:E30"/>
    <mergeCell ref="K60:K61"/>
    <mergeCell ref="H64:H65"/>
    <mergeCell ref="Y36:Y38"/>
    <mergeCell ref="P62:Q63"/>
    <mergeCell ref="O26:P28"/>
    <mergeCell ref="T14:T16"/>
    <mergeCell ref="V14:V16"/>
    <mergeCell ref="R12:V12"/>
    <mergeCell ref="I45:I47"/>
    <mergeCell ref="K45:K47"/>
    <mergeCell ref="F23:G25"/>
    <mergeCell ref="D58:E58"/>
    <mergeCell ref="O36:O38"/>
    <mergeCell ref="L33:L35"/>
    <mergeCell ref="N33:N35"/>
    <mergeCell ref="F33:F35"/>
    <mergeCell ref="AC36:AD38"/>
    <mergeCell ref="O13:P13"/>
    <mergeCell ref="L36:L38"/>
    <mergeCell ref="F39:F41"/>
    <mergeCell ref="AC31:AD32"/>
    <mergeCell ref="K33:K35"/>
    <mergeCell ref="Z45:Z47"/>
    <mergeCell ref="R23:R25"/>
    <mergeCell ref="AB45:AB47"/>
    <mergeCell ref="M20:M22"/>
    <mergeCell ref="C23:E25"/>
    <mergeCell ref="T45:T47"/>
    <mergeCell ref="P64:Q65"/>
    <mergeCell ref="C66:C67"/>
    <mergeCell ref="T20:T22"/>
    <mergeCell ref="V20:V22"/>
    <mergeCell ref="Q42:Q44"/>
    <mergeCell ref="S42:S44"/>
    <mergeCell ref="F30:AD30"/>
    <mergeCell ref="S17:S19"/>
    <mergeCell ref="U17:U19"/>
    <mergeCell ref="Y39:Y41"/>
    <mergeCell ref="AA39:AA41"/>
    <mergeCell ref="U14:U16"/>
    <mergeCell ref="W14:W16"/>
    <mergeCell ref="B60:B61"/>
    <mergeCell ref="T33:T35"/>
    <mergeCell ref="Y23:Y25"/>
    <mergeCell ref="V33:V35"/>
    <mergeCell ref="N36:N38"/>
    <mergeCell ref="AA23:AA25"/>
    <mergeCell ref="AC39:AD41"/>
    <mergeCell ref="D54:F54"/>
    <mergeCell ref="F17:G19"/>
    <mergeCell ref="H17:I19"/>
    <mergeCell ref="H62:H63"/>
    <mergeCell ref="J62:J63"/>
    <mergeCell ref="F12:G13"/>
    <mergeCell ref="L39:L41"/>
    <mergeCell ref="V39:V41"/>
    <mergeCell ref="N39:N41"/>
    <mergeCell ref="C68:C69"/>
    <mergeCell ref="B14:B16"/>
    <mergeCell ref="J64:J65"/>
    <mergeCell ref="M36:M38"/>
    <mergeCell ref="S65:V65"/>
    <mergeCell ref="G2:AB3"/>
    <mergeCell ref="C26:E28"/>
    <mergeCell ref="H14:I16"/>
    <mergeCell ref="B56:C56"/>
    <mergeCell ref="Y45:Y47"/>
    <mergeCell ref="Y42:Y44"/>
    <mergeCell ref="Q45:Q47"/>
    <mergeCell ref="AA42:AA44"/>
    <mergeCell ref="S45:S47"/>
    <mergeCell ref="S20:S22"/>
    <mergeCell ref="AA17:AA19"/>
    <mergeCell ref="U20:U22"/>
    <mergeCell ref="F66:F67"/>
    <mergeCell ref="O64:O65"/>
    <mergeCell ref="B57:C57"/>
    <mergeCell ref="B68:B69"/>
    <mergeCell ref="J17:J19"/>
    <mergeCell ref="C62:C63"/>
    <mergeCell ref="B2:F3"/>
    <mergeCell ref="C45:E47"/>
    <mergeCell ref="F42:F44"/>
    <mergeCell ref="C64:C65"/>
    <mergeCell ref="R20:R22"/>
    <mergeCell ref="Z66:AB66"/>
    <mergeCell ref="V36:V38"/>
    <mergeCell ref="AA26:AA28"/>
    <mergeCell ref="P39:P41"/>
    <mergeCell ref="M26:M28"/>
    <mergeCell ref="S33:S35"/>
    <mergeCell ref="U33:U35"/>
    <mergeCell ref="D62:E63"/>
    <mergeCell ref="H20:I22"/>
    <mergeCell ref="H70:H71"/>
    <mergeCell ref="J70:J71"/>
    <mergeCell ref="D57:E57"/>
    <mergeCell ref="D64:E65"/>
    <mergeCell ref="J14:J16"/>
    <mergeCell ref="M39:M41"/>
    <mergeCell ref="J11:Q11"/>
    <mergeCell ref="O39:O41"/>
    <mergeCell ref="I64:I65"/>
    <mergeCell ref="C33:E35"/>
    <mergeCell ref="K14:L16"/>
    <mergeCell ref="AA20:AA22"/>
    <mergeCell ref="D52:F52"/>
    <mergeCell ref="X42:X44"/>
    <mergeCell ref="Z42:Z44"/>
  </mergeCells>
  <dataValidations count="7">
    <dataValidation sqref="H14:I28" showDropDown="0" showInputMessage="1" showErrorMessage="0" allowBlank="1" type="list">
      <formula1>"XLPE,PILC,N/A,NOT ACCESSIBLE"</formula1>
    </dataValidation>
    <dataValidation sqref="D51:F51" showDropDown="0" showInputMessage="1" showErrorMessage="1" allowBlank="1" type="list">
      <formula1>"1600A,1000A,800A"</formula1>
    </dataValidation>
    <dataValidation sqref="D53:F53" showDropDown="0" showInputMessage="1" showErrorMessage="1" allowBlank="1" type="list">
      <formula1>"J-SLOTTED,DIN TYPE"</formula1>
    </dataValidation>
    <dataValidation sqref="D57:O57" showDropDown="0" showInputMessage="1" showErrorMessage="0" allowBlank="1" type="list">
      <formula1>"XLPE,PILC,ABC"</formula1>
    </dataValidation>
    <dataValidation sqref="I8 L8 O8 R8" showDropDown="0" showInputMessage="1" showErrorMessage="0" allowBlank="1" type="list">
      <formula1>"30MVA,15MVA,10MVA,5MVA"</formula1>
    </dataValidation>
    <dataValidation sqref="U8" showDropDown="0" showInputMessage="1" showErrorMessage="0" allowBlank="1" type="list">
      <formula1>"1000kVA,750kVA,500kVA,300kVA,100kVA"</formula1>
    </dataValidation>
    <dataValidation sqref="AD4" showDropDown="0" showInputMessage="1" showErrorMessage="1" allowBlank="1" type="list">
      <formula1>"NORMAL,DEFECT,MONITOR"</formula1>
    </dataValidation>
  </dataValidations>
  <printOptions horizontalCentered="1" verticalCentered="1"/>
  <pageMargins left="0" right="0.3937007874015748" top="0" bottom="0" header="0" footer="0"/>
  <pageSetup orientation="landscape" paperSize="124" scale="5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H89"/>
  <sheetViews>
    <sheetView view="pageBreakPreview" zoomScaleNormal="100" zoomScaleSheetLayoutView="100" workbookViewId="0">
      <selection activeCell="D4" sqref="D4:I4"/>
    </sheetView>
  </sheetViews>
  <sheetFormatPr baseColWidth="8" defaultRowHeight="12.75"/>
  <cols>
    <col width="6.140625" bestFit="1" customWidth="1" style="42" min="1" max="1"/>
    <col width="10.7109375" customWidth="1" style="35" min="2" max="2"/>
    <col width="14.42578125" customWidth="1" style="35" min="3" max="3"/>
    <col width="9.140625" customWidth="1" style="35" min="4" max="6"/>
    <col width="15" customWidth="1" style="35" min="7" max="7"/>
    <col width="6.7109375" customWidth="1" style="35" min="8" max="10"/>
    <col width="5.42578125" customWidth="1" style="35" min="11" max="11"/>
    <col width="9.140625" customWidth="1" style="35" min="12" max="16384"/>
  </cols>
  <sheetData>
    <row r="1" ht="45.75" customHeight="1">
      <c r="A1" s="319" t="n"/>
      <c r="B1" s="538" t="n"/>
      <c r="C1" s="530" t="n"/>
      <c r="D1" s="319" t="inlineStr">
        <is>
          <t>VISUAL INSPECTION CHECKLIST FOR PMU/PPU/SSU</t>
        </is>
      </c>
      <c r="E1" s="538" t="n"/>
      <c r="F1" s="538" t="n"/>
      <c r="G1" s="538" t="n"/>
      <c r="H1" s="538" t="n"/>
      <c r="I1" s="538" t="n"/>
      <c r="J1" s="538" t="n"/>
      <c r="K1" s="538" t="n"/>
      <c r="L1" s="538" t="n"/>
      <c r="M1" s="538" t="n"/>
      <c r="N1" s="538" t="n"/>
      <c r="O1" s="538" t="n"/>
      <c r="P1" s="530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  <c r="AH1" s="34" t="n"/>
    </row>
    <row r="2" ht="12" customHeight="1">
      <c r="A2" s="11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115" t="n"/>
    </row>
    <row r="3" ht="18" customHeight="1">
      <c r="A3" s="111" t="n"/>
      <c r="B3" s="71" t="inlineStr">
        <is>
          <t>Substation Name</t>
        </is>
      </c>
      <c r="C3" s="72" t="n"/>
      <c r="D3" s="320" t="n"/>
      <c r="E3" s="538" t="n"/>
      <c r="F3" s="538" t="n"/>
      <c r="G3" s="538" t="n"/>
      <c r="H3" s="538" t="n"/>
      <c r="I3" s="530" t="n"/>
      <c r="J3" s="73" t="n"/>
      <c r="K3" s="71" t="n"/>
      <c r="L3" s="282" t="inlineStr">
        <is>
          <t>GPS:</t>
        </is>
      </c>
      <c r="M3" s="321" t="n"/>
      <c r="N3" s="532" t="n"/>
      <c r="O3" s="532" t="n"/>
      <c r="P3" s="116" t="n"/>
      <c r="Q3" s="36" t="n"/>
      <c r="R3" s="36" t="n"/>
    </row>
    <row r="4" ht="18" customHeight="1">
      <c r="A4" s="111" t="n"/>
      <c r="B4" s="71" t="inlineStr">
        <is>
          <t>Date</t>
        </is>
      </c>
      <c r="C4" s="72" t="n"/>
      <c r="D4" s="322" t="n"/>
      <c r="E4" s="538" t="n"/>
      <c r="F4" s="538" t="n"/>
      <c r="G4" s="538" t="n"/>
      <c r="H4" s="538" t="n"/>
      <c r="I4" s="530" t="n"/>
      <c r="J4" s="71" t="n"/>
      <c r="K4" s="70" t="n"/>
      <c r="L4" s="70" t="n"/>
      <c r="M4" s="70" t="n"/>
      <c r="N4" s="70" t="n"/>
      <c r="O4" s="70" t="n"/>
      <c r="P4" s="115" t="n"/>
    </row>
    <row r="5" ht="12" customHeight="1">
      <c r="A5" s="110" t="n"/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115" t="n"/>
    </row>
    <row r="6" ht="18" customHeight="1">
      <c r="A6" s="317" t="inlineStr">
        <is>
          <t xml:space="preserve"> On-line Visual Audits and Diagnostic Tests :</t>
        </is>
      </c>
      <c r="K6" s="70" t="n"/>
      <c r="L6" s="74" t="n"/>
      <c r="M6" s="75" t="n"/>
      <c r="N6" s="75" t="n"/>
      <c r="O6" s="75" t="n"/>
      <c r="P6" s="119" t="n"/>
      <c r="Q6" s="37" t="n"/>
    </row>
    <row r="7" ht="12" customHeight="1">
      <c r="A7" s="111" t="n">
        <v>1</v>
      </c>
      <c r="B7" s="76" t="inlineStr">
        <is>
          <t>Verifications of Switchgear External Condition</t>
        </is>
      </c>
      <c r="C7" s="77" t="n"/>
      <c r="D7" s="77" t="n"/>
      <c r="E7" s="78" t="n"/>
      <c r="F7" s="78" t="n"/>
      <c r="G7" s="77" t="n"/>
      <c r="H7" s="77" t="n"/>
      <c r="I7" s="77" t="n"/>
      <c r="J7" s="77" t="n"/>
      <c r="K7" s="70" t="n"/>
      <c r="L7" s="316" t="inlineStr">
        <is>
          <t>Remarks</t>
        </is>
      </c>
      <c r="P7" s="118" t="n"/>
      <c r="Q7" s="39" t="n"/>
    </row>
    <row r="8" ht="12" customHeight="1">
      <c r="A8" s="112" t="n"/>
      <c r="B8" s="80" t="n"/>
      <c r="C8" s="77" t="n"/>
      <c r="D8" s="77" t="n"/>
      <c r="E8" s="78" t="n"/>
      <c r="F8" s="78" t="n"/>
      <c r="G8" s="77" t="n"/>
      <c r="H8" s="77" t="n"/>
      <c r="I8" s="77" t="n"/>
      <c r="J8" s="77" t="n"/>
      <c r="K8" s="70" t="n"/>
      <c r="L8" s="75" t="n"/>
      <c r="M8" s="75" t="n"/>
      <c r="N8" s="75" t="n"/>
      <c r="O8" s="79" t="n"/>
      <c r="P8" s="118" t="n"/>
      <c r="Q8" s="39" t="n"/>
    </row>
    <row r="9" ht="12" customHeight="1" thickBot="1">
      <c r="A9" s="112" t="n"/>
      <c r="B9" s="81" t="inlineStr">
        <is>
          <t>1.1 No water marks on the panels</t>
        </is>
      </c>
      <c r="C9" s="82" t="n"/>
      <c r="D9" s="82" t="n"/>
      <c r="E9" s="83" t="n"/>
      <c r="F9" s="83" t="n"/>
      <c r="G9" s="82" t="n"/>
      <c r="H9" s="311" t="inlineStr">
        <is>
          <t>YES</t>
        </is>
      </c>
      <c r="I9" s="311" t="inlineStr">
        <is>
          <t>NO</t>
        </is>
      </c>
      <c r="J9" s="311" t="inlineStr">
        <is>
          <t>N/A</t>
        </is>
      </c>
      <c r="K9" s="70" t="n"/>
      <c r="L9" s="283" t="n"/>
      <c r="M9" s="283" t="n"/>
      <c r="N9" s="283" t="n"/>
      <c r="O9" s="286" t="n"/>
      <c r="P9" s="118" t="n"/>
      <c r="Q9" s="39" t="n"/>
    </row>
    <row r="10" ht="12" customHeight="1">
      <c r="A10" s="112" t="n"/>
      <c r="B10" s="81" t="n"/>
      <c r="C10" s="82" t="n"/>
      <c r="D10" s="82" t="n"/>
      <c r="E10" s="83" t="n"/>
      <c r="F10" s="83" t="n"/>
      <c r="G10" s="82" t="n"/>
      <c r="H10" s="85" t="n"/>
      <c r="I10" s="86" t="n"/>
      <c r="J10" s="87" t="n"/>
      <c r="K10" s="70" t="n"/>
      <c r="L10" s="284" t="n"/>
      <c r="M10" s="284" t="n"/>
      <c r="N10" s="284" t="n"/>
      <c r="O10" s="287" t="n"/>
      <c r="P10" s="119" t="n"/>
      <c r="Q10" s="39" t="n"/>
    </row>
    <row r="11" ht="12" customHeight="1" thickBot="1">
      <c r="A11" s="112" t="n"/>
      <c r="B11" s="81" t="inlineStr">
        <is>
          <t>1.2 All covers and door bolted properly</t>
        </is>
      </c>
      <c r="C11" s="82" t="n"/>
      <c r="D11" s="82" t="n"/>
      <c r="E11" s="83" t="n"/>
      <c r="F11" s="83" t="n"/>
      <c r="G11" s="82" t="n"/>
      <c r="H11" s="311" t="inlineStr">
        <is>
          <t>YES</t>
        </is>
      </c>
      <c r="I11" s="311" t="inlineStr">
        <is>
          <t>NO</t>
        </is>
      </c>
      <c r="J11" s="311" t="inlineStr">
        <is>
          <t>N/A</t>
        </is>
      </c>
      <c r="K11" s="70" t="n"/>
      <c r="L11" s="283" t="n"/>
      <c r="M11" s="283" t="n"/>
      <c r="N11" s="283" t="n"/>
      <c r="O11" s="286" t="n"/>
      <c r="P11" s="118" t="n"/>
      <c r="Q11" s="39" t="n"/>
    </row>
    <row r="12" ht="12" customHeight="1">
      <c r="A12" s="112" t="n"/>
      <c r="B12" s="81" t="n"/>
      <c r="C12" s="82" t="n"/>
      <c r="D12" s="82" t="n"/>
      <c r="E12" s="83" t="n"/>
      <c r="F12" s="83" t="n"/>
      <c r="G12" s="82" t="n"/>
      <c r="H12" s="85" t="n"/>
      <c r="I12" s="86" t="n"/>
      <c r="J12" s="87" t="n"/>
      <c r="K12" s="70" t="n"/>
      <c r="L12" s="284" t="n"/>
      <c r="M12" s="284" t="n"/>
      <c r="N12" s="284" t="n"/>
      <c r="O12" s="287" t="n"/>
      <c r="P12" s="118" t="n"/>
      <c r="Q12" s="39" t="n"/>
    </row>
    <row r="13" ht="12" customHeight="1" thickBot="1">
      <c r="A13" s="112" t="n"/>
      <c r="B13" s="88" t="inlineStr">
        <is>
          <t>1.3 Opening and interpanel gaps sealed</t>
        </is>
      </c>
      <c r="C13" s="82" t="n"/>
      <c r="D13" s="82" t="n"/>
      <c r="E13" s="83" t="n"/>
      <c r="F13" s="83" t="n"/>
      <c r="G13" s="82" t="n"/>
      <c r="H13" s="311" t="inlineStr">
        <is>
          <t>YES</t>
        </is>
      </c>
      <c r="I13" s="311" t="inlineStr">
        <is>
          <t>NO</t>
        </is>
      </c>
      <c r="J13" s="311" t="inlineStr">
        <is>
          <t>N/A</t>
        </is>
      </c>
      <c r="K13" s="70" t="n"/>
      <c r="L13" s="283" t="n"/>
      <c r="M13" s="283" t="n"/>
      <c r="N13" s="283" t="n"/>
      <c r="O13" s="286" t="n"/>
      <c r="P13" s="118" t="n"/>
      <c r="Q13" s="39" t="n"/>
    </row>
    <row r="14" ht="12" customHeight="1">
      <c r="A14" s="112" t="n"/>
      <c r="B14" s="80" t="n"/>
      <c r="C14" s="77" t="n"/>
      <c r="D14" s="77" t="n"/>
      <c r="E14" s="78" t="n"/>
      <c r="F14" s="78" t="n"/>
      <c r="G14" s="77" t="n"/>
      <c r="H14" s="86" t="n"/>
      <c r="I14" s="86" t="n"/>
      <c r="J14" s="87" t="n"/>
      <c r="K14" s="70" t="n"/>
      <c r="L14" s="284" t="n"/>
      <c r="M14" s="284" t="n"/>
      <c r="N14" s="284" t="n"/>
      <c r="O14" s="287" t="n"/>
      <c r="P14" s="118" t="n"/>
      <c r="Q14" s="39" t="n"/>
    </row>
    <row r="15" ht="12" customHeight="1">
      <c r="A15" s="111" t="n">
        <v>2</v>
      </c>
      <c r="B15" s="76" t="inlineStr">
        <is>
          <t>Verification of Switchgear Internal Components and Compartments</t>
        </is>
      </c>
      <c r="C15" s="77" t="n"/>
      <c r="D15" s="77" t="n"/>
      <c r="E15" s="78" t="n"/>
      <c r="F15" s="78" t="n"/>
      <c r="G15" s="77" t="n"/>
      <c r="H15" s="86" t="n"/>
      <c r="I15" s="86" t="n"/>
      <c r="J15" s="87" t="n"/>
      <c r="K15" s="70" t="n"/>
      <c r="L15" s="284" t="n"/>
      <c r="M15" s="284" t="n"/>
      <c r="N15" s="284" t="n"/>
      <c r="O15" s="287" t="n"/>
      <c r="P15" s="118" t="n"/>
      <c r="Q15" s="39" t="n"/>
    </row>
    <row r="16" ht="12" customHeight="1">
      <c r="A16" s="112" t="n"/>
      <c r="B16" s="80" t="n"/>
      <c r="C16" s="77" t="n"/>
      <c r="D16" s="77" t="n"/>
      <c r="E16" s="78" t="n"/>
      <c r="F16" s="78" t="n"/>
      <c r="G16" s="77" t="n"/>
      <c r="H16" s="86" t="n"/>
      <c r="I16" s="86" t="n"/>
      <c r="J16" s="87" t="n"/>
      <c r="K16" s="70" t="n"/>
      <c r="L16" s="284" t="n"/>
      <c r="M16" s="284" t="n"/>
      <c r="N16" s="284" t="n"/>
      <c r="O16" s="287" t="n"/>
      <c r="P16" s="119" t="n"/>
      <c r="Q16" s="39" t="n"/>
    </row>
    <row r="17" ht="12" customHeight="1" thickBot="1">
      <c r="A17" s="112" t="n"/>
      <c r="B17" s="81" t="inlineStr">
        <is>
          <t>2.1 No dust ingress, wind blown dust penetration</t>
        </is>
      </c>
      <c r="C17" s="82" t="n"/>
      <c r="D17" s="82" t="n"/>
      <c r="E17" s="83" t="n"/>
      <c r="F17" s="83" t="n"/>
      <c r="G17" s="82" t="n"/>
      <c r="H17" s="311" t="inlineStr">
        <is>
          <t>YES</t>
        </is>
      </c>
      <c r="I17" s="311" t="inlineStr">
        <is>
          <t>NO</t>
        </is>
      </c>
      <c r="J17" s="311" t="inlineStr">
        <is>
          <t>N/A</t>
        </is>
      </c>
      <c r="K17" s="70" t="n"/>
      <c r="L17" s="283" t="n"/>
      <c r="M17" s="283" t="n"/>
      <c r="N17" s="283" t="n"/>
      <c r="O17" s="286" t="n"/>
      <c r="P17" s="118" t="n"/>
      <c r="Q17" s="39" t="n"/>
    </row>
    <row r="18" ht="12" customHeight="1">
      <c r="A18" s="112" t="n"/>
      <c r="B18" s="81" t="n"/>
      <c r="C18" s="82" t="n"/>
      <c r="D18" s="82" t="n"/>
      <c r="E18" s="83" t="n"/>
      <c r="F18" s="83" t="n"/>
      <c r="G18" s="82" t="n"/>
      <c r="H18" s="85" t="n"/>
      <c r="I18" s="86" t="n"/>
      <c r="J18" s="87" t="n"/>
      <c r="K18" s="70" t="n"/>
      <c r="L18" s="285" t="n"/>
      <c r="M18" s="285" t="n"/>
      <c r="N18" s="285" t="n"/>
      <c r="O18" s="285" t="n"/>
      <c r="P18" s="115" t="n"/>
    </row>
    <row r="19" ht="12" customHeight="1" thickBot="1">
      <c r="A19" s="112" t="n"/>
      <c r="B19" s="81" t="inlineStr">
        <is>
          <t>2.2 No gas leakages detected in GIS switchgear ( i.e check SF6 level)</t>
        </is>
      </c>
      <c r="C19" s="82" t="n"/>
      <c r="D19" s="82" t="n"/>
      <c r="E19" s="83" t="n"/>
      <c r="F19" s="83" t="n"/>
      <c r="G19" s="82" t="n"/>
      <c r="H19" s="311" t="inlineStr">
        <is>
          <t>YES</t>
        </is>
      </c>
      <c r="I19" s="311" t="inlineStr">
        <is>
          <t>NO</t>
        </is>
      </c>
      <c r="J19" s="311" t="inlineStr">
        <is>
          <t>N/A</t>
        </is>
      </c>
      <c r="K19" s="70" t="n"/>
      <c r="L19" s="283" t="n"/>
      <c r="M19" s="283" t="n"/>
      <c r="N19" s="283" t="n"/>
      <c r="O19" s="286" t="n"/>
      <c r="P19" s="115" t="n"/>
    </row>
    <row r="20" ht="12" customHeight="1">
      <c r="A20" s="112" t="n"/>
      <c r="B20" s="81" t="n"/>
      <c r="C20" s="82" t="n"/>
      <c r="D20" s="82" t="n"/>
      <c r="E20" s="83" t="n"/>
      <c r="F20" s="83" t="n"/>
      <c r="G20" s="82" t="n"/>
      <c r="H20" s="85" t="n"/>
      <c r="I20" s="86" t="n"/>
      <c r="J20" s="87" t="n"/>
      <c r="K20" s="70" t="n"/>
      <c r="L20" s="285" t="n"/>
      <c r="M20" s="285" t="n"/>
      <c r="N20" s="285" t="n"/>
      <c r="O20" s="285" t="n"/>
      <c r="P20" s="115" t="n"/>
    </row>
    <row r="21" ht="12" customHeight="1" thickBot="1">
      <c r="A21" s="112" t="n"/>
      <c r="B21" s="81" t="inlineStr">
        <is>
          <t>2.3 No oil leakage for OCBs. i.e. check oil level</t>
        </is>
      </c>
      <c r="C21" s="82" t="n"/>
      <c r="D21" s="82" t="n"/>
      <c r="E21" s="83" t="n"/>
      <c r="F21" s="83" t="n"/>
      <c r="G21" s="82" t="n"/>
      <c r="H21" s="311" t="inlineStr">
        <is>
          <t>YES</t>
        </is>
      </c>
      <c r="I21" s="311" t="inlineStr">
        <is>
          <t>NO</t>
        </is>
      </c>
      <c r="J21" s="311" t="inlineStr">
        <is>
          <t>N/A</t>
        </is>
      </c>
      <c r="K21" s="70" t="n"/>
      <c r="L21" s="283" t="n"/>
      <c r="M21" s="283" t="n"/>
      <c r="N21" s="283" t="n"/>
      <c r="O21" s="286" t="n"/>
      <c r="P21" s="115" t="n"/>
    </row>
    <row r="22" ht="12" customHeight="1">
      <c r="A22" s="112" t="n"/>
      <c r="B22" s="81" t="n"/>
      <c r="C22" s="82" t="n"/>
      <c r="D22" s="82" t="n"/>
      <c r="E22" s="83" t="n"/>
      <c r="F22" s="83" t="n"/>
      <c r="G22" s="82" t="n"/>
      <c r="H22" s="85" t="n"/>
      <c r="I22" s="86" t="n"/>
      <c r="J22" s="87" t="n"/>
      <c r="K22" s="70" t="n"/>
      <c r="L22" s="285" t="n"/>
      <c r="M22" s="285" t="n"/>
      <c r="N22" s="285" t="n"/>
      <c r="O22" s="285" t="n"/>
      <c r="P22" s="115" t="n"/>
    </row>
    <row r="23" ht="12" customHeight="1" thickBot="1">
      <c r="A23" s="112" t="n"/>
      <c r="B23" s="81" t="inlineStr">
        <is>
          <t xml:space="preserve">2.4 Heaters at every compartment are functioning and in good condition </t>
        </is>
      </c>
      <c r="C23" s="82" t="n"/>
      <c r="D23" s="82" t="n"/>
      <c r="E23" s="83" t="n"/>
      <c r="F23" s="83" t="n"/>
      <c r="G23" s="82" t="n"/>
      <c r="H23" s="311" t="inlineStr">
        <is>
          <t>YES</t>
        </is>
      </c>
      <c r="I23" s="311" t="inlineStr">
        <is>
          <t>NO</t>
        </is>
      </c>
      <c r="J23" s="311" t="inlineStr">
        <is>
          <t>N/A</t>
        </is>
      </c>
      <c r="K23" s="70" t="n"/>
      <c r="L23" s="283" t="n"/>
      <c r="M23" s="283" t="n"/>
      <c r="N23" s="283" t="n"/>
      <c r="O23" s="286" t="n"/>
      <c r="P23" s="115" t="n"/>
    </row>
    <row r="24" ht="12" customHeight="1">
      <c r="A24" s="110" t="n"/>
      <c r="B24" s="89" t="n"/>
      <c r="C24" s="89" t="n"/>
      <c r="D24" s="90" t="n"/>
      <c r="E24" s="91" t="n"/>
      <c r="F24" s="91" t="n"/>
      <c r="G24" s="90" t="n"/>
      <c r="H24" s="92" t="n"/>
      <c r="I24" s="92" t="n"/>
      <c r="J24" s="87" t="n"/>
      <c r="K24" s="70" t="n"/>
      <c r="L24" s="285" t="n"/>
      <c r="M24" s="285" t="n"/>
      <c r="N24" s="285" t="n"/>
      <c r="O24" s="285" t="n"/>
      <c r="P24" s="115" t="n"/>
    </row>
    <row r="25" ht="12" customHeight="1">
      <c r="A25" s="111" t="n">
        <v>3</v>
      </c>
      <c r="B25" s="71" t="inlineStr">
        <is>
          <t>Switchgear &amp; Substation Earthing</t>
        </is>
      </c>
      <c r="C25" s="89" t="n"/>
      <c r="D25" s="90" t="n"/>
      <c r="E25" s="91" t="n"/>
      <c r="F25" s="91" t="n"/>
      <c r="G25" s="90" t="n"/>
      <c r="H25" s="92" t="n"/>
      <c r="I25" s="92" t="n"/>
      <c r="J25" s="87" t="n"/>
      <c r="K25" s="70" t="n"/>
      <c r="L25" s="285" t="n"/>
      <c r="M25" s="285" t="n"/>
      <c r="N25" s="285" t="n"/>
      <c r="O25" s="285" t="n"/>
      <c r="P25" s="115" t="n"/>
    </row>
    <row r="26" ht="12" customHeight="1">
      <c r="A26" s="112" t="n"/>
      <c r="B26" s="89" t="n"/>
      <c r="C26" s="89" t="n"/>
      <c r="D26" s="90" t="n"/>
      <c r="E26" s="91" t="n"/>
      <c r="F26" s="91" t="n"/>
      <c r="G26" s="90" t="n"/>
      <c r="H26" s="92" t="n"/>
      <c r="I26" s="92" t="n"/>
      <c r="J26" s="87" t="n"/>
      <c r="K26" s="70" t="n"/>
      <c r="L26" s="285" t="n"/>
      <c r="M26" s="285" t="n"/>
      <c r="N26" s="285" t="n"/>
      <c r="O26" s="285" t="n"/>
      <c r="P26" s="115" t="n"/>
    </row>
    <row r="27" ht="12" customHeight="1" thickBot="1">
      <c r="A27" s="112" t="n"/>
      <c r="B27" s="88" t="inlineStr">
        <is>
          <t>3.1 Proper earth connection between all switchgear</t>
        </is>
      </c>
      <c r="C27" s="88" t="n"/>
      <c r="D27" s="93" t="n"/>
      <c r="E27" s="94" t="n"/>
      <c r="F27" s="94" t="n"/>
      <c r="G27" s="93" t="n"/>
      <c r="H27" s="311" t="inlineStr">
        <is>
          <t>YES</t>
        </is>
      </c>
      <c r="I27" s="311" t="inlineStr">
        <is>
          <t>NO</t>
        </is>
      </c>
      <c r="J27" s="311" t="inlineStr">
        <is>
          <t>N/A</t>
        </is>
      </c>
      <c r="K27" s="70" t="n"/>
      <c r="L27" s="283" t="n"/>
      <c r="M27" s="283" t="n"/>
      <c r="N27" s="283" t="n"/>
      <c r="O27" s="286" t="n"/>
      <c r="P27" s="115" t="n"/>
    </row>
    <row r="28" ht="12" customHeight="1">
      <c r="A28" s="112" t="n"/>
      <c r="B28" s="88" t="n"/>
      <c r="C28" s="88" t="n"/>
      <c r="D28" s="93" t="n"/>
      <c r="E28" s="94" t="n"/>
      <c r="F28" s="94" t="n"/>
      <c r="G28" s="93" t="n"/>
      <c r="H28" s="95" t="n"/>
      <c r="I28" s="95" t="n"/>
      <c r="J28" s="87" t="n"/>
      <c r="K28" s="70" t="n"/>
      <c r="L28" s="285" t="n"/>
      <c r="M28" s="285" t="n"/>
      <c r="N28" s="285" t="n"/>
      <c r="O28" s="285" t="n"/>
      <c r="P28" s="115" t="n"/>
    </row>
    <row r="29" ht="12" customHeight="1" thickBot="1">
      <c r="A29" s="112" t="n"/>
      <c r="B29" s="88" t="inlineStr">
        <is>
          <t>3.2 Proper earth connection to common earth</t>
        </is>
      </c>
      <c r="C29" s="88" t="n"/>
      <c r="D29" s="93" t="n"/>
      <c r="E29" s="94" t="n"/>
      <c r="F29" s="94" t="n"/>
      <c r="G29" s="93" t="n"/>
      <c r="H29" s="311" t="inlineStr">
        <is>
          <t>YES</t>
        </is>
      </c>
      <c r="I29" s="311" t="inlineStr">
        <is>
          <t>NO</t>
        </is>
      </c>
      <c r="J29" s="311" t="inlineStr">
        <is>
          <t>N/A</t>
        </is>
      </c>
      <c r="K29" s="70" t="n"/>
      <c r="L29" s="283" t="n"/>
      <c r="M29" s="283" t="n"/>
      <c r="N29" s="283" t="n"/>
      <c r="O29" s="286" t="n"/>
      <c r="P29" s="115" t="n"/>
    </row>
    <row r="30" ht="12" customHeight="1">
      <c r="A30" s="112" t="n"/>
      <c r="B30" s="88" t="n"/>
      <c r="C30" s="88" t="n"/>
      <c r="D30" s="93" t="n"/>
      <c r="E30" s="94" t="n"/>
      <c r="F30" s="94" t="n"/>
      <c r="G30" s="93" t="n"/>
      <c r="H30" s="95" t="n"/>
      <c r="I30" s="95" t="n"/>
      <c r="J30" s="87" t="n"/>
      <c r="K30" s="70" t="n"/>
      <c r="L30" s="285" t="n"/>
      <c r="M30" s="285" t="n"/>
      <c r="N30" s="285" t="n"/>
      <c r="O30" s="285" t="n"/>
      <c r="P30" s="115" t="n"/>
    </row>
    <row r="31" ht="12" customHeight="1" thickBot="1">
      <c r="A31" s="113" t="n"/>
      <c r="B31" s="310" t="inlineStr">
        <is>
          <t>3.3 Proper Switchgear earthing installation. i.e copper / stay wire / stollen / disconnected</t>
        </is>
      </c>
      <c r="G31" s="94" t="n"/>
      <c r="H31" s="311" t="inlineStr">
        <is>
          <t>YES</t>
        </is>
      </c>
      <c r="I31" s="311" t="inlineStr">
        <is>
          <t>NO</t>
        </is>
      </c>
      <c r="J31" s="311" t="inlineStr">
        <is>
          <t>N/A</t>
        </is>
      </c>
      <c r="K31" s="70" t="n"/>
      <c r="L31" s="283" t="n"/>
      <c r="M31" s="283" t="n"/>
      <c r="N31" s="283" t="n"/>
      <c r="O31" s="286" t="n"/>
      <c r="P31" s="115" t="n"/>
    </row>
    <row r="32" ht="12" customHeight="1">
      <c r="A32" s="113" t="n"/>
      <c r="G32" s="94" t="n"/>
      <c r="H32" s="96" t="n"/>
      <c r="I32" s="96" t="n"/>
      <c r="J32" s="87" t="n"/>
      <c r="K32" s="70" t="n"/>
      <c r="L32" s="285" t="n"/>
      <c r="M32" s="285" t="n"/>
      <c r="N32" s="285" t="n"/>
      <c r="O32" s="285" t="n"/>
      <c r="P32" s="115" t="n"/>
    </row>
    <row r="33" ht="12" customHeight="1">
      <c r="A33" s="112" t="n"/>
      <c r="B33" s="80" t="n"/>
      <c r="C33" s="77" t="n"/>
      <c r="D33" s="77" t="n"/>
      <c r="E33" s="78" t="n"/>
      <c r="F33" s="78" t="n"/>
      <c r="G33" s="77" t="n"/>
      <c r="H33" s="86" t="n"/>
      <c r="I33" s="86" t="n"/>
      <c r="J33" s="87" t="n"/>
      <c r="K33" s="70" t="n"/>
      <c r="L33" s="285" t="n"/>
      <c r="M33" s="285" t="n"/>
      <c r="N33" s="285" t="n"/>
      <c r="O33" s="285" t="n"/>
      <c r="P33" s="115" t="n"/>
    </row>
    <row r="34" ht="12" customHeight="1">
      <c r="A34" s="111" t="n">
        <v>4</v>
      </c>
      <c r="B34" s="76" t="inlineStr">
        <is>
          <t>Power Transformer Condition</t>
        </is>
      </c>
      <c r="C34" s="77" t="n"/>
      <c r="D34" s="77" t="n"/>
      <c r="E34" s="78" t="n"/>
      <c r="F34" s="78" t="n"/>
      <c r="G34" s="77" t="n"/>
      <c r="H34" s="86" t="n"/>
      <c r="I34" s="86" t="n"/>
      <c r="J34" s="87" t="n"/>
      <c r="K34" s="70" t="n"/>
      <c r="L34" s="285" t="n"/>
      <c r="M34" s="285" t="n"/>
      <c r="N34" s="285" t="n"/>
      <c r="O34" s="285" t="n"/>
      <c r="P34" s="115" t="n"/>
    </row>
    <row r="35" ht="12" customHeight="1">
      <c r="A35" s="112" t="n"/>
      <c r="B35" s="80" t="n"/>
      <c r="C35" s="77" t="n"/>
      <c r="D35" s="77" t="n"/>
      <c r="E35" s="78" t="n"/>
      <c r="F35" s="78" t="n"/>
      <c r="G35" s="77" t="n"/>
      <c r="H35" s="86" t="n"/>
      <c r="I35" s="86" t="n"/>
      <c r="J35" s="87" t="n"/>
      <c r="K35" s="70" t="n"/>
      <c r="L35" s="285" t="n"/>
      <c r="M35" s="285" t="n"/>
      <c r="N35" s="285" t="n"/>
      <c r="O35" s="285" t="n"/>
      <c r="P35" s="115" t="n"/>
    </row>
    <row r="36" ht="12" customHeight="1" thickBot="1">
      <c r="A36" s="112" t="n"/>
      <c r="B36" s="81" t="inlineStr">
        <is>
          <t>4.1 No leaks at Power Transformer</t>
        </is>
      </c>
      <c r="C36" s="81" t="n"/>
      <c r="D36" s="97" t="n"/>
      <c r="E36" s="98" t="n"/>
      <c r="F36" s="98" t="n"/>
      <c r="G36" s="97" t="n"/>
      <c r="H36" s="311" t="inlineStr">
        <is>
          <t>YES</t>
        </is>
      </c>
      <c r="I36" s="311" t="inlineStr">
        <is>
          <t>NO</t>
        </is>
      </c>
      <c r="J36" s="311" t="inlineStr">
        <is>
          <t>N/A</t>
        </is>
      </c>
      <c r="K36" s="70" t="n"/>
      <c r="L36" s="283" t="n"/>
      <c r="M36" s="283" t="n"/>
      <c r="N36" s="283" t="n"/>
      <c r="O36" s="286" t="n"/>
      <c r="P36" s="115" t="n"/>
    </row>
    <row r="37" ht="12" customHeight="1">
      <c r="A37" s="112" t="n"/>
      <c r="B37" s="81" t="n"/>
      <c r="C37" s="81" t="n"/>
      <c r="D37" s="97" t="n"/>
      <c r="E37" s="98" t="n"/>
      <c r="F37" s="98" t="n"/>
      <c r="G37" s="97" t="n"/>
      <c r="H37" s="99" t="n"/>
      <c r="I37" s="99" t="n"/>
      <c r="J37" s="100" t="n"/>
      <c r="K37" s="70" t="n"/>
      <c r="L37" s="285" t="n"/>
      <c r="M37" s="285" t="n"/>
      <c r="N37" s="285" t="n"/>
      <c r="O37" s="285" t="n"/>
      <c r="P37" s="115" t="n"/>
    </row>
    <row r="38" ht="12" customHeight="1" thickBot="1">
      <c r="A38" s="112" t="n"/>
      <c r="B38" s="88" t="inlineStr">
        <is>
          <t>4.2 Adequate oil at Main Tank. i.e. to check oil level at main tank</t>
        </is>
      </c>
      <c r="C38" s="97" t="n"/>
      <c r="D38" s="97" t="n"/>
      <c r="E38" s="98" t="n"/>
      <c r="F38" s="98" t="n"/>
      <c r="G38" s="97" t="n"/>
      <c r="H38" s="311" t="inlineStr">
        <is>
          <t>YES</t>
        </is>
      </c>
      <c r="I38" s="311" t="inlineStr">
        <is>
          <t>NO</t>
        </is>
      </c>
      <c r="J38" s="311" t="inlineStr">
        <is>
          <t>N/A</t>
        </is>
      </c>
      <c r="K38" s="70" t="n"/>
      <c r="L38" s="283" t="n"/>
      <c r="M38" s="283" t="n"/>
      <c r="N38" s="283" t="n"/>
      <c r="O38" s="286" t="n"/>
      <c r="P38" s="115" t="n"/>
    </row>
    <row r="39" ht="12" customHeight="1">
      <c r="A39" s="112" t="n"/>
      <c r="B39" s="81" t="n"/>
      <c r="C39" s="81" t="n"/>
      <c r="D39" s="97" t="n"/>
      <c r="E39" s="98" t="n"/>
      <c r="F39" s="98" t="n"/>
      <c r="G39" s="97" t="n"/>
      <c r="H39" s="99" t="n"/>
      <c r="I39" s="99" t="n"/>
      <c r="J39" s="100" t="n"/>
      <c r="K39" s="70" t="n"/>
      <c r="L39" s="285" t="n"/>
      <c r="M39" s="285" t="n"/>
      <c r="N39" s="285" t="n"/>
      <c r="O39" s="285" t="n"/>
      <c r="P39" s="115" t="n"/>
    </row>
    <row r="40" ht="12" customHeight="1" thickBot="1">
      <c r="A40" s="112" t="n"/>
      <c r="B40" s="88" t="inlineStr">
        <is>
          <t>4.3 Adequate oil at OLTC Tank. i.e. to check oil level at OLTC tank</t>
        </is>
      </c>
      <c r="C40" s="81" t="n"/>
      <c r="D40" s="97" t="n"/>
      <c r="E40" s="98" t="n"/>
      <c r="F40" s="98" t="n"/>
      <c r="G40" s="97" t="n"/>
      <c r="H40" s="311" t="inlineStr">
        <is>
          <t>YES</t>
        </is>
      </c>
      <c r="I40" s="311" t="inlineStr">
        <is>
          <t>NO</t>
        </is>
      </c>
      <c r="J40" s="311" t="inlineStr">
        <is>
          <t>N/A</t>
        </is>
      </c>
      <c r="K40" s="70" t="n"/>
      <c r="L40" s="283" t="n"/>
      <c r="M40" s="283" t="n"/>
      <c r="N40" s="283" t="n"/>
      <c r="O40" s="286" t="n"/>
      <c r="P40" s="115" t="n"/>
    </row>
    <row r="41" ht="12" customHeight="1">
      <c r="A41" s="112" t="n"/>
      <c r="B41" s="88" t="n"/>
      <c r="C41" s="81" t="n"/>
      <c r="D41" s="97" t="n"/>
      <c r="E41" s="98" t="n"/>
      <c r="F41" s="98" t="n"/>
      <c r="G41" s="97" t="n"/>
      <c r="H41" s="99" t="n"/>
      <c r="I41" s="99" t="n"/>
      <c r="J41" s="87" t="n"/>
      <c r="K41" s="70" t="n"/>
      <c r="L41" s="285" t="n"/>
      <c r="M41" s="285" t="n"/>
      <c r="N41" s="285" t="n"/>
      <c r="O41" s="285" t="n"/>
      <c r="P41" s="115" t="n"/>
    </row>
    <row r="42" ht="12" customHeight="1" thickBot="1">
      <c r="A42" s="112" t="n"/>
      <c r="B42" s="81" t="inlineStr">
        <is>
          <t>4.4 Cooling Fan are in place and functioning or fuse blown/faulty MCB</t>
        </is>
      </c>
      <c r="C42" s="81" t="n"/>
      <c r="D42" s="97" t="n"/>
      <c r="E42" s="98" t="n"/>
      <c r="F42" s="98" t="n"/>
      <c r="G42" s="97" t="n"/>
      <c r="H42" s="311" t="inlineStr">
        <is>
          <t>YES</t>
        </is>
      </c>
      <c r="I42" s="311" t="inlineStr">
        <is>
          <t>NO</t>
        </is>
      </c>
      <c r="J42" s="311" t="inlineStr">
        <is>
          <t>N/A</t>
        </is>
      </c>
      <c r="K42" s="70" t="n"/>
      <c r="L42" s="283" t="n"/>
      <c r="M42" s="283" t="n"/>
      <c r="N42" s="283" t="n"/>
      <c r="O42" s="286" t="n"/>
      <c r="P42" s="118" t="n"/>
      <c r="Q42" s="39" t="n"/>
    </row>
    <row r="43" ht="12" customHeight="1">
      <c r="A43" s="112" t="n"/>
      <c r="B43" s="81" t="n"/>
      <c r="C43" s="81" t="n"/>
      <c r="D43" s="97" t="n"/>
      <c r="E43" s="98" t="n"/>
      <c r="F43" s="98" t="n"/>
      <c r="G43" s="97" t="n"/>
      <c r="H43" s="99" t="n"/>
      <c r="I43" s="99" t="n"/>
      <c r="J43" s="101" t="n"/>
      <c r="K43" s="70" t="n"/>
      <c r="L43" s="284" t="n"/>
      <c r="M43" s="284" t="n"/>
      <c r="N43" s="284" t="n"/>
      <c r="O43" s="287" t="n"/>
      <c r="P43" s="118" t="n"/>
      <c r="Q43" s="39" t="n"/>
    </row>
    <row r="44" ht="12" customHeight="1">
      <c r="A44" s="112" t="n"/>
      <c r="B44" s="310" t="inlineStr">
        <is>
          <t>4.5 No anormalities or any indication of corrosion or leaks at HV and LV cable box</t>
        </is>
      </c>
      <c r="G44" s="97" t="n"/>
      <c r="H44" s="311" t="inlineStr">
        <is>
          <t>YES</t>
        </is>
      </c>
      <c r="I44" s="311" t="inlineStr">
        <is>
          <t>NO</t>
        </is>
      </c>
      <c r="J44" s="311" t="inlineStr">
        <is>
          <t>N/A</t>
        </is>
      </c>
      <c r="K44" s="70" t="n"/>
      <c r="L44" s="284" t="n"/>
      <c r="M44" s="284" t="n"/>
      <c r="N44" s="284" t="n"/>
      <c r="O44" s="287" t="n"/>
      <c r="P44" s="118" t="n"/>
      <c r="Q44" s="39" t="n"/>
    </row>
    <row r="45" ht="12" customHeight="1" thickBot="1">
      <c r="A45" s="112" t="n"/>
      <c r="G45" s="97" t="n"/>
      <c r="H45" s="540" t="n"/>
      <c r="I45" s="540" t="n"/>
      <c r="J45" s="540" t="n"/>
      <c r="K45" s="70" t="n"/>
      <c r="L45" s="283" t="n"/>
      <c r="M45" s="283" t="n"/>
      <c r="N45" s="283" t="n"/>
      <c r="O45" s="286" t="n"/>
      <c r="P45" s="118" t="n"/>
      <c r="Q45" s="39" t="n"/>
    </row>
    <row r="46" ht="12" customHeight="1">
      <c r="A46" s="112" t="n"/>
      <c r="B46" s="81" t="n"/>
      <c r="C46" s="81" t="n"/>
      <c r="D46" s="97" t="n"/>
      <c r="E46" s="98" t="n"/>
      <c r="F46" s="98" t="n"/>
      <c r="G46" s="97" t="n"/>
      <c r="H46" s="99" t="n"/>
      <c r="I46" s="99" t="n"/>
      <c r="J46" s="87" t="n"/>
      <c r="K46" s="70" t="n"/>
      <c r="L46" s="284" t="n"/>
      <c r="M46" s="284" t="n"/>
      <c r="N46" s="284" t="n"/>
      <c r="O46" s="287" t="n"/>
      <c r="P46" s="118" t="n"/>
      <c r="Q46" s="39" t="n"/>
    </row>
    <row r="47" ht="12" customHeight="1" thickBot="1">
      <c r="A47" s="110" t="n"/>
      <c r="B47" s="88" t="inlineStr">
        <is>
          <t>4.6 Transformer tail earthing is in proper and good condition</t>
        </is>
      </c>
      <c r="C47" s="102" t="n"/>
      <c r="D47" s="102" t="n"/>
      <c r="E47" s="102" t="n"/>
      <c r="F47" s="102" t="n"/>
      <c r="G47" s="102" t="n"/>
      <c r="H47" s="311" t="inlineStr">
        <is>
          <t>YES</t>
        </is>
      </c>
      <c r="I47" s="311" t="inlineStr">
        <is>
          <t>NO</t>
        </is>
      </c>
      <c r="J47" s="311" t="inlineStr">
        <is>
          <t>N/A</t>
        </is>
      </c>
      <c r="K47" s="70" t="n"/>
      <c r="L47" s="283" t="n"/>
      <c r="M47" s="283" t="n"/>
      <c r="N47" s="283" t="n"/>
      <c r="O47" s="286" t="n"/>
      <c r="P47" s="118" t="n"/>
      <c r="Q47" s="39" t="n"/>
    </row>
    <row r="48" ht="12" customHeight="1">
      <c r="A48" s="112" t="n"/>
      <c r="B48" s="81" t="n"/>
      <c r="C48" s="97" t="n"/>
      <c r="D48" s="97" t="n"/>
      <c r="E48" s="98" t="n"/>
      <c r="F48" s="98" t="n"/>
      <c r="G48" s="97" t="n"/>
      <c r="H48" s="99" t="n"/>
      <c r="I48" s="99" t="n"/>
      <c r="J48" s="87" t="n"/>
      <c r="K48" s="70" t="n"/>
      <c r="L48" s="284" t="n"/>
      <c r="M48" s="284" t="n"/>
      <c r="N48" s="284" t="n"/>
      <c r="O48" s="287" t="n"/>
      <c r="P48" s="119" t="n"/>
      <c r="Q48" s="39" t="n"/>
    </row>
    <row r="49" ht="12" customHeight="1" thickBot="1">
      <c r="A49" s="112" t="n"/>
      <c r="B49" s="88" t="inlineStr">
        <is>
          <t>4.7 Cable entry openings properly sealed.</t>
        </is>
      </c>
      <c r="C49" s="97" t="n"/>
      <c r="D49" s="97" t="n"/>
      <c r="E49" s="98" t="n"/>
      <c r="F49" s="98" t="n"/>
      <c r="G49" s="97" t="n"/>
      <c r="H49" s="311" t="inlineStr">
        <is>
          <t>YES</t>
        </is>
      </c>
      <c r="I49" s="311" t="inlineStr">
        <is>
          <t>NO</t>
        </is>
      </c>
      <c r="J49" s="311" t="inlineStr">
        <is>
          <t>N/A</t>
        </is>
      </c>
      <c r="K49" s="70" t="n"/>
      <c r="L49" s="283" t="n"/>
      <c r="M49" s="283" t="n"/>
      <c r="N49" s="283" t="n"/>
      <c r="O49" s="286" t="n"/>
      <c r="P49" s="119" t="n"/>
      <c r="Q49" s="39" t="n"/>
    </row>
    <row r="50" ht="12" customHeight="1">
      <c r="A50" s="112" t="n"/>
      <c r="B50" s="88" t="n"/>
      <c r="C50" s="97" t="n"/>
      <c r="D50" s="97" t="n"/>
      <c r="E50" s="98" t="n"/>
      <c r="F50" s="98" t="n"/>
      <c r="G50" s="97" t="n"/>
      <c r="H50" s="103" t="n"/>
      <c r="I50" s="103" t="n"/>
      <c r="J50" s="103" t="n"/>
      <c r="K50" s="70" t="n"/>
      <c r="L50" s="284" t="n"/>
      <c r="M50" s="284" t="n"/>
      <c r="N50" s="284" t="n"/>
      <c r="O50" s="287" t="n"/>
      <c r="P50" s="119" t="n"/>
      <c r="Q50" s="39" t="n"/>
    </row>
    <row r="51" ht="12" customHeight="1" thickBot="1">
      <c r="A51" s="112" t="n"/>
      <c r="B51" s="88" t="inlineStr">
        <is>
          <t>4.8 Chequer plate provided.</t>
        </is>
      </c>
      <c r="C51" s="97" t="n"/>
      <c r="D51" s="97" t="n"/>
      <c r="E51" s="98" t="n"/>
      <c r="F51" s="98" t="n"/>
      <c r="G51" s="97" t="n"/>
      <c r="H51" s="311" t="inlineStr">
        <is>
          <t>YES</t>
        </is>
      </c>
      <c r="I51" s="311" t="inlineStr">
        <is>
          <t>NO</t>
        </is>
      </c>
      <c r="J51" s="311" t="inlineStr">
        <is>
          <t>N/A</t>
        </is>
      </c>
      <c r="K51" s="70" t="n"/>
      <c r="L51" s="283" t="n"/>
      <c r="M51" s="283" t="n"/>
      <c r="N51" s="283" t="n"/>
      <c r="O51" s="286" t="n"/>
      <c r="P51" s="119" t="n"/>
      <c r="Q51" s="39" t="n"/>
    </row>
    <row r="52" ht="12" customHeight="1">
      <c r="A52" s="112" t="n"/>
      <c r="B52" s="88" t="n"/>
      <c r="C52" s="97" t="n"/>
      <c r="D52" s="97" t="n"/>
      <c r="E52" s="98" t="n"/>
      <c r="F52" s="98" t="n"/>
      <c r="G52" s="97" t="n"/>
      <c r="H52" s="99" t="n"/>
      <c r="I52" s="99" t="n"/>
      <c r="J52" s="87" t="n"/>
      <c r="K52" s="70" t="n"/>
      <c r="L52" s="284" t="n"/>
      <c r="M52" s="284" t="n"/>
      <c r="N52" s="284" t="n"/>
      <c r="O52" s="287" t="n"/>
      <c r="P52" s="119" t="n"/>
      <c r="Q52" s="39" t="n"/>
    </row>
    <row r="53" ht="12" customHeight="1">
      <c r="A53" s="113" t="n"/>
      <c r="B53" s="310" t="inlineStr">
        <is>
          <t>4.9 Proper Transformer earthing installation. i.e copper / stay wire / stollen / disconnected</t>
        </is>
      </c>
      <c r="H53" s="311" t="inlineStr">
        <is>
          <t>YES</t>
        </is>
      </c>
      <c r="I53" s="311" t="inlineStr">
        <is>
          <t>NO</t>
        </is>
      </c>
      <c r="J53" s="311" t="inlineStr">
        <is>
          <t>N/A</t>
        </is>
      </c>
      <c r="K53" s="70" t="n"/>
      <c r="L53" s="285" t="n"/>
      <c r="M53" s="285" t="n"/>
      <c r="N53" s="285" t="n"/>
      <c r="O53" s="285" t="n"/>
      <c r="P53" s="115" t="n"/>
    </row>
    <row r="54" ht="12" customHeight="1" thickBot="1">
      <c r="A54" s="113" t="n"/>
      <c r="H54" s="540" t="n"/>
      <c r="I54" s="540" t="n"/>
      <c r="J54" s="540" t="n"/>
      <c r="K54" s="70" t="n"/>
      <c r="L54" s="283" t="n"/>
      <c r="M54" s="283" t="n"/>
      <c r="N54" s="283" t="n"/>
      <c r="O54" s="286" t="n"/>
      <c r="P54" s="115" t="n"/>
    </row>
    <row r="55" ht="12" customHeight="1">
      <c r="A55" s="113" t="n"/>
      <c r="B55" s="310" t="n"/>
      <c r="C55" s="310" t="n"/>
      <c r="D55" s="310" t="n"/>
      <c r="E55" s="310" t="n"/>
      <c r="F55" s="310" t="n"/>
      <c r="G55" s="310" t="n"/>
      <c r="H55" s="103" t="n"/>
      <c r="I55" s="103" t="n"/>
      <c r="J55" s="87" t="n"/>
      <c r="K55" s="70" t="n"/>
      <c r="L55" s="284" t="n"/>
      <c r="M55" s="284" t="n"/>
      <c r="N55" s="284" t="n"/>
      <c r="O55" s="287" t="n"/>
      <c r="P55" s="115" t="n"/>
    </row>
    <row r="56" ht="12" customHeight="1">
      <c r="A56" s="112" t="n"/>
      <c r="B56" s="88" t="n"/>
      <c r="C56" s="77" t="n"/>
      <c r="D56" s="77" t="n"/>
      <c r="E56" s="78" t="n"/>
      <c r="F56" s="78" t="n"/>
      <c r="G56" s="77" t="n"/>
      <c r="H56" s="86" t="n"/>
      <c r="I56" s="86" t="n"/>
      <c r="J56" s="87" t="n"/>
      <c r="K56" s="70" t="n"/>
      <c r="L56" s="284" t="n"/>
      <c r="M56" s="284" t="n"/>
      <c r="N56" s="284" t="n"/>
      <c r="O56" s="287" t="n"/>
      <c r="P56" s="119" t="n"/>
      <c r="Q56" s="39" t="n"/>
    </row>
    <row r="57" ht="12" customHeight="1">
      <c r="A57" s="111" t="n">
        <v>5</v>
      </c>
      <c r="B57" s="76" t="inlineStr">
        <is>
          <t>NER Condition</t>
        </is>
      </c>
      <c r="C57" s="77" t="n"/>
      <c r="D57" s="77" t="n"/>
      <c r="E57" s="78" t="n"/>
      <c r="F57" s="78" t="n"/>
      <c r="G57" s="77" t="n"/>
      <c r="H57" s="86" t="n"/>
      <c r="I57" s="86" t="n"/>
      <c r="J57" s="87" t="n"/>
      <c r="K57" s="70" t="n"/>
      <c r="L57" s="285" t="n"/>
      <c r="M57" s="285" t="n"/>
      <c r="N57" s="285" t="n"/>
      <c r="O57" s="285" t="n"/>
      <c r="P57" s="115" t="n"/>
    </row>
    <row r="58" ht="12" customHeight="1">
      <c r="A58" s="112" t="n"/>
      <c r="B58" s="80" t="n"/>
      <c r="C58" s="77" t="n"/>
      <c r="D58" s="77" t="n"/>
      <c r="E58" s="78" t="n"/>
      <c r="F58" s="78" t="n"/>
      <c r="G58" s="77" t="n"/>
      <c r="H58" s="86" t="n"/>
      <c r="I58" s="86" t="n"/>
      <c r="J58" s="87" t="n"/>
      <c r="K58" s="70" t="n"/>
      <c r="L58" s="285" t="n"/>
      <c r="M58" s="285" t="n"/>
      <c r="N58" s="285" t="n"/>
      <c r="O58" s="285" t="n"/>
      <c r="P58" s="115" t="n"/>
    </row>
    <row r="59" ht="12" customHeight="1" thickBot="1">
      <c r="A59" s="113" t="n"/>
      <c r="B59" s="81" t="inlineStr">
        <is>
          <t>5.1  Proper NER earthing installation. i.e copper / stay wire / stollen / disconnected</t>
        </is>
      </c>
      <c r="C59" s="91" t="n"/>
      <c r="D59" s="91" t="n"/>
      <c r="E59" s="91" t="n"/>
      <c r="F59" s="91" t="n"/>
      <c r="G59" s="91" t="n"/>
      <c r="H59" s="311" t="inlineStr">
        <is>
          <t>YES</t>
        </is>
      </c>
      <c r="I59" s="311" t="inlineStr">
        <is>
          <t>NO</t>
        </is>
      </c>
      <c r="J59" s="311" t="inlineStr">
        <is>
          <t>N/A</t>
        </is>
      </c>
      <c r="K59" s="70" t="n"/>
      <c r="L59" s="283" t="n"/>
      <c r="M59" s="283" t="n"/>
      <c r="N59" s="283" t="n"/>
      <c r="O59" s="286" t="n"/>
      <c r="P59" s="115" t="n"/>
    </row>
    <row r="60" ht="12" customHeight="1">
      <c r="A60" s="112" t="n"/>
      <c r="B60" s="81" t="n"/>
      <c r="C60" s="80" t="n"/>
      <c r="D60" s="77" t="n"/>
      <c r="E60" s="78" t="n"/>
      <c r="F60" s="78" t="n"/>
      <c r="G60" s="77" t="n"/>
      <c r="H60" s="86" t="n"/>
      <c r="I60" s="86" t="n"/>
      <c r="J60" s="100" t="n"/>
      <c r="K60" s="70" t="n"/>
      <c r="L60" s="285" t="n"/>
      <c r="M60" s="285" t="n"/>
      <c r="N60" s="285" t="n"/>
      <c r="O60" s="285" t="n"/>
      <c r="P60" s="115" t="n"/>
    </row>
    <row r="61" ht="12" customHeight="1" thickBot="1">
      <c r="A61" s="112" t="n"/>
      <c r="B61" s="88" t="inlineStr">
        <is>
          <t>5.2 Proper earth bars and links</t>
        </is>
      </c>
      <c r="C61" s="77" t="n"/>
      <c r="D61" s="77" t="n"/>
      <c r="E61" s="78" t="n"/>
      <c r="F61" s="78" t="n"/>
      <c r="G61" s="77" t="n"/>
      <c r="H61" s="311" t="inlineStr">
        <is>
          <t>YES</t>
        </is>
      </c>
      <c r="I61" s="311" t="inlineStr">
        <is>
          <t>NO</t>
        </is>
      </c>
      <c r="J61" s="311" t="inlineStr">
        <is>
          <t>N/A</t>
        </is>
      </c>
      <c r="K61" s="70" t="n"/>
      <c r="L61" s="283" t="n"/>
      <c r="M61" s="283" t="n"/>
      <c r="N61" s="283" t="n"/>
      <c r="O61" s="286" t="n"/>
      <c r="P61" s="115" t="n"/>
    </row>
    <row r="62" ht="12" customHeight="1">
      <c r="A62" s="112" t="n"/>
      <c r="B62" s="81" t="inlineStr">
        <is>
          <t>(Note:If there have any defect occur, record in testsheet under remarks thermography)</t>
        </is>
      </c>
      <c r="C62" s="80" t="n"/>
      <c r="D62" s="77" t="n"/>
      <c r="E62" s="78" t="n"/>
      <c r="F62" s="78" t="n"/>
      <c r="G62" s="77" t="n"/>
      <c r="H62" s="86" t="n"/>
      <c r="I62" s="86" t="n"/>
      <c r="J62" s="87" t="n"/>
      <c r="K62" s="70" t="n"/>
      <c r="L62" s="284" t="n"/>
      <c r="M62" s="284" t="n"/>
      <c r="N62" s="284" t="n"/>
      <c r="O62" s="287" t="n"/>
      <c r="P62" s="118" t="n"/>
      <c r="Q62" s="39" t="n"/>
    </row>
    <row r="63" ht="12" customHeight="1">
      <c r="A63" s="112" t="n"/>
      <c r="B63" s="81" t="n"/>
      <c r="C63" s="80" t="n"/>
      <c r="D63" s="77" t="n"/>
      <c r="E63" s="78" t="n"/>
      <c r="F63" s="78" t="n"/>
      <c r="G63" s="77" t="n"/>
      <c r="H63" s="86" t="n"/>
      <c r="I63" s="86" t="n"/>
      <c r="J63" s="87" t="n"/>
      <c r="K63" s="70" t="n"/>
      <c r="L63" s="284" t="n"/>
      <c r="M63" s="284" t="n"/>
      <c r="N63" s="284" t="n"/>
      <c r="O63" s="287" t="n"/>
      <c r="P63" s="118" t="n"/>
      <c r="Q63" s="39" t="n"/>
    </row>
    <row r="64" ht="12" customHeight="1">
      <c r="A64" s="111" t="n">
        <v>6</v>
      </c>
      <c r="B64" s="76" t="inlineStr">
        <is>
          <t>Field Cable Verifications</t>
        </is>
      </c>
      <c r="C64" s="77" t="n"/>
      <c r="D64" s="77" t="n"/>
      <c r="E64" s="78" t="n"/>
      <c r="F64" s="78" t="n"/>
      <c r="G64" s="77" t="n"/>
      <c r="H64" s="86" t="n"/>
      <c r="I64" s="86" t="n"/>
      <c r="J64" s="87" t="n"/>
      <c r="K64" s="70" t="n"/>
      <c r="L64" s="285" t="n"/>
      <c r="M64" s="285" t="n"/>
      <c r="N64" s="285" t="n"/>
      <c r="O64" s="285" t="n"/>
      <c r="P64" s="115" t="n"/>
    </row>
    <row r="65" ht="12" customHeight="1">
      <c r="A65" s="112" t="n"/>
      <c r="B65" s="80" t="n"/>
      <c r="C65" s="77" t="n"/>
      <c r="D65" s="77" t="n"/>
      <c r="E65" s="78" t="n"/>
      <c r="F65" s="78" t="n"/>
      <c r="G65" s="77" t="n"/>
      <c r="H65" s="86" t="n"/>
      <c r="I65" s="86" t="n"/>
      <c r="J65" s="87" t="n"/>
      <c r="K65" s="70" t="n"/>
      <c r="L65" s="285" t="n"/>
      <c r="M65" s="285" t="n"/>
      <c r="N65" s="285" t="n"/>
      <c r="O65" s="285" t="n"/>
      <c r="P65" s="115" t="n"/>
    </row>
    <row r="66" ht="12" customHeight="1" thickBot="1">
      <c r="A66" s="112" t="n"/>
      <c r="B66" s="310" t="inlineStr">
        <is>
          <t>6.1 Power cables properly supported i.e power cables / power transformer / local transformer</t>
        </is>
      </c>
      <c r="H66" s="311" t="inlineStr">
        <is>
          <t>YES</t>
        </is>
      </c>
      <c r="I66" s="311" t="inlineStr">
        <is>
          <t>NO</t>
        </is>
      </c>
      <c r="J66" s="311" t="inlineStr">
        <is>
          <t>N/A</t>
        </is>
      </c>
      <c r="K66" s="70" t="n"/>
      <c r="L66" s="283" t="n"/>
      <c r="M66" s="283" t="n"/>
      <c r="N66" s="283" t="n"/>
      <c r="O66" s="286" t="n"/>
      <c r="P66" s="115" t="n"/>
    </row>
    <row r="67" ht="12" customHeight="1">
      <c r="A67" s="112" t="n"/>
      <c r="H67" s="86" t="n"/>
      <c r="I67" s="86" t="n"/>
      <c r="J67" s="101" t="n"/>
      <c r="K67" s="70" t="n"/>
      <c r="L67" s="285" t="n"/>
      <c r="M67" s="285" t="n"/>
      <c r="N67" s="285" t="n"/>
      <c r="O67" s="285" t="n"/>
      <c r="P67" s="115" t="n"/>
    </row>
    <row r="68" ht="12" customHeight="1">
      <c r="A68" s="112" t="n"/>
      <c r="B68" s="81" t="n"/>
      <c r="C68" s="80" t="n"/>
      <c r="D68" s="77" t="n"/>
      <c r="E68" s="78" t="n"/>
      <c r="F68" s="78" t="n"/>
      <c r="G68" s="77" t="n"/>
      <c r="H68" s="86" t="n"/>
      <c r="I68" s="86" t="n"/>
      <c r="J68" s="87" t="n"/>
      <c r="K68" s="70" t="n"/>
      <c r="L68" s="285" t="n"/>
      <c r="M68" s="285" t="n"/>
      <c r="N68" s="285" t="n"/>
      <c r="O68" s="285" t="n"/>
      <c r="P68" s="115" t="n"/>
    </row>
    <row r="69" ht="12" customHeight="1" thickBot="1">
      <c r="A69" s="112" t="n"/>
      <c r="B69" s="81" t="inlineStr">
        <is>
          <t>6.2 Power cable opening properly sealed. i.e cable entry sealed</t>
        </is>
      </c>
      <c r="C69" s="80" t="n"/>
      <c r="D69" s="77" t="n"/>
      <c r="E69" s="78" t="n"/>
      <c r="F69" s="78" t="n"/>
      <c r="G69" s="77" t="n"/>
      <c r="H69" s="311" t="inlineStr">
        <is>
          <t>YES</t>
        </is>
      </c>
      <c r="I69" s="311" t="inlineStr">
        <is>
          <t>NO</t>
        </is>
      </c>
      <c r="J69" s="311" t="inlineStr">
        <is>
          <t>N/A</t>
        </is>
      </c>
      <c r="K69" s="70" t="n"/>
      <c r="L69" s="283" t="n"/>
      <c r="M69" s="283" t="n"/>
      <c r="N69" s="283" t="n"/>
      <c r="O69" s="286" t="n"/>
      <c r="P69" s="115" t="n"/>
    </row>
    <row r="70" ht="12" customHeight="1">
      <c r="A70" s="110" t="n"/>
      <c r="B70" s="89" t="n"/>
      <c r="C70" s="89" t="n"/>
      <c r="D70" s="90" t="n"/>
      <c r="E70" s="91" t="n"/>
      <c r="F70" s="91" t="n"/>
      <c r="G70" s="90" t="n"/>
      <c r="H70" s="90" t="n"/>
      <c r="I70" s="90" t="n"/>
      <c r="J70" s="90" t="n"/>
      <c r="K70" s="70" t="n"/>
      <c r="L70" s="285" t="n"/>
      <c r="M70" s="285" t="n"/>
      <c r="N70" s="285" t="n"/>
      <c r="O70" s="285" t="n"/>
      <c r="P70" s="115" t="n"/>
    </row>
    <row r="71" ht="12" customHeight="1">
      <c r="A71" s="111" t="n">
        <v>7</v>
      </c>
      <c r="B71" s="312" t="inlineStr">
        <is>
          <t>Building</t>
        </is>
      </c>
      <c r="C71" s="89" t="n"/>
      <c r="D71" s="90" t="n"/>
      <c r="E71" s="91" t="n"/>
      <c r="F71" s="91" t="n"/>
      <c r="G71" s="90" t="n"/>
      <c r="H71" s="90" t="n"/>
      <c r="I71" s="90" t="n"/>
      <c r="J71" s="90" t="n"/>
      <c r="K71" s="70" t="n"/>
      <c r="L71" s="285" t="n"/>
      <c r="M71" s="285" t="n"/>
      <c r="N71" s="285" t="n"/>
      <c r="O71" s="285" t="n"/>
      <c r="P71" s="115" t="n"/>
    </row>
    <row r="72" ht="12" customHeight="1">
      <c r="A72" s="111" t="n"/>
      <c r="B72" s="312" t="n"/>
      <c r="C72" s="89" t="n"/>
      <c r="D72" s="90" t="n"/>
      <c r="E72" s="91" t="n"/>
      <c r="F72" s="91" t="n"/>
      <c r="G72" s="90" t="n"/>
      <c r="H72" s="90" t="n"/>
      <c r="I72" s="90" t="n"/>
      <c r="J72" s="90" t="n"/>
      <c r="K72" s="70" t="n"/>
      <c r="L72" s="285" t="n"/>
      <c r="M72" s="285" t="n"/>
      <c r="N72" s="285" t="n"/>
      <c r="O72" s="285" t="n"/>
      <c r="P72" s="115" t="n"/>
    </row>
    <row r="73" ht="12" customHeight="1" thickBot="1">
      <c r="A73" s="111" t="n"/>
      <c r="B73" s="310" t="inlineStr">
        <is>
          <t>7.1 Good roof condition i.e. no leakage</t>
        </is>
      </c>
      <c r="G73" s="106" t="n"/>
      <c r="H73" s="311" t="inlineStr">
        <is>
          <t>YES</t>
        </is>
      </c>
      <c r="I73" s="311" t="inlineStr">
        <is>
          <t>NO</t>
        </is>
      </c>
      <c r="J73" s="311" t="inlineStr">
        <is>
          <t>N/A</t>
        </is>
      </c>
      <c r="K73" s="70" t="n"/>
      <c r="L73" s="283" t="n"/>
      <c r="M73" s="283" t="n"/>
      <c r="N73" s="283" t="n"/>
      <c r="O73" s="286" t="n"/>
      <c r="P73" s="115" t="n"/>
    </row>
    <row r="74" ht="12" customHeight="1">
      <c r="A74" s="111" t="n"/>
      <c r="B74" s="310" t="n"/>
      <c r="C74" s="310" t="n"/>
      <c r="D74" s="310" t="n"/>
      <c r="E74" s="310" t="n"/>
      <c r="F74" s="310" t="n"/>
      <c r="G74" s="106" t="n"/>
      <c r="H74" s="103" t="n"/>
      <c r="I74" s="103" t="n"/>
      <c r="J74" s="103" t="n"/>
      <c r="K74" s="70" t="n"/>
      <c r="L74" s="285" t="n"/>
      <c r="M74" s="285" t="n"/>
      <c r="N74" s="285" t="n"/>
      <c r="O74" s="285" t="n"/>
      <c r="P74" s="115" t="n"/>
    </row>
    <row r="75" ht="12" customHeight="1" thickBot="1">
      <c r="A75" s="111" t="n"/>
      <c r="B75" s="310" t="inlineStr">
        <is>
          <t>7.2 Good battery charger condition (110VDC)</t>
        </is>
      </c>
      <c r="H75" s="311" t="inlineStr">
        <is>
          <t>YES</t>
        </is>
      </c>
      <c r="I75" s="311" t="inlineStr">
        <is>
          <t>NO</t>
        </is>
      </c>
      <c r="J75" s="311" t="inlineStr">
        <is>
          <t>N/A</t>
        </is>
      </c>
      <c r="K75" s="70" t="n"/>
      <c r="L75" s="283" t="n"/>
      <c r="M75" s="283" t="n"/>
      <c r="N75" s="283" t="n"/>
      <c r="O75" s="286" t="n"/>
      <c r="P75" s="115" t="n"/>
    </row>
    <row r="76" ht="12" customHeight="1">
      <c r="A76" s="110" t="n"/>
      <c r="B76" s="89" t="n"/>
      <c r="C76" s="89" t="n"/>
      <c r="D76" s="90" t="n"/>
      <c r="E76" s="91" t="n"/>
      <c r="F76" s="91" t="n"/>
      <c r="G76" s="90" t="n"/>
      <c r="H76" s="90" t="n"/>
      <c r="I76" s="90" t="n"/>
      <c r="J76" s="90" t="n"/>
      <c r="K76" s="70" t="n"/>
      <c r="L76" s="70" t="n"/>
      <c r="M76" s="70" t="n"/>
      <c r="N76" s="70" t="n"/>
      <c r="O76" s="70" t="n"/>
      <c r="P76" s="115" t="n"/>
    </row>
    <row r="77" ht="12" customFormat="1" customHeight="1" s="40">
      <c r="A77" s="111" t="n">
        <v>8</v>
      </c>
      <c r="B77" s="312" t="inlineStr">
        <is>
          <t>Other Findings :</t>
        </is>
      </c>
      <c r="D77" s="107" t="n"/>
      <c r="E77" s="107" t="n"/>
      <c r="F77" s="107" t="n"/>
      <c r="G77" s="107" t="n"/>
      <c r="H77" s="107" t="n"/>
      <c r="I77" s="107" t="n"/>
      <c r="J77" s="107" t="n"/>
      <c r="K77" s="107" t="n"/>
      <c r="L77" s="107" t="n"/>
      <c r="M77" s="107" t="n"/>
      <c r="N77" s="107" t="n"/>
      <c r="O77" s="107" t="n"/>
      <c r="P77" s="120" t="n"/>
    </row>
    <row r="78" ht="15" customHeight="1" thickBot="1">
      <c r="A78" s="113" t="n"/>
      <c r="B78" s="280" t="n"/>
      <c r="C78" s="280" t="n"/>
      <c r="D78" s="280" t="n"/>
      <c r="E78" s="280" t="n"/>
      <c r="F78" s="280" t="n"/>
      <c r="G78" s="280" t="n"/>
      <c r="H78" s="280" t="n"/>
      <c r="I78" s="280" t="n"/>
      <c r="J78" s="280" t="n"/>
      <c r="K78" s="280" t="n"/>
      <c r="L78" s="280" t="n"/>
      <c r="M78" s="280" t="n"/>
      <c r="N78" s="280" t="n"/>
      <c r="O78" s="280" t="n"/>
      <c r="P78" s="115" t="n"/>
    </row>
    <row r="79" ht="18" customHeight="1" thickBot="1">
      <c r="A79" s="113" t="n"/>
      <c r="B79" s="280" t="n"/>
      <c r="C79" s="280" t="n"/>
      <c r="D79" s="280" t="n"/>
      <c r="E79" s="280" t="n"/>
      <c r="F79" s="280" t="n"/>
      <c r="G79" s="280" t="n"/>
      <c r="H79" s="280" t="n"/>
      <c r="I79" s="280" t="n"/>
      <c r="J79" s="280" t="n"/>
      <c r="K79" s="280" t="n"/>
      <c r="L79" s="280" t="n"/>
      <c r="M79" s="280" t="n"/>
      <c r="N79" s="280" t="n"/>
      <c r="O79" s="280" t="n"/>
      <c r="P79" s="115" t="n"/>
    </row>
    <row r="80" ht="18" customHeight="1" thickBot="1">
      <c r="A80" s="113" t="n"/>
      <c r="B80" s="280" t="n"/>
      <c r="C80" s="280" t="n"/>
      <c r="D80" s="280" t="n"/>
      <c r="E80" s="280" t="n"/>
      <c r="F80" s="280" t="n"/>
      <c r="G80" s="280" t="n"/>
      <c r="H80" s="280" t="n"/>
      <c r="I80" s="280" t="n"/>
      <c r="J80" s="280" t="n"/>
      <c r="K80" s="280" t="n"/>
      <c r="L80" s="280" t="n"/>
      <c r="M80" s="280" t="n"/>
      <c r="N80" s="280" t="n"/>
      <c r="O80" s="280" t="n"/>
      <c r="P80" s="115" t="n"/>
    </row>
    <row r="81" ht="18" customHeight="1">
      <c r="A81" s="114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70" t="n"/>
      <c r="K81" s="70" t="n"/>
      <c r="L81" s="70" t="n"/>
      <c r="M81" s="281" t="inlineStr">
        <is>
          <t>FE EXP. DATE:</t>
        </is>
      </c>
      <c r="N81" s="273" t="n"/>
      <c r="O81" s="70" t="n"/>
      <c r="P81" s="115" t="n"/>
    </row>
    <row r="82" ht="12" customHeight="1">
      <c r="A82" s="313" t="inlineStr">
        <is>
          <t>Tested by (Name &amp; Signature):</t>
        </is>
      </c>
      <c r="B82" s="527" t="n"/>
      <c r="C82" s="528" t="n"/>
      <c r="D82" s="314" t="inlineStr">
        <is>
          <t>{{signvendor}}</t>
        </is>
      </c>
      <c r="E82" s="546" t="n"/>
      <c r="F82" s="546" t="n"/>
      <c r="G82" s="547" t="n"/>
      <c r="H82" s="315" t="inlineStr">
        <is>
          <t>TNB Supervisor / Engineer (Name &amp; Signature):</t>
        </is>
      </c>
      <c r="I82" s="527" t="n"/>
      <c r="J82" s="527" t="n"/>
      <c r="K82" s="527" t="n"/>
      <c r="L82" s="528" t="n"/>
      <c r="M82" s="309" t="inlineStr">
        <is>
          <t>{{signtnb}}</t>
        </is>
      </c>
      <c r="N82" s="527" t="n"/>
      <c r="O82" s="527" t="n"/>
      <c r="P82" s="528" t="n"/>
    </row>
    <row r="83" ht="12" customHeight="1">
      <c r="A83" s="557" t="n"/>
      <c r="C83" s="554" t="n"/>
      <c r="D83" s="543" t="n"/>
      <c r="E83" s="548" t="n"/>
      <c r="F83" s="548" t="n"/>
      <c r="G83" s="549" t="n"/>
      <c r="H83" s="557" t="n"/>
      <c r="L83" s="554" t="n"/>
      <c r="M83" s="557" t="n"/>
      <c r="P83" s="554" t="n"/>
    </row>
    <row r="84" ht="12" customHeight="1">
      <c r="A84" s="557" t="n"/>
      <c r="C84" s="554" t="n"/>
      <c r="D84" s="543" t="n"/>
      <c r="E84" s="548" t="n"/>
      <c r="F84" s="548" t="n"/>
      <c r="G84" s="549" t="n"/>
      <c r="H84" s="557" t="n"/>
      <c r="L84" s="554" t="n"/>
      <c r="M84" s="557" t="n"/>
      <c r="P84" s="554" t="n"/>
    </row>
    <row r="85" ht="12" customHeight="1">
      <c r="A85" s="557" t="n"/>
      <c r="C85" s="554" t="n"/>
      <c r="D85" s="543" t="n"/>
      <c r="E85" s="548" t="n"/>
      <c r="F85" s="548" t="n"/>
      <c r="G85" s="549" t="n"/>
      <c r="H85" s="557" t="n"/>
      <c r="L85" s="554" t="n"/>
      <c r="M85" s="557" t="n"/>
      <c r="P85" s="554" t="n"/>
    </row>
    <row r="86" ht="12" customHeight="1">
      <c r="A86" s="531" t="n"/>
      <c r="B86" s="532" t="n"/>
      <c r="C86" s="533" t="n"/>
      <c r="D86" s="545" t="n"/>
      <c r="E86" s="550" t="n"/>
      <c r="F86" s="550" t="n"/>
      <c r="G86" s="551" t="n"/>
      <c r="H86" s="531" t="n"/>
      <c r="I86" s="532" t="n"/>
      <c r="J86" s="532" t="n"/>
      <c r="K86" s="532" t="n"/>
      <c r="L86" s="533" t="n"/>
      <c r="M86" s="531" t="n"/>
      <c r="N86" s="532" t="n"/>
      <c r="O86" s="532" t="n"/>
      <c r="P86" s="533" t="n"/>
    </row>
    <row r="87">
      <c r="A87" s="108" t="n"/>
      <c r="B87" s="70" t="n"/>
      <c r="C87" s="109" t="n"/>
      <c r="D87" s="70" t="n"/>
      <c r="E87" s="109" t="n"/>
      <c r="F87" s="109" t="n"/>
      <c r="G87" s="109" t="n"/>
      <c r="H87" s="70" t="n"/>
      <c r="I87" s="70" t="n"/>
      <c r="J87" s="70" t="n"/>
      <c r="K87" s="70" t="n"/>
      <c r="L87" s="70" t="n"/>
      <c r="M87" s="70" t="n"/>
      <c r="N87" s="70" t="n"/>
      <c r="O87" s="308" t="inlineStr">
        <is>
          <t>Ver. : 1-2019</t>
        </is>
      </c>
      <c r="P87" s="527" t="n"/>
    </row>
    <row r="88">
      <c r="C88" s="41" t="n"/>
      <c r="D88" s="41" t="n"/>
    </row>
    <row r="89">
      <c r="H89" s="41" t="n"/>
      <c r="I89" s="41" t="n"/>
    </row>
  </sheetData>
  <mergeCells count="25">
    <mergeCell ref="O87:P87"/>
    <mergeCell ref="H44:H45"/>
    <mergeCell ref="H53:H54"/>
    <mergeCell ref="J44:J45"/>
    <mergeCell ref="J53:J54"/>
    <mergeCell ref="B44:F45"/>
    <mergeCell ref="B66:G67"/>
    <mergeCell ref="B77:C77"/>
    <mergeCell ref="H82:L86"/>
    <mergeCell ref="I53:I54"/>
    <mergeCell ref="D4:I4"/>
    <mergeCell ref="M3:O3"/>
    <mergeCell ref="D82:G86"/>
    <mergeCell ref="D3:I3"/>
    <mergeCell ref="L7:O7"/>
    <mergeCell ref="D1:P1"/>
    <mergeCell ref="B73:F73"/>
    <mergeCell ref="A6:J6"/>
    <mergeCell ref="B75:G75"/>
    <mergeCell ref="B31:F32"/>
    <mergeCell ref="I44:I45"/>
    <mergeCell ref="A1:C1"/>
    <mergeCell ref="M82:P86"/>
    <mergeCell ref="B53:G54"/>
    <mergeCell ref="A82:C86"/>
  </mergeCells>
  <pageMargins left="0.7" right="0.7" top="0.75" bottom="0.75" header="0.3" footer="0.3"/>
  <pageSetup orientation="portrait" scale="62" fitToHeight="0"/>
  <rowBreaks count="1" manualBreakCount="1">
    <brk id="87" min="0" max="15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B1" t="inlineStr">
        <is>
          <t>START</t>
        </is>
      </c>
      <c r="C1" t="inlineStr">
        <is>
          <t>END</t>
        </is>
      </c>
    </row>
    <row r="2">
      <c r="A2" t="inlineStr">
        <is>
          <t>IR</t>
        </is>
      </c>
    </row>
    <row r="3">
      <c r="A3" t="inlineStr">
        <is>
          <t>DG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2026-10-23T06:55:24Z</dcterms:modified>
</cp:coreProperties>
</file>