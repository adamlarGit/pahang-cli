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B0043A78-4343-4D3C-BE06-D5EF5BA5575A}" xr6:coauthVersionLast="47" xr6:coauthVersionMax="47" xr10:uidLastSave="{00000000-0000-0000-0000-000000000000}"/>
  <bookViews>
    <workbookView xWindow="390" yWindow="390" windowWidth="21600" windowHeight="11295" tabRatio="737" activeTab="5" xr2:uid="{00000000-000D-0000-FFFF-FFFF00000000}"/>
  </bookViews>
  <sheets>
    <sheet name="PCE Testsheet" sheetId="21" r:id="rId1"/>
    <sheet name="PCE VI" sheetId="20" r:id="rId2"/>
    <sheet name="ASSET_11" sheetId="31" state="hidden" r:id="rId3"/>
    <sheet name="Model" sheetId="29" state="hidden" r:id="rId4"/>
    <sheet name="Brand" sheetId="30" state="hidden" r:id="rId5"/>
    <sheet name="RAW DATA" sheetId="28" r:id="rId6"/>
    <sheet name="vi_library" sheetId="24" state="hidden" r:id="rId7"/>
    <sheet name="substation_library" sheetId="25" state="hidden" r:id="rId8"/>
    <sheet name="equipment_library" sheetId="26" state="hidden" r:id="rId9"/>
  </sheets>
  <definedNames>
    <definedName name="ExternalData_1" localSheetId="2" hidden="1">ASSET_11!$A$1:$J$21</definedName>
    <definedName name="ExternalData_2" localSheetId="4" hidden="1">Brand!$A$1:$AH$53</definedName>
    <definedName name="_xlnm.Print_Area" localSheetId="0">'PCE Testsheet'!$A$1:$Y$71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21" l="1"/>
  <c r="R53" i="21"/>
  <c r="R49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I33" i="21"/>
  <c r="H33" i="21"/>
  <c r="I34" i="21"/>
  <c r="I35" i="21"/>
  <c r="I36" i="21"/>
  <c r="I37" i="21"/>
  <c r="I38" i="21"/>
  <c r="I39" i="21"/>
  <c r="I40" i="21"/>
  <c r="I41" i="21"/>
  <c r="I42" i="21"/>
  <c r="H34" i="21"/>
  <c r="H35" i="21"/>
  <c r="H36" i="21"/>
  <c r="H37" i="21"/>
  <c r="H38" i="21"/>
  <c r="H39" i="21"/>
  <c r="H40" i="21"/>
  <c r="H41" i="21"/>
  <c r="H42" i="21"/>
  <c r="B38" i="21"/>
  <c r="T34" i="21"/>
  <c r="T35" i="21"/>
  <c r="T36" i="21"/>
  <c r="T37" i="21"/>
  <c r="T38" i="21"/>
  <c r="T39" i="21"/>
  <c r="T40" i="21"/>
  <c r="T41" i="21"/>
  <c r="T42" i="21"/>
  <c r="T33" i="21"/>
  <c r="S34" i="21"/>
  <c r="S35" i="21"/>
  <c r="S36" i="21"/>
  <c r="S37" i="21"/>
  <c r="S38" i="21"/>
  <c r="S39" i="21"/>
  <c r="S40" i="21"/>
  <c r="S41" i="21"/>
  <c r="S42" i="21"/>
  <c r="S33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10" i="21"/>
  <c r="C6" i="20"/>
  <c r="K6" i="20"/>
  <c r="N33" i="21"/>
  <c r="B33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10" i="21"/>
  <c r="C5" i="20"/>
  <c r="I23" i="20"/>
  <c r="I45" i="20"/>
  <c r="I44" i="20"/>
  <c r="I43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O1" i="20"/>
  <c r="C6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tc={82553E5C-51BD-4126-8C45-02F3CBDD3B0E}</author>
    <author>Author</author>
  </authors>
  <commentList>
    <comment ref="P5" authorId="0" shapeId="0" xr:uid="{82553E5C-51BD-4126-8C45-02F3CBDD3B0E}">
      <text>
        <t>[Threaded comment]
Your version of Excel allows you to read this threaded comment; however, any edits to it will get removed if the file is opened in a newer version of Excel. Learn more: https://go.microsoft.com/fwlink/?linkid=870924
Comment:
    24hrs format e.g. 2100</t>
      </text>
    </comment>
    <comment ref="B49" authorId="1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Tambahan</t>
        </r>
      </text>
    </comment>
    <comment ref="B50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1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2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3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4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5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58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62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Tambahan</t>
        </r>
      </text>
    </comment>
    <comment ref="B63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Tambahan</t>
        </r>
      </text>
    </comment>
    <comment ref="B65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Tambahan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0EB89E-912E-4618-A50A-F82FDE9FC032}" keepAlive="1" interval="60" name="Query - ASSET_11" description="Connection to the 'ASSET_11' query in the workbook." type="5" refreshedVersion="8" background="1" refreshOnLoad="1" saveData="1">
    <dbPr connection="Provider=Microsoft.Mashup.OleDb.1;Data Source=$Workbook$;Location=ASSET_11;Extended Properties=&quot;&quot;" command="SELECT * FROM [ASSET_11]"/>
  </connection>
  <connection id="2" xr16:uid="{4FC2CDA7-46B1-46E9-9F8A-6477A7DD8F8A}" keepAlive="1" name="Query - Brand" description="Connection to the 'Brand' query in the workbook." type="5" refreshedVersion="8" background="1" saveData="1">
    <dbPr connection="Provider=Microsoft.Mashup.OleDb.1;Data Source=$Workbook$;Location=Brand;Extended Properties=&quot;&quot;" command="SELECT * FROM [Brand]"/>
  </connection>
</connections>
</file>

<file path=xl/sharedStrings.xml><?xml version="1.0" encoding="utf-8"?>
<sst xmlns="http://schemas.openxmlformats.org/spreadsheetml/2006/main" count="1467" uniqueCount="576">
  <si>
    <t>ULTRASOUND</t>
  </si>
  <si>
    <t>Remarks</t>
  </si>
  <si>
    <t>DETAILS</t>
  </si>
  <si>
    <t>LVDB / FP</t>
  </si>
  <si>
    <t>Date :</t>
  </si>
  <si>
    <t>TX4</t>
  </si>
  <si>
    <t>SWITCHGEAR</t>
  </si>
  <si>
    <t>TEV</t>
  </si>
  <si>
    <t>Avg (°C)</t>
  </si>
  <si>
    <t>PT</t>
  </si>
  <si>
    <t>LOCAL TRANSFORMER</t>
  </si>
  <si>
    <t>THERMOGRAHY</t>
  </si>
  <si>
    <t>TX ID</t>
  </si>
  <si>
    <t>LV DISTRIBUTION BOARD/FEEDER PILLAR/OTHERS</t>
  </si>
  <si>
    <t>Manufacturer :</t>
  </si>
  <si>
    <t>Serial No. :</t>
  </si>
  <si>
    <t>Rating :</t>
  </si>
  <si>
    <t>INC 1</t>
  </si>
  <si>
    <t>INC 2</t>
  </si>
  <si>
    <t>F1</t>
  </si>
  <si>
    <t>F2</t>
  </si>
  <si>
    <t>F3</t>
  </si>
  <si>
    <t>F4</t>
  </si>
  <si>
    <t>F5</t>
  </si>
  <si>
    <t>F6</t>
  </si>
  <si>
    <t>F7</t>
  </si>
  <si>
    <t>F8</t>
  </si>
  <si>
    <t>Battery Bank</t>
  </si>
  <si>
    <t>Manufacturer:</t>
  </si>
  <si>
    <t>Lightning Arrester</t>
  </si>
  <si>
    <t>Dropout Fuse</t>
  </si>
  <si>
    <t>Black Box 2</t>
  </si>
  <si>
    <t>YES</t>
  </si>
  <si>
    <t>NO</t>
  </si>
  <si>
    <t>N/A</t>
  </si>
  <si>
    <t>VISUAL INSPECTION CHECKLIST FOR 11kV SUBSTATION</t>
  </si>
  <si>
    <t>DATE:</t>
  </si>
  <si>
    <t>Good</t>
  </si>
  <si>
    <t>Not Good</t>
  </si>
  <si>
    <t>Valid</t>
  </si>
  <si>
    <t>Expired</t>
  </si>
  <si>
    <t>1. Signboard:</t>
  </si>
  <si>
    <t>2. Earth connection:</t>
  </si>
  <si>
    <t>3. EFI Functioning:</t>
  </si>
  <si>
    <t>4. Heater Functioning:</t>
  </si>
  <si>
    <t>5. Labelling @Switchgear:</t>
  </si>
  <si>
    <t>6. Labelling @ LVDB:</t>
  </si>
  <si>
    <t>7. Gas Pressure:</t>
  </si>
  <si>
    <t>8. Tx Guard:</t>
  </si>
  <si>
    <t>9. Tx Oil Level (conservator tank):</t>
  </si>
  <si>
    <t>10. Tx Oil Leak:</t>
  </si>
  <si>
    <t>11. Tx Bushing:</t>
  </si>
  <si>
    <t>BREAKER</t>
  </si>
  <si>
    <t>HV CABLE</t>
  </si>
  <si>
    <t>LV CABLE</t>
  </si>
  <si>
    <t>REMARKS</t>
  </si>
  <si>
    <t>OVERVIEW</t>
  </si>
  <si>
    <t>NO.</t>
  </si>
  <si>
    <t>LOAD (A)</t>
  </si>
  <si>
    <t>GPS Coordinate:</t>
  </si>
  <si>
    <t xml:space="preserve">PCE Type: </t>
  </si>
  <si>
    <t>INDOOR</t>
  </si>
  <si>
    <t>OUTDOOR</t>
  </si>
  <si>
    <t>COMPACT</t>
  </si>
  <si>
    <t>ATTACH BUILDING</t>
  </si>
  <si>
    <t>PAT</t>
  </si>
  <si>
    <t>PCE Area</t>
  </si>
  <si>
    <t>NORMAL</t>
  </si>
  <si>
    <t>INDUSTRIAL</t>
  </si>
  <si>
    <t>COASTAL</t>
  </si>
  <si>
    <t>Switcgear Type 1:</t>
  </si>
  <si>
    <t>RMU OIL</t>
  </si>
  <si>
    <t>RMU SF6</t>
  </si>
  <si>
    <t>MRMU</t>
  </si>
  <si>
    <t>VCB</t>
  </si>
  <si>
    <t>OCB</t>
  </si>
  <si>
    <t>Manufacturer/Model:</t>
  </si>
  <si>
    <t>Switchgear Manufactured Date:</t>
  </si>
  <si>
    <t>Switchgear Rating :</t>
  </si>
  <si>
    <t>RMU SF6 / OIL S/N :</t>
  </si>
  <si>
    <t>Switcgear Type 2:</t>
  </si>
  <si>
    <t>Manufacturer/Modal:</t>
  </si>
  <si>
    <t>No. of Transformer:</t>
  </si>
  <si>
    <t>Tx 1:</t>
  </si>
  <si>
    <t xml:space="preserve">Type </t>
  </si>
  <si>
    <t>KVA</t>
  </si>
  <si>
    <t>Construction Yr:</t>
  </si>
  <si>
    <t>S/N :</t>
  </si>
  <si>
    <t>Tx 2:</t>
  </si>
  <si>
    <t>Tx 3:</t>
  </si>
  <si>
    <t>Tx 4:</t>
  </si>
  <si>
    <t>KEJANGGALAN</t>
  </si>
  <si>
    <t>12. Top Demand Indicator (@LVDB):</t>
  </si>
  <si>
    <t>13. Link/fuse Holder:</t>
  </si>
  <si>
    <t>14. LV Termination:</t>
  </si>
  <si>
    <t>15. Rubber Mat:</t>
  </si>
  <si>
    <t>16. Trenching:</t>
  </si>
  <si>
    <t>17. Battery Voltage:</t>
  </si>
  <si>
    <t>18. Lighting:</t>
  </si>
  <si>
    <t>19. Roof Condition:</t>
  </si>
  <si>
    <t>20. Fire Fighting</t>
  </si>
  <si>
    <t>21. Fence/door condition:</t>
  </si>
  <si>
    <t>22. Cleanliness/Bushes:</t>
  </si>
  <si>
    <t>23. Vandalisme</t>
  </si>
  <si>
    <t>DISTRIBUTION SUBSTATION (PCE) CBA TEST SHEET</t>
  </si>
  <si>
    <t>STATE / AREA:</t>
  </si>
  <si>
    <t xml:space="preserve">DATE </t>
  </si>
  <si>
    <t>FUNCTIONAL LOCATION:</t>
  </si>
  <si>
    <t>PE NAME:</t>
  </si>
  <si>
    <t>TIME IN / OUT</t>
  </si>
  <si>
    <t>/</t>
  </si>
  <si>
    <t>V.I REF. NO</t>
  </si>
  <si>
    <t>TEV BACK GROUND / HUMIDITY</t>
  </si>
  <si>
    <t>DETAIL</t>
  </si>
  <si>
    <t>TEMPERATURE</t>
  </si>
  <si>
    <t>REMARK</t>
  </si>
  <si>
    <t>FDR. NO</t>
  </si>
  <si>
    <t xml:space="preserve">                   FEEDER NAME                                            </t>
  </si>
  <si>
    <t>STATUS (TRIP / CLOSE)</t>
  </si>
  <si>
    <t>CABLE TYPE/SIZE</t>
  </si>
  <si>
    <t>HEATER (A)</t>
  </si>
  <si>
    <t>SERIAL NO (ONLY BREAKER &amp; OLU)</t>
  </si>
  <si>
    <t>COMP</t>
  </si>
  <si>
    <t>Tmin(°C)</t>
  </si>
  <si>
    <t>Tmax(°C)</t>
  </si>
  <si>
    <t>ΔT</t>
  </si>
  <si>
    <t>FILE</t>
  </si>
  <si>
    <t>dB</t>
  </si>
  <si>
    <t>TYPE CHAR.</t>
  </si>
  <si>
    <t>PULSE/ CYCLE</t>
  </si>
  <si>
    <t>CABLE</t>
  </si>
  <si>
    <t>SERIAL NO</t>
  </si>
  <si>
    <t>COMP.</t>
  </si>
  <si>
    <t>TX1</t>
  </si>
  <si>
    <t>HT CABLE</t>
  </si>
  <si>
    <t>TX3</t>
  </si>
  <si>
    <t>HT BUSHING</t>
  </si>
  <si>
    <t>LV BUSHING</t>
  </si>
  <si>
    <t>BODY</t>
  </si>
  <si>
    <t>TX2</t>
  </si>
  <si>
    <t>LVDB / FP 1</t>
  </si>
  <si>
    <t>CABLE TYPE / SIZE</t>
  </si>
  <si>
    <t>LVDB / FP 2</t>
  </si>
  <si>
    <t xml:space="preserve">      DEFECTIVE FEEDER NAME                                            </t>
  </si>
  <si>
    <t>Black Box 1</t>
  </si>
  <si>
    <t>24. Other Findings:</t>
  </si>
  <si>
    <t>OTHER</t>
  </si>
  <si>
    <t>TOP PANEL</t>
  </si>
  <si>
    <t>Ver. : 1-2019</t>
  </si>
  <si>
    <t>Auto Recloser</t>
  </si>
  <si>
    <t>LBS</t>
  </si>
  <si>
    <t>TNB Supervisor/Engineer (Name &amp; Signature) :</t>
  </si>
  <si>
    <t>Tested by (Name &amp; Signature) :</t>
  </si>
  <si>
    <t>TNB Supervisor / Engineer (Name &amp; Signature) :</t>
  </si>
  <si>
    <t>Tmin
(°C)</t>
  </si>
  <si>
    <t>Tmax
(°C)</t>
  </si>
  <si>
    <t xml:space="preserve">INC. 1 </t>
  </si>
  <si>
    <t xml:space="preserve">INC. 2 </t>
  </si>
  <si>
    <t>INC. 3</t>
  </si>
  <si>
    <t>F9</t>
  </si>
  <si>
    <t>F10</t>
  </si>
  <si>
    <t>JOHOR / JOHOR BAHRU</t>
  </si>
  <si>
    <t>AREA</t>
  </si>
  <si>
    <t>STATE</t>
  </si>
  <si>
    <t>JOHOR</t>
  </si>
  <si>
    <t>ATTACHED BUILDING</t>
  </si>
  <si>
    <t>INDOOR/COMPACT</t>
  </si>
  <si>
    <t>OUTDOOR/COMPACT</t>
  </si>
  <si>
    <t>MRMU SF6</t>
  </si>
  <si>
    <t>GIS</t>
  </si>
  <si>
    <t>ACB</t>
  </si>
  <si>
    <t>6.6kV</t>
  </si>
  <si>
    <t>CLOSE</t>
  </si>
  <si>
    <t>TRIP</t>
  </si>
  <si>
    <t>RACK OUT</t>
  </si>
  <si>
    <t>MAIN</t>
  </si>
  <si>
    <t>RESERVE</t>
  </si>
  <si>
    <t>XLPE</t>
  </si>
  <si>
    <t>PILC</t>
  </si>
  <si>
    <t>TX_AREA</t>
  </si>
  <si>
    <t>H/S</t>
  </si>
  <si>
    <t>C/T</t>
  </si>
  <si>
    <t>100kVA</t>
  </si>
  <si>
    <t>300kVA</t>
  </si>
  <si>
    <t>500kVA</t>
  </si>
  <si>
    <t>750kVA</t>
  </si>
  <si>
    <t>1000kVA</t>
  </si>
  <si>
    <t>OVERVIEW TOP</t>
  </si>
  <si>
    <t>HV BUSHING</t>
  </si>
  <si>
    <t>HV CABLE SPLIT</t>
  </si>
  <si>
    <t>LV_MODEL</t>
  </si>
  <si>
    <t>DIN TYPE</t>
  </si>
  <si>
    <t>J-SLOTTED</t>
  </si>
  <si>
    <t>LV_RATING</t>
  </si>
  <si>
    <t>1600A</t>
  </si>
  <si>
    <t>1000A</t>
  </si>
  <si>
    <t>800A</t>
  </si>
  <si>
    <t>400A</t>
  </si>
  <si>
    <t>SEB100-30-10</t>
  </si>
  <si>
    <t>JOHOR BAHRU</t>
  </si>
  <si>
    <t>SWITCHGEAR_TYPE</t>
  </si>
  <si>
    <t>SUBSTATION_TYPE</t>
  </si>
  <si>
    <t>12kV</t>
  </si>
  <si>
    <t>24kV</t>
  </si>
  <si>
    <t>36kV</t>
  </si>
  <si>
    <t>CB_POSITION_RMU</t>
  </si>
  <si>
    <t>SERVICE/CLOSE</t>
  </si>
  <si>
    <t>SERVICE/TRIP</t>
  </si>
  <si>
    <t>TEST/TRIP</t>
  </si>
  <si>
    <t>CB_POSITION_VCB</t>
  </si>
  <si>
    <t>MAIN/RESERVE</t>
  </si>
  <si>
    <t>CABLE_TYPE</t>
  </si>
  <si>
    <t>NOT ACCESSIBLE</t>
  </si>
  <si>
    <t>BUSBAR_POSITION</t>
  </si>
  <si>
    <t>SWG_MANUFACTURER</t>
  </si>
  <si>
    <t>SWG_MODEL</t>
  </si>
  <si>
    <t>SWG_RATING</t>
  </si>
  <si>
    <t>TX_MANUFACTURER</t>
  </si>
  <si>
    <t>TX_MODEL</t>
  </si>
  <si>
    <t>TX_RATING</t>
  </si>
  <si>
    <t>LV_MANUFACTURER</t>
  </si>
  <si>
    <t>BATT_MANUFACTURER</t>
  </si>
  <si>
    <t>BATT_MODEL</t>
  </si>
  <si>
    <t>BERKAT INSAF</t>
  </si>
  <si>
    <t>SUNPOWER</t>
  </si>
  <si>
    <t>CBM CONDITION</t>
  </si>
  <si>
    <t>JJBU/PCE/J</t>
  </si>
  <si>
    <t>CHECKMARK</t>
  </si>
  <si>
    <t>✅</t>
  </si>
  <si>
    <t>Expiry Date:</t>
  </si>
  <si>
    <t xml:space="preserve">                                        </t>
  </si>
  <si>
    <t>No. of missing portable :</t>
  </si>
  <si>
    <t>-</t>
  </si>
  <si>
    <t>%</t>
  </si>
  <si>
    <t>LVDB</t>
  </si>
  <si>
    <r>
      <t xml:space="preserve">BACKGROUND TEMP : </t>
    </r>
    <r>
      <rPr>
        <sz val="10"/>
        <color theme="1"/>
        <rFont val="Tahoma"/>
        <family val="2"/>
      </rPr>
      <t>°C</t>
    </r>
  </si>
  <si>
    <t>P/E Name (ERMS):</t>
  </si>
  <si>
    <t>P/E Name (SITE):</t>
  </si>
  <si>
    <t>F/L NO (ERMS):</t>
  </si>
  <si>
    <t>F/L NO (SITE):</t>
  </si>
  <si>
    <t>IR</t>
  </si>
  <si>
    <t>DG</t>
  </si>
  <si>
    <t>START</t>
  </si>
  <si>
    <t>END</t>
  </si>
  <si>
    <t>TYPE</t>
  </si>
  <si>
    <t>{{signvendor}}</t>
  </si>
  <si>
    <t>{{signtnb}}</t>
  </si>
  <si>
    <t>ABB</t>
  </si>
  <si>
    <t xml:space="preserve">SIEMENS </t>
  </si>
  <si>
    <t>INDKOM</t>
  </si>
  <si>
    <t>TAMCO</t>
  </si>
  <si>
    <t>ACEC</t>
  </si>
  <si>
    <t>EWT</t>
  </si>
  <si>
    <t>GEC</t>
  </si>
  <si>
    <t>SUN POWER</t>
  </si>
  <si>
    <t>EPE</t>
  </si>
  <si>
    <t>AMPSTON</t>
  </si>
  <si>
    <t>AEG</t>
  </si>
  <si>
    <t>ABB ELEKTRIK SANAYI</t>
  </si>
  <si>
    <t>ASEA LEPPER</t>
  </si>
  <si>
    <t>FUJI</t>
  </si>
  <si>
    <t>AREVA</t>
  </si>
  <si>
    <t>LUCY</t>
  </si>
  <si>
    <t>CHANG CHING</t>
  </si>
  <si>
    <t>AEI</t>
  </si>
  <si>
    <t>HITACHI</t>
  </si>
  <si>
    <t>ITEM</t>
  </si>
  <si>
    <t>SSE</t>
  </si>
  <si>
    <t>AM SGB</t>
  </si>
  <si>
    <t>ELIN</t>
  </si>
  <si>
    <t>ALAF CEKAL</t>
  </si>
  <si>
    <t>HI-VAC</t>
  </si>
  <si>
    <t>SIEMENS</t>
  </si>
  <si>
    <t>SCHNEIDER</t>
  </si>
  <si>
    <t>BHARAT</t>
  </si>
  <si>
    <t>EMO-OHRID</t>
  </si>
  <si>
    <t>ALGEBRA</t>
  </si>
  <si>
    <t>MITSUBISHI</t>
  </si>
  <si>
    <t>S&amp;S AMPSTON</t>
  </si>
  <si>
    <t>RANHILL</t>
  </si>
  <si>
    <t>FALCON BETA</t>
  </si>
  <si>
    <t>CRAIOVA</t>
  </si>
  <si>
    <t>ALTENA</t>
  </si>
  <si>
    <t>TOSHIBA</t>
  </si>
  <si>
    <t>MEIDEN</t>
  </si>
  <si>
    <t>S&amp;S POWER</t>
  </si>
  <si>
    <t>TOPRANK</t>
  </si>
  <si>
    <t xml:space="preserve">TOPRANK </t>
  </si>
  <si>
    <t>CRAIOVA ROMANIA</t>
  </si>
  <si>
    <t>IEO TRANSFORMATOREN BREDA</t>
  </si>
  <si>
    <t>S&amp;S TOPRANK</t>
  </si>
  <si>
    <t>ELECTRA</t>
  </si>
  <si>
    <t>KIRLOSKAR</t>
  </si>
  <si>
    <t>ANZECO POWER</t>
  </si>
  <si>
    <t>TSG</t>
  </si>
  <si>
    <t>ORMAZABAL</t>
  </si>
  <si>
    <t>ELECTRO PUTERE</t>
  </si>
  <si>
    <t>LKH</t>
  </si>
  <si>
    <t>BONAR LONG</t>
  </si>
  <si>
    <t>F&amp;G</t>
  </si>
  <si>
    <t>FUJI ELECTRIC</t>
  </si>
  <si>
    <t>MINEL-TRAFO</t>
  </si>
  <si>
    <t>E.A.M</t>
  </si>
  <si>
    <t>MERLIN GERIN</t>
  </si>
  <si>
    <t>HEFEI</t>
  </si>
  <si>
    <t>HERMANN MATERN</t>
  </si>
  <si>
    <t>MTM</t>
  </si>
  <si>
    <t>INFRAKOMAS</t>
  </si>
  <si>
    <t>HYUNDAI</t>
  </si>
  <si>
    <t>NACC</t>
  </si>
  <si>
    <t>LEEEC</t>
  </si>
  <si>
    <t>NEW KOREA</t>
  </si>
  <si>
    <t>LIAOYANG</t>
  </si>
  <si>
    <t>PAUWEL TRAFO</t>
  </si>
  <si>
    <t>JEAN MULLER</t>
  </si>
  <si>
    <t>SGB</t>
  </si>
  <si>
    <t>POLYPHASE</t>
  </si>
  <si>
    <t>VEI</t>
  </si>
  <si>
    <t>NANCHANG</t>
  </si>
  <si>
    <t>T.M.C.-S.A.</t>
  </si>
  <si>
    <t>PRONUTEC</t>
  </si>
  <si>
    <t>RADE KONCAR</t>
  </si>
  <si>
    <t>PSB</t>
  </si>
  <si>
    <t>SAVIGLIANO</t>
  </si>
  <si>
    <t>WODEN</t>
  </si>
  <si>
    <t>SHENYANG</t>
  </si>
  <si>
    <t>SHIHLIN</t>
  </si>
  <si>
    <t>TAKAOKA</t>
  </si>
  <si>
    <t>TAMCO CUTLER HAMMER</t>
  </si>
  <si>
    <t>TUR INDIA</t>
  </si>
  <si>
    <t>TAN &amp; LOW</t>
  </si>
  <si>
    <t>WILSON</t>
  </si>
  <si>
    <t>TEKNIK</t>
  </si>
  <si>
    <t>XI'AN</t>
  </si>
  <si>
    <t>TENAGA</t>
  </si>
  <si>
    <t>WELL PRESTIGE</t>
  </si>
  <si>
    <t>WOODEN</t>
  </si>
  <si>
    <t>VCB 33kV</t>
  </si>
  <si>
    <t>VCB 22kV</t>
  </si>
  <si>
    <t>VCB 11kV</t>
  </si>
  <si>
    <t>VCB 6.6kV</t>
  </si>
  <si>
    <t>GIS 33kV</t>
  </si>
  <si>
    <t>GIS 22kV</t>
  </si>
  <si>
    <t>GIS 11kV</t>
  </si>
  <si>
    <t>CABLE SWG</t>
  </si>
  <si>
    <t>PTX</t>
  </si>
  <si>
    <t>CABLE PTX</t>
  </si>
  <si>
    <t>LTX/DTX</t>
  </si>
  <si>
    <t>CABLE LTX/DTX</t>
  </si>
  <si>
    <t>FP (J)</t>
  </si>
  <si>
    <t>FP (D)</t>
  </si>
  <si>
    <t>CABLE LVDB/FP</t>
  </si>
  <si>
    <t>LINK BOX</t>
  </si>
  <si>
    <t>BREAKER (SW YARD)</t>
  </si>
  <si>
    <t>ISOLATOR (SW YARD)</t>
  </si>
  <si>
    <t>CT (SW YARD)</t>
  </si>
  <si>
    <t>BLACK BOX</t>
  </si>
  <si>
    <t>BATTERY CHARGER</t>
  </si>
  <si>
    <t>EARTHING</t>
  </si>
  <si>
    <t>ISOLATOR LINK</t>
  </si>
  <si>
    <t>PIN ISOLATOR</t>
  </si>
  <si>
    <t>DROPOUT FUSE</t>
  </si>
  <si>
    <t>LIGHTNING ARRESTOR</t>
  </si>
  <si>
    <t>AUTO RECLOSER</t>
  </si>
  <si>
    <t>PT AR</t>
  </si>
  <si>
    <t>Column1</t>
  </si>
  <si>
    <t>Model</t>
  </si>
  <si>
    <t>ALSTOM</t>
  </si>
  <si>
    <t>IIESB</t>
  </si>
  <si>
    <t>ANZECO</t>
  </si>
  <si>
    <t>TOSHIBA TOPRANK</t>
  </si>
  <si>
    <t>BHARAT HEAVY</t>
  </si>
  <si>
    <t>AR</t>
  </si>
  <si>
    <t>ASEA</t>
  </si>
  <si>
    <t>NINGBO TIANAN</t>
  </si>
  <si>
    <t>SUNPOWER TECHNOLOGIES</t>
  </si>
  <si>
    <t>MITSUBISHI_1</t>
  </si>
  <si>
    <t>ONAN</t>
  </si>
  <si>
    <t>SCHNEIDER_2</t>
  </si>
  <si>
    <t>TOSHIBA_3</t>
  </si>
  <si>
    <t>MODEL</t>
  </si>
  <si>
    <t>3AH5 103-1</t>
  </si>
  <si>
    <t>~VCB~</t>
  </si>
  <si>
    <t>CB 112 JMW12 KV</t>
  </si>
  <si>
    <t>3S+1F</t>
  </si>
  <si>
    <t>CEI 17-1</t>
  </si>
  <si>
    <t>GT16-12</t>
  </si>
  <si>
    <t>12A20</t>
  </si>
  <si>
    <t>ZZT</t>
  </si>
  <si>
    <t>WSB 6/36-2/627</t>
  </si>
  <si>
    <t>WSB</t>
  </si>
  <si>
    <t>8DA10</t>
  </si>
  <si>
    <t>RN2C</t>
  </si>
  <si>
    <t>2L1T</t>
  </si>
  <si>
    <t>AEGIS</t>
  </si>
  <si>
    <t>BJ12</t>
  </si>
  <si>
    <t>V-10F-20</t>
  </si>
  <si>
    <t>GA2K1TS</t>
  </si>
  <si>
    <t>RN2c</t>
  </si>
  <si>
    <t>VRN2A</t>
  </si>
  <si>
    <t>HVV-12</t>
  </si>
  <si>
    <t>ID3L</t>
  </si>
  <si>
    <t>CSGO</t>
  </si>
  <si>
    <t>CVG-20F-25</t>
  </si>
  <si>
    <t>BF-12</t>
  </si>
  <si>
    <t>HERMETICALLY SEAL</t>
  </si>
  <si>
    <t>DRY</t>
  </si>
  <si>
    <t>3AH5 104-2</t>
  </si>
  <si>
    <t>GV3</t>
  </si>
  <si>
    <t>INS 24 RCB</t>
  </si>
  <si>
    <t>2S+1F</t>
  </si>
  <si>
    <t>GV3M/18</t>
  </si>
  <si>
    <t>GT18-40.5</t>
  </si>
  <si>
    <t>12A25</t>
  </si>
  <si>
    <t>INS24</t>
  </si>
  <si>
    <t>SBV4</t>
  </si>
  <si>
    <t>8DB10</t>
  </si>
  <si>
    <t>RN2</t>
  </si>
  <si>
    <t>HV-12</t>
  </si>
  <si>
    <t>VRN6A</t>
  </si>
  <si>
    <t>CPG</t>
  </si>
  <si>
    <t>~LTX/DTX~</t>
  </si>
  <si>
    <t>CA6303K1TS</t>
  </si>
  <si>
    <t>NE-IQI</t>
  </si>
  <si>
    <t>HHV-12</t>
  </si>
  <si>
    <t>CVG-20F-25A</t>
  </si>
  <si>
    <t>CONSERVATOR TANK</t>
  </si>
  <si>
    <t>3AH5546</t>
  </si>
  <si>
    <t>GV30M25</t>
  </si>
  <si>
    <t>CB JMW 112</t>
  </si>
  <si>
    <t>HA2/ZC</t>
  </si>
  <si>
    <t>36A25</t>
  </si>
  <si>
    <t>ZZTT</t>
  </si>
  <si>
    <t>8DJ20.10</t>
  </si>
  <si>
    <t>HV-36</t>
  </si>
  <si>
    <t>GA6302K1TS</t>
  </si>
  <si>
    <t>2K2TS</t>
  </si>
  <si>
    <t>RM6</t>
  </si>
  <si>
    <t>CVG-10F-20</t>
  </si>
  <si>
    <t>3HA5 104-2</t>
  </si>
  <si>
    <t>GV30M25B</t>
  </si>
  <si>
    <t>HD4</t>
  </si>
  <si>
    <t>VT15-12</t>
  </si>
  <si>
    <t>36A25-1</t>
  </si>
  <si>
    <t>8DJH</t>
  </si>
  <si>
    <t>ID2L+2T</t>
  </si>
  <si>
    <t>CPG.0</t>
  </si>
  <si>
    <t>8BK-88</t>
  </si>
  <si>
    <t>GV30M25D</t>
  </si>
  <si>
    <t>IVBG</t>
  </si>
  <si>
    <t>VT18-40.5</t>
  </si>
  <si>
    <t>3S</t>
  </si>
  <si>
    <t>8DJH RRT</t>
  </si>
  <si>
    <t>ID3L+1T</t>
  </si>
  <si>
    <t>8BK88 K18</t>
  </si>
  <si>
    <t>GV30NM25</t>
  </si>
  <si>
    <t>SACE</t>
  </si>
  <si>
    <t>VY</t>
  </si>
  <si>
    <t>BGA-32</t>
  </si>
  <si>
    <t>8DJH20</t>
  </si>
  <si>
    <t>VH3D</t>
  </si>
  <si>
    <t>8BK-88E</t>
  </si>
  <si>
    <t>GV30P25</t>
  </si>
  <si>
    <t>SACE HA3 / BEU-37-12-26</t>
  </si>
  <si>
    <t>X6N49S-40.5(Z)</t>
  </si>
  <si>
    <t>BGA-36</t>
  </si>
  <si>
    <t>8DJH20.71</t>
  </si>
  <si>
    <t>8BK-88K12</t>
  </si>
  <si>
    <t>GV30P25D</t>
  </si>
  <si>
    <t>SACE HAZ</t>
  </si>
  <si>
    <t>X6N94S-40.5(Z)</t>
  </si>
  <si>
    <t>CCC</t>
  </si>
  <si>
    <t>3AH4945</t>
  </si>
  <si>
    <t>GV3D</t>
  </si>
  <si>
    <t>SACE HAZ/ZC</t>
  </si>
  <si>
    <t>XBN498-40.5(Z)</t>
  </si>
  <si>
    <t>CCTI</t>
  </si>
  <si>
    <t>8DB</t>
  </si>
  <si>
    <t>VH3</t>
  </si>
  <si>
    <t>VD4</t>
  </si>
  <si>
    <t>XCN498</t>
  </si>
  <si>
    <t>DGA-32</t>
  </si>
  <si>
    <t>VD4E</t>
  </si>
  <si>
    <t>XCN75</t>
  </si>
  <si>
    <t>HICLAD 100</t>
  </si>
  <si>
    <t>VHID</t>
  </si>
  <si>
    <t>VD4E 1206 P20</t>
  </si>
  <si>
    <t>XGN</t>
  </si>
  <si>
    <t>HICLAD 10D</t>
  </si>
  <si>
    <t>NXPLUS C</t>
  </si>
  <si>
    <t>VHIH</t>
  </si>
  <si>
    <t>VD4X</t>
  </si>
  <si>
    <t>XGN498-40.5(Z)</t>
  </si>
  <si>
    <t>V-32 DBB</t>
  </si>
  <si>
    <t>VK10J20D</t>
  </si>
  <si>
    <t>VD4X 3612-25</t>
  </si>
  <si>
    <t>XGN49S</t>
  </si>
  <si>
    <t>VB7-25/8D</t>
  </si>
  <si>
    <t>VK10J20H</t>
  </si>
  <si>
    <t>VD4X 4012-25</t>
  </si>
  <si>
    <t>XGN49S-40.5</t>
  </si>
  <si>
    <t>VFT-12</t>
  </si>
  <si>
    <t>VK10J25D</t>
  </si>
  <si>
    <t>VDX 3612-25</t>
  </si>
  <si>
    <t>XGN49S-40.5(Z)</t>
  </si>
  <si>
    <t>VFT-12-106</t>
  </si>
  <si>
    <t>VK10J25H</t>
  </si>
  <si>
    <t>VMAX</t>
  </si>
  <si>
    <t>XGN75-12(Z)</t>
  </si>
  <si>
    <t>VFT-12D</t>
  </si>
  <si>
    <t>VK10P25</t>
  </si>
  <si>
    <t>ZV2</t>
  </si>
  <si>
    <t>VGA-32</t>
  </si>
  <si>
    <t>VK10P25D</t>
  </si>
  <si>
    <t>ZV2.3</t>
  </si>
  <si>
    <t>VH32</t>
  </si>
  <si>
    <t>VK10P25DT</t>
  </si>
  <si>
    <t>VJ-22</t>
  </si>
  <si>
    <t>VK10P25H</t>
  </si>
  <si>
    <t>VJ-32</t>
  </si>
  <si>
    <t>VK12</t>
  </si>
  <si>
    <t>VJ-32 DBB</t>
  </si>
  <si>
    <t>VK12D</t>
  </si>
  <si>
    <t>VPT-12</t>
  </si>
  <si>
    <t>VV30M25D</t>
  </si>
  <si>
    <t>VRN29</t>
  </si>
  <si>
    <t>VW-20M25</t>
  </si>
  <si>
    <t>VY-30M</t>
  </si>
  <si>
    <t>VY30M25D</t>
  </si>
  <si>
    <t>VY30M25DT</t>
  </si>
  <si>
    <t>VY30M26ST</t>
  </si>
  <si>
    <t>VY30P25D</t>
  </si>
  <si>
    <t>VY-30P25D</t>
  </si>
  <si>
    <t>~RMU~</t>
  </si>
  <si>
    <t>FALCONBETA</t>
  </si>
  <si>
    <t>GR1</t>
  </si>
  <si>
    <t>OFFSET(Model!$C$1,1,MATCH($M3,Model!$C$1:$BZ$1,0)-1,COUNTA(OFFSET(Model!$C$1,1,MATCH($M3,Model!$C$1:$BZ$1,0)-1,57)),1)</t>
  </si>
  <si>
    <t>EQUIPMENT</t>
  </si>
  <si>
    <t>BRAND</t>
  </si>
  <si>
    <t>OFFSET(Brand!$C$1,1,MATCH($L3,Brand!$C$1:$AH$1,0)-1,COUNTA(OFFSET(Brand!$C$1,1,MATCH($L3,Brand!$C$1:$AH$1,0)-1,50)),1)</t>
  </si>
  <si>
    <t>ASSET 11KV</t>
  </si>
  <si>
    <t>SCOPE IR</t>
  </si>
  <si>
    <t>SCOPE IR DETAILS</t>
  </si>
  <si>
    <t>SCOPE IR RATE</t>
  </si>
  <si>
    <t>SCOPE IR+US</t>
  </si>
  <si>
    <t>SCOPE IR+US DETAILS</t>
  </si>
  <si>
    <t>SCOPE IR+US RATE</t>
  </si>
  <si>
    <t>FULL SCOPE</t>
  </si>
  <si>
    <t>FULL SCOPE DETAILS</t>
  </si>
  <si>
    <t>FULL SCOPE RATE</t>
  </si>
  <si>
    <t>PCE</t>
  </si>
  <si>
    <t>SCAN,THERMO VT,PE</t>
  </si>
  <si>
    <t>SCAN,THERMO &amp; ULTRASOUND VT,PE</t>
  </si>
  <si>
    <t>SCAN,THERMO &amp; USD &amp; TEV VT,PE</t>
  </si>
  <si>
    <t>PCE (NO RMU)</t>
  </si>
  <si>
    <t>PCE 33</t>
  </si>
  <si>
    <t>PCE 33 (NO RMU)</t>
  </si>
  <si>
    <t>PAT+RMU</t>
  </si>
  <si>
    <t>PAT 33</t>
  </si>
  <si>
    <t>PAT 33+RMU</t>
  </si>
  <si>
    <t>SS</t>
  </si>
  <si>
    <t>CS</t>
  </si>
  <si>
    <t>PE VCB =&lt; 8</t>
  </si>
  <si>
    <t>PE VCB &gt; 8</t>
  </si>
  <si>
    <t>SCAN,THERMO VT,PE 11KV,&gt; 8VCB</t>
  </si>
  <si>
    <t>SCAN,THERMO &amp; USD VT,PE 11KV,&gt; 8VCB</t>
  </si>
  <si>
    <t>SCAN,THERMO, USD &amp; TEV VT,PE 11KV,&gt; 8VCB</t>
  </si>
  <si>
    <t>SSU =&lt; 8</t>
  </si>
  <si>
    <t>SSU &gt; 8</t>
  </si>
  <si>
    <t>LINK</t>
  </si>
  <si>
    <t>DECOMM</t>
  </si>
  <si>
    <t>UPGRADE PROCESS</t>
  </si>
  <si>
    <t>CANT ACCESS</t>
  </si>
  <si>
    <t>DUPLICATE</t>
  </si>
  <si>
    <t>DISMANTLE</t>
  </si>
  <si>
    <t>BUSBAR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</si>
</sst>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m/yyyy"/>
  </numFmts>
  <fonts count="1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sz val="11"/>
      <color theme="1"/>
      <name val="Tahoma"/>
      <family val="2"/>
    </font>
    <font>
      <b/>
      <sz val="8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3" fillId="0" borderId="0" applyFill="0" applyProtection="0"/>
    <xf numFmtId="0" fontId="3" fillId="0" borderId="0" applyFill="0" applyProtection="0"/>
  </cellStyleXfs>
  <cellXfs count="185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9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49" fontId="11" fillId="0" borderId="0" xfId="0" applyNumberFormat="1" applyFont="1"/>
    <xf numFmtId="0" fontId="11" fillId="0" borderId="0" xfId="0" applyFont="1" applyAlignment="1">
      <alignment horizontal="right"/>
    </xf>
    <xf numFmtId="0" fontId="11" fillId="0" borderId="0" xfId="0" applyFont="1" applyProtection="1">
      <protection locked="0"/>
    </xf>
    <xf numFmtId="0" fontId="11" fillId="0" borderId="9" xfId="0" applyFont="1" applyBorder="1" applyProtection="1">
      <protection locked="0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0" xfId="0" applyFont="1" applyBorder="1"/>
    <xf numFmtId="0" fontId="11" fillId="2" borderId="0" xfId="0" applyFont="1" applyFill="1"/>
    <xf numFmtId="0" fontId="11" fillId="0" borderId="6" xfId="0" applyFont="1" applyBorder="1"/>
    <xf numFmtId="0" fontId="11" fillId="0" borderId="7" xfId="0" applyFont="1" applyBorder="1"/>
    <xf numFmtId="0" fontId="11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11" fillId="0" borderId="0" xfId="0" applyFont="1" applyAlignment="1">
      <alignment horizontal="left"/>
    </xf>
    <xf numFmtId="0" fontId="0" fillId="0" borderId="0" xfId="0" applyAlignment="1">
      <alignment horizontal="right"/>
    </xf>
    <xf numFmtId="49" fontId="11" fillId="0" borderId="0" xfId="0" applyNumberFormat="1" applyFont="1" applyAlignment="1">
      <alignment horizontal="right"/>
    </xf>
    <xf numFmtId="49" fontId="11" fillId="0" borderId="0" xfId="0" applyNumberFormat="1" applyFont="1" applyProtection="1">
      <protection locked="0"/>
    </xf>
    <xf numFmtId="49" fontId="0" fillId="0" borderId="0" xfId="0" applyNumberFormat="1"/>
    <xf numFmtId="0" fontId="0" fillId="0" borderId="0" xfId="0" applyProtection="1">
      <protection locked="0"/>
    </xf>
    <xf numFmtId="0" fontId="12" fillId="0" borderId="0" xfId="0" applyFont="1"/>
    <xf numFmtId="0" fontId="10" fillId="0" borderId="0" xfId="0" applyFont="1"/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9" fillId="0" borderId="0" xfId="0" applyFont="1"/>
    <xf numFmtId="0" fontId="15" fillId="0" borderId="0" xfId="0" applyFont="1"/>
    <xf numFmtId="0" fontId="4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11" fillId="0" borderId="11" xfId="0" applyNumberFormat="1" applyFont="1" applyBorder="1" applyAlignment="1" applyProtection="1">
      <alignment horizontal="center"/>
      <protection locked="0"/>
    </xf>
    <xf numFmtId="164" fontId="14" fillId="0" borderId="4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7" fillId="4" borderId="17" xfId="0" applyFont="1" applyFill="1" applyBorder="1"/>
    <xf numFmtId="0" fontId="17" fillId="4" borderId="18" xfId="0" applyFont="1" applyFill="1" applyBorder="1"/>
    <xf numFmtId="0" fontId="17" fillId="4" borderId="19" xfId="0" applyFont="1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1" fillId="0" borderId="1" xfId="0" applyFont="1" applyBorder="1" applyAlignment="1">
      <alignment horizontal="left"/>
    </xf>
    <xf numFmtId="49" fontId="11" fillId="0" borderId="11" xfId="0" applyNumberFormat="1" applyFont="1" applyBorder="1" applyAlignment="1" applyProtection="1">
      <alignment horizontal="center"/>
      <protection locked="0"/>
    </xf>
    <xf numFmtId="0" fontId="11" fillId="0" borderId="10" xfId="0" applyFont="1" applyBorder="1" applyAlignment="1">
      <alignment horizontal="left"/>
    </xf>
    <xf numFmtId="0" fontId="11" fillId="0" borderId="3" xfId="0" applyFont="1" applyBorder="1" applyAlignment="1">
      <alignment horizontal="left" vertical="center"/>
    </xf>
    <xf numFmtId="0" fontId="11" fillId="0" borderId="5" xfId="0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165" fontId="11" fillId="0" borderId="6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 indent="1"/>
    </xf>
    <xf numFmtId="0" fontId="11" fillId="0" borderId="4" xfId="0" applyFont="1" applyBorder="1" applyAlignment="1">
      <alignment horizontal="left" vertical="center" indent="1"/>
    </xf>
    <xf numFmtId="0" fontId="13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 wrapText="1" indent="1"/>
    </xf>
    <xf numFmtId="0" fontId="14" fillId="0" borderId="13" xfId="0" applyFont="1" applyBorder="1" applyAlignment="1">
      <alignment horizontal="left" vertical="center" wrapText="1" indent="1"/>
    </xf>
    <xf numFmtId="0" fontId="14" fillId="0" borderId="5" xfId="0" applyFont="1" applyBorder="1" applyAlignment="1">
      <alignment horizontal="left" vertical="center" wrapText="1" indent="1"/>
    </xf>
    <xf numFmtId="0" fontId="14" fillId="0" borderId="14" xfId="0" applyFont="1" applyBorder="1" applyAlignment="1">
      <alignment horizontal="left" vertical="center" wrapText="1" indent="1"/>
    </xf>
    <xf numFmtId="0" fontId="14" fillId="0" borderId="8" xfId="0" applyFont="1" applyBorder="1" applyAlignment="1">
      <alignment horizontal="left" vertical="center" wrapText="1" indent="1"/>
    </xf>
    <xf numFmtId="0" fontId="14" fillId="0" borderId="15" xfId="0" applyFont="1" applyBorder="1" applyAlignment="1">
      <alignment horizontal="left" vertical="center" wrapText="1" inden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2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13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 indent="1"/>
    </xf>
    <xf numFmtId="165" fontId="14" fillId="0" borderId="8" xfId="0" applyNumberFormat="1" applyFont="1" applyBorder="1" applyAlignment="1">
      <alignment horizontal="center" vertical="center"/>
    </xf>
    <xf numFmtId="165" fontId="14" fillId="0" borderId="9" xfId="0" applyNumberFormat="1" applyFont="1" applyBorder="1" applyAlignment="1">
      <alignment horizontal="center" vertical="center"/>
    </xf>
    <xf numFmtId="165" fontId="14" fillId="0" borderId="15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inden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 indent="1"/>
    </xf>
    <xf numFmtId="0" fontId="14" fillId="0" borderId="16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3"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360093</xdr:colOff>
      <xdr:row>2</xdr:row>
      <xdr:rowOff>127775</xdr:rowOff>
    </xdr:from>
    <xdr:to>
      <xdr:col>14</xdr:col>
      <xdr:colOff>17193</xdr:colOff>
      <xdr:row>4</xdr:row>
      <xdr:rowOff>128937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8843" y="313629"/>
          <a:ext cx="1585332" cy="465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32071A19-08D9-409E-966E-1E785FB368C7}" autoFormatId="16" applyNumberFormats="0" applyBorderFormats="0" applyFontFormats="0" applyPatternFormats="0" applyAlignmentFormats="0" applyWidthHeightFormats="0">
  <queryTableRefresh nextId="11">
    <queryTableFields count="10">
      <queryTableField id="1" name="ASSET 11KV" tableColumnId="1"/>
      <queryTableField id="2" name="SCOPE IR" tableColumnId="2"/>
      <queryTableField id="3" name="SCOPE IR DETAILS" tableColumnId="3"/>
      <queryTableField id="4" name="SCOPE IR RATE" tableColumnId="4"/>
      <queryTableField id="5" name="SCOPE IR+US" tableColumnId="5"/>
      <queryTableField id="6" name="SCOPE IR+US DETAILS" tableColumnId="6"/>
      <queryTableField id="7" name="SCOPE IR+US RATE" tableColumnId="7"/>
      <queryTableField id="8" name="FULL SCOPE" tableColumnId="8"/>
      <queryTableField id="9" name="FULL SCOPE DETAILS" tableColumnId="9"/>
      <queryTableField id="10" name="FULL SCOPE RAT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08DB23B-7FE1-471A-826C-0FA70A89F13B}" autoFormatId="16" applyNumberFormats="0" applyBorderFormats="0" applyFontFormats="0" applyPatternFormats="0" applyAlignmentFormats="0" applyWidthHeightFormats="0">
  <queryTableRefresh nextId="38">
    <queryTableFields count="34">
      <queryTableField id="1" name="Column1" tableColumnId="1"/>
      <queryTableField id="2" name="EQUIPMENT" tableColumnId="2"/>
      <queryTableField id="3" name="VCB 33kV" tableColumnId="3"/>
      <queryTableField id="32" name="VCB 22kV" tableColumnId="32"/>
      <queryTableField id="4" name="VCB 11kV" tableColumnId="4"/>
      <queryTableField id="33" name="VCB 6.6kV" tableColumnId="33"/>
      <queryTableField id="5" name="GIS 33kV" tableColumnId="5"/>
      <queryTableField id="34" name="GIS 22kV" tableColumnId="34"/>
      <queryTableField id="6" name="GIS 11kV" tableColumnId="6"/>
      <queryTableField id="7" name="RMU SF6" tableColumnId="7"/>
      <queryTableField id="8" name="RMU OIL" tableColumnId="8"/>
      <queryTableField id="9" name="CABLE SWG" tableColumnId="9"/>
      <queryTableField id="10" name="PTX" tableColumnId="10"/>
      <queryTableField id="11" name="CABLE PTX" tableColumnId="11"/>
      <queryTableField id="12" name="LTX/DTX" tableColumnId="12"/>
      <queryTableField id="13" name="CABLE LTX/DTX" tableColumnId="13"/>
      <queryTableField id="14" name="FP (J)" tableColumnId="14"/>
      <queryTableField id="15" name="LVDB" tableColumnId="15"/>
      <queryTableField id="16" name="FP (D)" tableColumnId="16"/>
      <queryTableField id="17" name="CABLE LVDB/FP" tableColumnId="17"/>
      <queryTableField id="18" name="LINK BOX" tableColumnId="18"/>
      <queryTableField id="19" name="BREAKER (SW YARD)" tableColumnId="19"/>
      <queryTableField id="20" name="ISOLATOR (SW YARD)" tableColumnId="20"/>
      <queryTableField id="21" name="CT (SW YARD)" tableColumnId="21"/>
      <queryTableField id="22" name="BLACK BOX" tableColumnId="22"/>
      <queryTableField id="23" name="BATTERY CHARGER" tableColumnId="23"/>
      <queryTableField id="24" name="EARTHING" tableColumnId="24"/>
      <queryTableField id="25" name="ISOLATOR LINK" tableColumnId="25"/>
      <queryTableField id="26" name="PIN ISOLATOR" tableColumnId="26"/>
      <queryTableField id="27" name="DROPOUT FUSE" tableColumnId="27"/>
      <queryTableField id="28" name="LBS" tableColumnId="28"/>
      <queryTableField id="29" name="LIGHTNING ARRESTOR" tableColumnId="29"/>
      <queryTableField id="30" name="AUTO RECLOSER" tableColumnId="30"/>
      <queryTableField id="31" name="PT AR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00BB25-8FB4-4EBF-A1F0-F2EBC40C6AC2}" name="ASSET_11" displayName="ASSET_11" ref="A1:J21" tableType="queryTable" totalsRowShown="0">
  <autoFilter ref="A1:J21" xr:uid="{D100BB25-8FB4-4EBF-A1F0-F2EBC40C6AC2}"/>
  <tableColumns count="10">
    <tableColumn id="1" xr3:uid="{B8F4E976-9170-4E4F-AD3E-03735BE6B146}" uniqueName="1" name="ASSET 11KV" queryTableFieldId="1" dataDxfId="12"/>
    <tableColumn id="2" xr3:uid="{C8298786-0B31-4D7F-AC0A-E818DC3F3F17}" uniqueName="2" name="SCOPE IR" queryTableFieldId="2"/>
    <tableColumn id="3" xr3:uid="{56C0CEEB-A87A-4A57-86CB-07BEF1043FA4}" uniqueName="3" name="SCOPE IR DETAILS" queryTableFieldId="3" dataDxfId="11"/>
    <tableColumn id="4" xr3:uid="{27C9FCB8-B270-48F1-A141-7CDCA21F2E96}" uniqueName="4" name="SCOPE IR RATE" queryTableFieldId="4"/>
    <tableColumn id="5" xr3:uid="{CABDC744-98F6-4B1A-8242-F160ED420E46}" uniqueName="5" name="SCOPE IR+US" queryTableFieldId="5"/>
    <tableColumn id="6" xr3:uid="{1D6B9794-D04B-445E-95EB-93179C8F528F}" uniqueName="6" name="SCOPE IR+US DETAILS" queryTableFieldId="6" dataDxfId="10"/>
    <tableColumn id="7" xr3:uid="{D0956C74-8527-4543-9293-B41687238065}" uniqueName="7" name="SCOPE IR+US RATE" queryTableFieldId="7"/>
    <tableColumn id="8" xr3:uid="{855BCE7E-DECE-4D20-B6F3-C7A3D9837EB0}" uniqueName="8" name="FULL SCOPE" queryTableFieldId="8"/>
    <tableColumn id="9" xr3:uid="{E6C0D188-A91A-40F1-80FE-ACCD3EC66FE1}" uniqueName="9" name="FULL SCOPE DETAILS" queryTableFieldId="9" dataDxfId="9"/>
    <tableColumn id="10" xr3:uid="{AD233694-2C39-46BD-807F-93A1629430BD}" uniqueName="10" name="FULL SCOPE RAT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82A4E-3D16-4318-8DB2-CB727CBBCB4B}" name="Brand" displayName="Brand" ref="A1:AH53" tableType="queryTable" totalsRowShown="0">
  <autoFilter ref="A1:AH53" xr:uid="{7D282A4E-3D16-4318-8DB2-CB727CBBCB4B}"/>
  <tableColumns count="34">
    <tableColumn id="1" xr3:uid="{2E61C4A5-F355-4379-8D0F-DE099570D88C}" uniqueName="1" name="Column1" queryTableFieldId="1"/>
    <tableColumn id="2" xr3:uid="{06CC3713-D131-4222-9B4E-5854D68FAC03}" uniqueName="2" name="EQUIPMENT" queryTableFieldId="2" dataDxfId="8"/>
    <tableColumn id="3" xr3:uid="{4C327934-99B8-4E09-A0DA-E72A831A5068}" uniqueName="3" name="VCB 33kV" queryTableFieldId="3" dataDxfId="7"/>
    <tableColumn id="32" xr3:uid="{D3BA6BB0-B757-4065-9E29-1D5A14FCAFE5}" uniqueName="32" name="VCB 22kV" queryTableFieldId="32"/>
    <tableColumn id="4" xr3:uid="{62EEA229-0701-4EFB-B834-48F19D6E2EFB}" uniqueName="4" name="VCB 11kV" queryTableFieldId="4"/>
    <tableColumn id="33" xr3:uid="{3DC5FD4C-1892-42EE-9932-1F7D3D71251F}" uniqueName="33" name="VCB 6.6kV" queryTableFieldId="33"/>
    <tableColumn id="5" xr3:uid="{28A20163-A664-4539-BE0D-87FCC014DC5C}" uniqueName="5" name="GIS 33kV" queryTableFieldId="5" dataDxfId="6"/>
    <tableColumn id="34" xr3:uid="{D36C604A-27E8-4F27-B975-407325D48045}" uniqueName="34" name="GIS 22kV" queryTableFieldId="34"/>
    <tableColumn id="6" xr3:uid="{F68D0AF0-7591-4485-9D83-E9CEBB8EB595}" uniqueName="6" name="GIS 11kV" queryTableFieldId="6"/>
    <tableColumn id="7" xr3:uid="{9B14707C-95BC-49D6-B2A7-FDEF54D0DA08}" uniqueName="7" name="RMU SF6" queryTableFieldId="7" dataDxfId="5"/>
    <tableColumn id="8" xr3:uid="{177F6372-A47D-4D46-8CE1-650CF47F89CA}" uniqueName="8" name="RMU OIL" queryTableFieldId="8"/>
    <tableColumn id="9" xr3:uid="{59100052-9ABE-4290-8748-DEE009209CCC}" uniqueName="9" name="CABLE SWG" queryTableFieldId="9" dataDxfId="4"/>
    <tableColumn id="10" xr3:uid="{2D7F09A3-E6D7-4F26-8413-6E582DB8C31D}" uniqueName="10" name="PTX" queryTableFieldId="10"/>
    <tableColumn id="11" xr3:uid="{E38DF05B-EFF0-449C-B131-1B02D7B21745}" uniqueName="11" name="CABLE PTX" queryTableFieldId="11" dataDxfId="3"/>
    <tableColumn id="12" xr3:uid="{C0C2A8D7-8ECD-44BF-8981-48FEA3A49D8B}" uniqueName="12" name="LTX/DTX" queryTableFieldId="12"/>
    <tableColumn id="13" xr3:uid="{EBDCF310-B77A-494A-9FD3-12C30010C427}" uniqueName="13" name="CABLE LTX/DTX" queryTableFieldId="13" dataDxfId="2"/>
    <tableColumn id="14" xr3:uid="{38C383F4-43BF-4FD9-AAAB-8569403B1076}" uniqueName="14" name="FP (J)" queryTableFieldId="14"/>
    <tableColumn id="15" xr3:uid="{ACC25887-ECB1-4DC3-A511-709FAE581559}" uniqueName="15" name="LVDB" queryTableFieldId="15"/>
    <tableColumn id="16" xr3:uid="{9A00119E-F7AA-4A7A-B6C2-537DD055456C}" uniqueName="16" name="FP (D)" queryTableFieldId="16"/>
    <tableColumn id="17" xr3:uid="{B10FBDAB-1985-4B6D-A129-6401EC5FC372}" uniqueName="17" name="CABLE LVDB/FP" queryTableFieldId="17"/>
    <tableColumn id="18" xr3:uid="{FDC06837-65BC-4C9E-A60F-EDAD5F14F4C9}" uniqueName="18" name="LINK BOX" queryTableFieldId="18"/>
    <tableColumn id="19" xr3:uid="{3219655F-0E71-40C0-B976-552B13E73F99}" uniqueName="19" name="BREAKER (SW YARD)" queryTableFieldId="19"/>
    <tableColumn id="20" xr3:uid="{C9ADB1F1-D275-4359-B5A7-AB0FA37620BC}" uniqueName="20" name="ISOLATOR (SW YARD)" queryTableFieldId="20"/>
    <tableColumn id="21" xr3:uid="{AD2B53A8-1D69-42BD-9C89-39E49F0FD386}" uniqueName="21" name="CT (SW YARD)" queryTableFieldId="21"/>
    <tableColumn id="22" xr3:uid="{A75C3F83-7D22-4CC0-8D20-16CBC93B72E2}" uniqueName="22" name="BLACK BOX" queryTableFieldId="22"/>
    <tableColumn id="23" xr3:uid="{33C787FA-C0C4-412E-99C0-1727CD55963C}" uniqueName="23" name="BATTERY CHARGER" queryTableFieldId="23"/>
    <tableColumn id="24" xr3:uid="{FCB77FCA-9D73-4F27-B5BD-A25E87C2C218}" uniqueName="24" name="EARTHING" queryTableFieldId="24"/>
    <tableColumn id="25" xr3:uid="{01A00B76-BE36-45C8-8ACE-0254AE547E3B}" uniqueName="25" name="ISOLATOR LINK" queryTableFieldId="25"/>
    <tableColumn id="26" xr3:uid="{B3B7F552-B559-4107-993D-7045CA91E463}" uniqueName="26" name="PIN ISOLATOR" queryTableFieldId="26"/>
    <tableColumn id="27" xr3:uid="{854BD9C3-00F8-471A-A442-64ED81D3A1A0}" uniqueName="27" name="DROPOUT FUSE" queryTableFieldId="27"/>
    <tableColumn id="28" xr3:uid="{53F7F8E0-F7C5-4196-A343-AFB6A54056BC}" uniqueName="28" name="LBS" queryTableFieldId="28"/>
    <tableColumn id="29" xr3:uid="{3DE89191-8416-4CAD-B7BC-BC227F2151AE}" uniqueName="29" name="LIGHTNING ARRESTOR" queryTableFieldId="29"/>
    <tableColumn id="30" xr3:uid="{FF1D74B5-E952-4AC3-BB0E-186555D11087}" uniqueName="30" name="AUTO RECLOSER" queryTableFieldId="30"/>
    <tableColumn id="31" xr3:uid="{1D7062BF-C860-4D8D-A127-20F219C9C01E}" uniqueName="31" name="PT AR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7-12T06:13:40.07" personId="{00000000-0000-0000-0000-000000000000}" id="{82553E5C-51BD-4126-8C45-02F3CBDD3B0E}">
    <text>24hrs format e.g. 2100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B71"/>
  <sheetViews>
    <sheetView zoomScale="76" zoomScaleNormal="70" workbookViewId="0">
      <selection activeCell="G10" sqref="G10:G13"/>
    </sheetView>
  </sheetViews>
  <sheetFormatPr defaultColWidth="9.140625" defaultRowHeight="14.25" x14ac:dyDescent="0.2"/>
  <cols>
    <col min="1" max="1" width="8" style="1" customWidth="1"/>
    <col min="2" max="2" width="13.85546875" style="1" customWidth="1"/>
    <col min="3" max="3" width="12.28515625" style="1" customWidth="1"/>
    <col min="4" max="4" width="22.7109375" style="1" customWidth="1"/>
    <col min="5" max="5" width="12.85546875" style="1" customWidth="1"/>
    <col min="6" max="6" width="11" style="1" customWidth="1"/>
    <col min="7" max="7" width="13.42578125" style="1" customWidth="1"/>
    <col min="8" max="8" width="10.140625" style="1" customWidth="1"/>
    <col min="9" max="9" width="16.7109375" style="1" customWidth="1"/>
    <col min="10" max="10" width="12" style="1" customWidth="1"/>
    <col min="11" max="11" width="9.5703125" style="1" customWidth="1"/>
    <col min="12" max="12" width="10" style="1" bestFit="1" customWidth="1"/>
    <col min="13" max="13" width="10" style="1" customWidth="1"/>
    <col min="14" max="14" width="12.140625" style="1" customWidth="1"/>
    <col min="15" max="15" width="11.7109375" style="1" customWidth="1"/>
    <col min="16" max="16" width="15.85546875" style="1" customWidth="1"/>
    <col min="17" max="17" width="9.5703125" style="1" bestFit="1" customWidth="1"/>
    <col min="18" max="18" width="9.7109375" style="1" customWidth="1"/>
    <col min="19" max="19" width="8.7109375" style="1" customWidth="1"/>
    <col min="20" max="20" width="8.85546875" style="1" customWidth="1"/>
    <col min="21" max="21" width="8.7109375" style="1" customWidth="1"/>
    <col min="22" max="22" width="9.28515625" style="1" customWidth="1"/>
    <col min="23" max="23" width="6.85546875" style="1" customWidth="1"/>
    <col min="24" max="24" width="7.7109375" style="1" customWidth="1"/>
    <col min="25" max="25" width="21.42578125" style="1" customWidth="1"/>
    <col min="26" max="26" width="9.140625" style="1"/>
    <col min="27" max="28" width="9.140625" style="2"/>
    <col min="29" max="16384" width="9.140625" style="3"/>
  </cols>
  <sheetData>
    <row r="1" spans="1:28" x14ac:dyDescent="0.2">
      <c r="Y1" s="39"/>
    </row>
    <row r="2" spans="1:28" x14ac:dyDescent="0.2">
      <c r="W2" s="1" t="s">
        <v>225</v>
      </c>
      <c r="Y2" s="66" t="s">
        <v>67</v>
      </c>
    </row>
    <row r="3" spans="1:28" ht="18" customHeight="1" x14ac:dyDescent="0.2">
      <c r="A3" s="129" t="s">
        <v>104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</row>
    <row r="4" spans="1:28" ht="19.5" customHeight="1" x14ac:dyDescent="0.2">
      <c r="A4" s="171" t="s">
        <v>105</v>
      </c>
      <c r="B4" s="171"/>
      <c r="C4" s="172" t="s">
        <v>161</v>
      </c>
      <c r="D4" s="172"/>
      <c r="E4" s="172"/>
      <c r="F4" s="172"/>
      <c r="G4" s="172"/>
      <c r="H4" s="172"/>
      <c r="I4" s="172"/>
      <c r="J4" s="122" t="s">
        <v>106</v>
      </c>
      <c r="K4" s="108"/>
      <c r="L4" s="108"/>
      <c r="M4" s="108"/>
      <c r="N4" s="108"/>
      <c r="O4" s="109"/>
      <c r="P4" s="173"/>
      <c r="Q4" s="174"/>
      <c r="R4" s="174"/>
      <c r="S4" s="174"/>
      <c r="T4" s="174"/>
      <c r="U4" s="174"/>
      <c r="V4" s="175"/>
      <c r="W4" s="125" t="s">
        <v>107</v>
      </c>
      <c r="X4" s="123"/>
      <c r="Y4" s="126"/>
    </row>
    <row r="5" spans="1:28" ht="21.75" customHeight="1" x14ac:dyDescent="0.2">
      <c r="A5" s="176" t="s">
        <v>108</v>
      </c>
      <c r="B5" s="176"/>
      <c r="C5" s="177"/>
      <c r="D5" s="177"/>
      <c r="E5" s="177"/>
      <c r="F5" s="177"/>
      <c r="G5" s="177"/>
      <c r="H5" s="177"/>
      <c r="I5" s="177"/>
      <c r="J5" s="122" t="s">
        <v>109</v>
      </c>
      <c r="K5" s="108"/>
      <c r="L5" s="108"/>
      <c r="M5" s="108"/>
      <c r="N5" s="108"/>
      <c r="O5" s="109"/>
      <c r="P5" s="120"/>
      <c r="Q5" s="120"/>
      <c r="R5" s="39" t="s">
        <v>110</v>
      </c>
      <c r="S5" s="110"/>
      <c r="T5" s="111"/>
      <c r="U5" s="111"/>
      <c r="V5" s="124"/>
      <c r="W5" s="120" t="s">
        <v>226</v>
      </c>
      <c r="X5" s="120"/>
      <c r="Y5" s="120"/>
    </row>
    <row r="6" spans="1:28" ht="18" customHeight="1" x14ac:dyDescent="0.2">
      <c r="A6" s="181" t="s">
        <v>111</v>
      </c>
      <c r="B6" s="181"/>
      <c r="C6" s="182">
        <f>Y1</f>
        <v>0</v>
      </c>
      <c r="D6" s="183"/>
      <c r="E6" s="183"/>
      <c r="F6" s="183"/>
      <c r="G6" s="183"/>
      <c r="H6" s="183"/>
      <c r="I6" s="184"/>
      <c r="J6" s="122" t="s">
        <v>112</v>
      </c>
      <c r="K6" s="108"/>
      <c r="L6" s="108"/>
      <c r="M6" s="108"/>
      <c r="N6" s="108"/>
      <c r="O6" s="109"/>
      <c r="P6" s="68"/>
      <c r="Q6" s="69" t="s">
        <v>127</v>
      </c>
      <c r="R6" s="43" t="s">
        <v>110</v>
      </c>
      <c r="S6" s="169"/>
      <c r="T6" s="170"/>
      <c r="U6" s="118" t="s">
        <v>233</v>
      </c>
      <c r="V6" s="115"/>
      <c r="W6" s="125" t="s">
        <v>235</v>
      </c>
      <c r="X6" s="123"/>
      <c r="Y6" s="126"/>
    </row>
    <row r="7" spans="1:28" ht="15" customHeight="1" x14ac:dyDescent="0.2">
      <c r="A7" s="129" t="s">
        <v>6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</row>
    <row r="8" spans="1:28" ht="17.25" customHeight="1" x14ac:dyDescent="0.2">
      <c r="A8" s="112" t="s">
        <v>113</v>
      </c>
      <c r="B8" s="113"/>
      <c r="C8" s="113"/>
      <c r="D8" s="113"/>
      <c r="E8" s="113"/>
      <c r="F8" s="113"/>
      <c r="G8" s="113"/>
      <c r="H8" s="113"/>
      <c r="I8" s="113"/>
      <c r="J8" s="178" t="s">
        <v>114</v>
      </c>
      <c r="K8" s="179"/>
      <c r="L8" s="179"/>
      <c r="M8" s="179"/>
      <c r="N8" s="179"/>
      <c r="O8" s="179"/>
      <c r="P8" s="180"/>
      <c r="Q8" s="112" t="s">
        <v>0</v>
      </c>
      <c r="R8" s="113"/>
      <c r="S8" s="124"/>
      <c r="T8" s="112" t="s">
        <v>7</v>
      </c>
      <c r="U8" s="113"/>
      <c r="V8" s="117"/>
      <c r="W8" s="121" t="s">
        <v>115</v>
      </c>
      <c r="X8" s="121"/>
      <c r="Y8" s="121"/>
    </row>
    <row r="9" spans="1:28" s="31" customFormat="1" ht="48.75" customHeight="1" x14ac:dyDescent="0.2">
      <c r="A9" s="47" t="s">
        <v>57</v>
      </c>
      <c r="B9" s="47" t="s">
        <v>116</v>
      </c>
      <c r="C9" s="112" t="s">
        <v>117</v>
      </c>
      <c r="D9" s="117"/>
      <c r="E9" s="48" t="s">
        <v>118</v>
      </c>
      <c r="F9" s="48" t="s">
        <v>58</v>
      </c>
      <c r="G9" s="48" t="s">
        <v>119</v>
      </c>
      <c r="H9" s="61" t="s">
        <v>120</v>
      </c>
      <c r="I9" s="45" t="s">
        <v>121</v>
      </c>
      <c r="J9" s="46" t="s">
        <v>122</v>
      </c>
      <c r="K9" s="44" t="s">
        <v>154</v>
      </c>
      <c r="L9" s="44" t="s">
        <v>155</v>
      </c>
      <c r="M9" s="48" t="s">
        <v>125</v>
      </c>
      <c r="N9" s="45" t="s">
        <v>8</v>
      </c>
      <c r="O9" s="48" t="s">
        <v>126</v>
      </c>
      <c r="P9" s="45" t="s">
        <v>55</v>
      </c>
      <c r="Q9" s="48" t="s">
        <v>127</v>
      </c>
      <c r="R9" s="48" t="s">
        <v>126</v>
      </c>
      <c r="S9" s="48" t="s">
        <v>128</v>
      </c>
      <c r="T9" s="47" t="s">
        <v>127</v>
      </c>
      <c r="U9" s="70" t="s">
        <v>129</v>
      </c>
      <c r="V9" s="48" t="s">
        <v>128</v>
      </c>
      <c r="W9" s="121"/>
      <c r="X9" s="121"/>
      <c r="Y9" s="121"/>
      <c r="Z9" s="29"/>
      <c r="AA9" s="30"/>
      <c r="AB9" s="30"/>
    </row>
    <row r="10" spans="1:28" ht="18" customHeight="1" x14ac:dyDescent="0.2">
      <c r="A10" s="135">
        <v>1</v>
      </c>
      <c r="B10" s="132"/>
      <c r="C10" s="157"/>
      <c r="D10" s="158"/>
      <c r="E10" s="163"/>
      <c r="F10" s="132"/>
      <c r="G10" s="132"/>
      <c r="H10" s="132"/>
      <c r="I10" s="132"/>
      <c r="J10" s="41" t="s">
        <v>130</v>
      </c>
      <c r="K10" s="71"/>
      <c r="L10" s="71"/>
      <c r="M10" s="71" t="str">
        <f>IF(L10="","",L10-K10)</f>
        <v/>
      </c>
      <c r="N10" s="71" t="str">
        <f>IF(L10="","",((L10+K10)/2))</f>
        <v/>
      </c>
      <c r="O10" s="39"/>
      <c r="P10" s="39"/>
      <c r="Q10" s="39"/>
      <c r="R10" s="39"/>
      <c r="S10" s="39"/>
      <c r="T10" s="39"/>
      <c r="U10" s="39" t="str">
        <f>IF(T10&lt;&gt;"", 0, "")</f>
        <v/>
      </c>
      <c r="V10" s="39"/>
      <c r="W10" s="154"/>
      <c r="X10" s="154"/>
      <c r="Y10" s="154"/>
    </row>
    <row r="11" spans="1:28" ht="18" customHeight="1" x14ac:dyDescent="0.2">
      <c r="A11" s="156"/>
      <c r="B11" s="133"/>
      <c r="C11" s="159"/>
      <c r="D11" s="160"/>
      <c r="E11" s="164"/>
      <c r="F11" s="133"/>
      <c r="G11" s="133"/>
      <c r="H11" s="133"/>
      <c r="I11" s="133"/>
      <c r="J11" s="41" t="s">
        <v>52</v>
      </c>
      <c r="K11" s="71"/>
      <c r="L11" s="71"/>
      <c r="M11" s="71" t="str">
        <f t="shared" ref="M11:M25" si="0">IF(L11="","",L11-K11)</f>
        <v/>
      </c>
      <c r="N11" s="71" t="str">
        <f t="shared" ref="N11:N25" si="1">IF(L11="","",((L11+K11)/2))</f>
        <v/>
      </c>
      <c r="O11" s="39"/>
      <c r="P11" s="39"/>
      <c r="Q11" s="39"/>
      <c r="R11" s="39"/>
      <c r="S11" s="39"/>
      <c r="T11" s="39"/>
      <c r="U11" s="39" t="str">
        <f t="shared" ref="U11:U25" si="2">IF(T11&lt;&gt;"", 0, "")</f>
        <v/>
      </c>
      <c r="V11" s="39"/>
      <c r="W11" s="154"/>
      <c r="X11" s="154"/>
      <c r="Y11" s="154"/>
    </row>
    <row r="12" spans="1:28" ht="18" customHeight="1" x14ac:dyDescent="0.2">
      <c r="A12" s="156"/>
      <c r="B12" s="133"/>
      <c r="C12" s="159"/>
      <c r="D12" s="160"/>
      <c r="E12" s="164"/>
      <c r="F12" s="133"/>
      <c r="G12" s="133"/>
      <c r="H12" s="133"/>
      <c r="I12" s="133"/>
      <c r="J12" s="41" t="s">
        <v>147</v>
      </c>
      <c r="K12" s="71"/>
      <c r="L12" s="71"/>
      <c r="M12" s="71" t="str">
        <f t="shared" si="0"/>
        <v/>
      </c>
      <c r="N12" s="71" t="str">
        <f t="shared" si="1"/>
        <v/>
      </c>
      <c r="O12" s="39"/>
      <c r="P12" s="39"/>
      <c r="Q12" s="39"/>
      <c r="R12" s="39"/>
      <c r="S12" s="39"/>
      <c r="T12" s="39"/>
      <c r="U12" s="39" t="str">
        <f t="shared" si="2"/>
        <v/>
      </c>
      <c r="V12" s="39"/>
      <c r="W12" s="154"/>
      <c r="X12" s="154"/>
      <c r="Y12" s="154"/>
    </row>
    <row r="13" spans="1:28" ht="18" customHeight="1" x14ac:dyDescent="0.2">
      <c r="A13" s="136"/>
      <c r="B13" s="134"/>
      <c r="C13" s="161"/>
      <c r="D13" s="162"/>
      <c r="E13" s="165"/>
      <c r="F13" s="134"/>
      <c r="G13" s="134"/>
      <c r="H13" s="134"/>
      <c r="I13" s="134"/>
      <c r="J13" s="41" t="s">
        <v>9</v>
      </c>
      <c r="K13" s="71"/>
      <c r="L13" s="71"/>
      <c r="M13" s="71" t="str">
        <f t="shared" si="0"/>
        <v/>
      </c>
      <c r="N13" s="71" t="str">
        <f t="shared" si="1"/>
        <v/>
      </c>
      <c r="O13" s="39"/>
      <c r="P13" s="39"/>
      <c r="Q13" s="39"/>
      <c r="R13" s="39"/>
      <c r="S13" s="39"/>
      <c r="T13" s="39"/>
      <c r="U13" s="39" t="str">
        <f t="shared" si="2"/>
        <v/>
      </c>
      <c r="V13" s="39"/>
      <c r="W13" s="154"/>
      <c r="X13" s="154"/>
      <c r="Y13" s="154"/>
    </row>
    <row r="14" spans="1:28" ht="18" customHeight="1" x14ac:dyDescent="0.2">
      <c r="A14" s="135">
        <v>2</v>
      </c>
      <c r="B14" s="132"/>
      <c r="C14" s="157"/>
      <c r="D14" s="158"/>
      <c r="E14" s="163"/>
      <c r="F14" s="132"/>
      <c r="G14" s="132"/>
      <c r="H14" s="132"/>
      <c r="I14" s="132"/>
      <c r="J14" s="41" t="s">
        <v>130</v>
      </c>
      <c r="K14" s="71"/>
      <c r="L14" s="71"/>
      <c r="M14" s="71" t="str">
        <f t="shared" si="0"/>
        <v/>
      </c>
      <c r="N14" s="71" t="str">
        <f t="shared" si="1"/>
        <v/>
      </c>
      <c r="O14" s="39"/>
      <c r="P14" s="39"/>
      <c r="Q14" s="39"/>
      <c r="R14" s="39"/>
      <c r="S14" s="39"/>
      <c r="T14" s="39"/>
      <c r="U14" s="39" t="str">
        <f t="shared" si="2"/>
        <v/>
      </c>
      <c r="V14" s="39"/>
      <c r="W14" s="154"/>
      <c r="X14" s="154"/>
      <c r="Y14" s="154"/>
    </row>
    <row r="15" spans="1:28" ht="18" customHeight="1" x14ac:dyDescent="0.2">
      <c r="A15" s="156"/>
      <c r="B15" s="133"/>
      <c r="C15" s="159"/>
      <c r="D15" s="160"/>
      <c r="E15" s="164"/>
      <c r="F15" s="133"/>
      <c r="G15" s="133"/>
      <c r="H15" s="133"/>
      <c r="I15" s="133"/>
      <c r="J15" s="41" t="s">
        <v>52</v>
      </c>
      <c r="K15" s="71"/>
      <c r="L15" s="71"/>
      <c r="M15" s="71" t="str">
        <f t="shared" si="0"/>
        <v/>
      </c>
      <c r="N15" s="71" t="str">
        <f t="shared" si="1"/>
        <v/>
      </c>
      <c r="O15" s="39"/>
      <c r="P15" s="39"/>
      <c r="Q15" s="39"/>
      <c r="R15" s="39"/>
      <c r="S15" s="39"/>
      <c r="T15" s="39"/>
      <c r="U15" s="39" t="str">
        <f t="shared" si="2"/>
        <v/>
      </c>
      <c r="V15" s="39"/>
      <c r="W15" s="154"/>
      <c r="X15" s="154"/>
      <c r="Y15" s="154"/>
    </row>
    <row r="16" spans="1:28" ht="18" customHeight="1" x14ac:dyDescent="0.2">
      <c r="A16" s="156"/>
      <c r="B16" s="133"/>
      <c r="C16" s="159"/>
      <c r="D16" s="160"/>
      <c r="E16" s="164"/>
      <c r="F16" s="133"/>
      <c r="G16" s="133"/>
      <c r="H16" s="133"/>
      <c r="I16" s="133"/>
      <c r="J16" s="41" t="s">
        <v>147</v>
      </c>
      <c r="K16" s="71"/>
      <c r="L16" s="71"/>
      <c r="M16" s="71" t="str">
        <f t="shared" si="0"/>
        <v/>
      </c>
      <c r="N16" s="71" t="str">
        <f t="shared" si="1"/>
        <v/>
      </c>
      <c r="O16" s="39"/>
      <c r="P16" s="39"/>
      <c r="Q16" s="39"/>
      <c r="R16" s="39"/>
      <c r="S16" s="39"/>
      <c r="T16" s="39"/>
      <c r="U16" s="39" t="str">
        <f t="shared" si="2"/>
        <v/>
      </c>
      <c r="V16" s="39"/>
      <c r="W16" s="154"/>
      <c r="X16" s="154"/>
      <c r="Y16" s="154"/>
    </row>
    <row r="17" spans="1:28" ht="18" customHeight="1" x14ac:dyDescent="0.2">
      <c r="A17" s="136"/>
      <c r="B17" s="134"/>
      <c r="C17" s="161"/>
      <c r="D17" s="162"/>
      <c r="E17" s="165"/>
      <c r="F17" s="134"/>
      <c r="G17" s="134"/>
      <c r="H17" s="134"/>
      <c r="I17" s="134"/>
      <c r="J17" s="41" t="s">
        <v>9</v>
      </c>
      <c r="K17" s="71"/>
      <c r="L17" s="71"/>
      <c r="M17" s="71" t="str">
        <f t="shared" si="0"/>
        <v/>
      </c>
      <c r="N17" s="71" t="str">
        <f t="shared" si="1"/>
        <v/>
      </c>
      <c r="O17" s="39"/>
      <c r="P17" s="39"/>
      <c r="Q17" s="39"/>
      <c r="R17" s="39"/>
      <c r="S17" s="40"/>
      <c r="T17" s="40"/>
      <c r="U17" s="39" t="str">
        <f t="shared" si="2"/>
        <v/>
      </c>
      <c r="V17" s="39"/>
      <c r="W17" s="154"/>
      <c r="X17" s="154"/>
      <c r="Y17" s="154"/>
    </row>
    <row r="18" spans="1:28" ht="18" customHeight="1" x14ac:dyDescent="0.2">
      <c r="A18" s="135">
        <v>3</v>
      </c>
      <c r="B18" s="132"/>
      <c r="C18" s="157"/>
      <c r="D18" s="158"/>
      <c r="E18" s="163"/>
      <c r="F18" s="132"/>
      <c r="G18" s="132"/>
      <c r="H18" s="132"/>
      <c r="I18" s="132"/>
      <c r="J18" s="41" t="s">
        <v>130</v>
      </c>
      <c r="K18" s="71"/>
      <c r="L18" s="71"/>
      <c r="M18" s="71" t="str">
        <f t="shared" si="0"/>
        <v/>
      </c>
      <c r="N18" s="71" t="str">
        <f t="shared" si="1"/>
        <v/>
      </c>
      <c r="O18" s="39"/>
      <c r="P18" s="39"/>
      <c r="Q18" s="39"/>
      <c r="R18" s="39"/>
      <c r="S18" s="40"/>
      <c r="T18" s="40"/>
      <c r="U18" s="39" t="str">
        <f t="shared" si="2"/>
        <v/>
      </c>
      <c r="V18" s="39"/>
      <c r="W18" s="154"/>
      <c r="X18" s="154"/>
      <c r="Y18" s="154"/>
    </row>
    <row r="19" spans="1:28" ht="18" customHeight="1" x14ac:dyDescent="0.2">
      <c r="A19" s="156"/>
      <c r="B19" s="133"/>
      <c r="C19" s="159"/>
      <c r="D19" s="160"/>
      <c r="E19" s="164"/>
      <c r="F19" s="133"/>
      <c r="G19" s="133"/>
      <c r="H19" s="133"/>
      <c r="I19" s="133"/>
      <c r="J19" s="41" t="s">
        <v>52</v>
      </c>
      <c r="K19" s="71"/>
      <c r="L19" s="71"/>
      <c r="M19" s="71" t="str">
        <f t="shared" si="0"/>
        <v/>
      </c>
      <c r="N19" s="71" t="str">
        <f t="shared" si="1"/>
        <v/>
      </c>
      <c r="O19" s="39"/>
      <c r="P19" s="39"/>
      <c r="Q19" s="39"/>
      <c r="R19" s="39"/>
      <c r="S19" s="40"/>
      <c r="T19" s="40"/>
      <c r="U19" s="39" t="str">
        <f t="shared" si="2"/>
        <v/>
      </c>
      <c r="V19" s="39"/>
      <c r="W19" s="154"/>
      <c r="X19" s="154"/>
      <c r="Y19" s="154"/>
    </row>
    <row r="20" spans="1:28" ht="18" customHeight="1" x14ac:dyDescent="0.2">
      <c r="A20" s="156"/>
      <c r="B20" s="133"/>
      <c r="C20" s="159"/>
      <c r="D20" s="160"/>
      <c r="E20" s="164"/>
      <c r="F20" s="133"/>
      <c r="G20" s="133"/>
      <c r="H20" s="133"/>
      <c r="I20" s="133"/>
      <c r="J20" s="41" t="s">
        <v>147</v>
      </c>
      <c r="K20" s="71"/>
      <c r="L20" s="71"/>
      <c r="M20" s="71" t="str">
        <f t="shared" si="0"/>
        <v/>
      </c>
      <c r="N20" s="71" t="str">
        <f t="shared" si="1"/>
        <v/>
      </c>
      <c r="O20" s="39"/>
      <c r="P20" s="39"/>
      <c r="Q20" s="39"/>
      <c r="R20" s="39"/>
      <c r="S20" s="40"/>
      <c r="T20" s="40"/>
      <c r="U20" s="39" t="str">
        <f t="shared" si="2"/>
        <v/>
      </c>
      <c r="V20" s="39"/>
      <c r="W20" s="154"/>
      <c r="X20" s="154"/>
      <c r="Y20" s="154"/>
    </row>
    <row r="21" spans="1:28" ht="18" customHeight="1" x14ac:dyDescent="0.2">
      <c r="A21" s="136"/>
      <c r="B21" s="134"/>
      <c r="C21" s="161"/>
      <c r="D21" s="162"/>
      <c r="E21" s="165"/>
      <c r="F21" s="134"/>
      <c r="G21" s="134"/>
      <c r="H21" s="134"/>
      <c r="I21" s="134"/>
      <c r="J21" s="41" t="s">
        <v>9</v>
      </c>
      <c r="K21" s="71"/>
      <c r="L21" s="71"/>
      <c r="M21" s="71" t="str">
        <f t="shared" si="0"/>
        <v/>
      </c>
      <c r="N21" s="71" t="str">
        <f t="shared" si="1"/>
        <v/>
      </c>
      <c r="O21" s="39"/>
      <c r="P21" s="39"/>
      <c r="Q21" s="39"/>
      <c r="R21" s="39"/>
      <c r="S21" s="40"/>
      <c r="T21" s="40"/>
      <c r="U21" s="39" t="str">
        <f t="shared" si="2"/>
        <v/>
      </c>
      <c r="V21" s="39"/>
      <c r="W21" s="154"/>
      <c r="X21" s="154"/>
      <c r="Y21" s="154"/>
    </row>
    <row r="22" spans="1:28" ht="18" customHeight="1" x14ac:dyDescent="0.2">
      <c r="A22" s="135">
        <v>4</v>
      </c>
      <c r="B22" s="132"/>
      <c r="C22" s="157"/>
      <c r="D22" s="158"/>
      <c r="E22" s="163"/>
      <c r="F22" s="132"/>
      <c r="G22" s="132"/>
      <c r="H22" s="132"/>
      <c r="I22" s="132"/>
      <c r="J22" s="41" t="s">
        <v>130</v>
      </c>
      <c r="K22" s="71"/>
      <c r="L22" s="71"/>
      <c r="M22" s="71" t="str">
        <f t="shared" si="0"/>
        <v/>
      </c>
      <c r="N22" s="71" t="str">
        <f t="shared" si="1"/>
        <v/>
      </c>
      <c r="O22" s="39"/>
      <c r="P22" s="39"/>
      <c r="Q22" s="39"/>
      <c r="R22" s="39"/>
      <c r="S22" s="40"/>
      <c r="T22" s="40"/>
      <c r="U22" s="39" t="str">
        <f t="shared" si="2"/>
        <v/>
      </c>
      <c r="V22" s="39"/>
      <c r="W22" s="154"/>
      <c r="X22" s="154"/>
      <c r="Y22" s="154"/>
    </row>
    <row r="23" spans="1:28" ht="18" customHeight="1" x14ac:dyDescent="0.2">
      <c r="A23" s="156"/>
      <c r="B23" s="133"/>
      <c r="C23" s="159"/>
      <c r="D23" s="160"/>
      <c r="E23" s="164"/>
      <c r="F23" s="133"/>
      <c r="G23" s="133"/>
      <c r="H23" s="133"/>
      <c r="I23" s="133"/>
      <c r="J23" s="41" t="s">
        <v>52</v>
      </c>
      <c r="K23" s="71"/>
      <c r="L23" s="71"/>
      <c r="M23" s="71" t="str">
        <f t="shared" si="0"/>
        <v/>
      </c>
      <c r="N23" s="71" t="str">
        <f t="shared" si="1"/>
        <v/>
      </c>
      <c r="O23" s="39"/>
      <c r="P23" s="39"/>
      <c r="Q23" s="39"/>
      <c r="R23" s="39"/>
      <c r="S23" s="40"/>
      <c r="T23" s="40"/>
      <c r="U23" s="39" t="str">
        <f t="shared" si="2"/>
        <v/>
      </c>
      <c r="V23" s="39"/>
      <c r="W23" s="154"/>
      <c r="X23" s="154"/>
      <c r="Y23" s="154"/>
    </row>
    <row r="24" spans="1:28" ht="18" customHeight="1" x14ac:dyDescent="0.2">
      <c r="A24" s="156"/>
      <c r="B24" s="133"/>
      <c r="C24" s="159"/>
      <c r="D24" s="160"/>
      <c r="E24" s="164"/>
      <c r="F24" s="133"/>
      <c r="G24" s="133"/>
      <c r="H24" s="133"/>
      <c r="I24" s="133"/>
      <c r="J24" s="41" t="s">
        <v>147</v>
      </c>
      <c r="K24" s="71"/>
      <c r="L24" s="71"/>
      <c r="M24" s="71" t="str">
        <f t="shared" si="0"/>
        <v/>
      </c>
      <c r="N24" s="71" t="str">
        <f t="shared" si="1"/>
        <v/>
      </c>
      <c r="O24" s="39"/>
      <c r="P24" s="39"/>
      <c r="Q24" s="39"/>
      <c r="R24" s="39"/>
      <c r="S24" s="40"/>
      <c r="T24" s="40"/>
      <c r="U24" s="39" t="str">
        <f t="shared" si="2"/>
        <v/>
      </c>
      <c r="V24" s="39"/>
      <c r="W24" s="154"/>
      <c r="X24" s="154"/>
      <c r="Y24" s="154"/>
    </row>
    <row r="25" spans="1:28" ht="18" customHeight="1" x14ac:dyDescent="0.2">
      <c r="A25" s="136"/>
      <c r="B25" s="134"/>
      <c r="C25" s="161"/>
      <c r="D25" s="162"/>
      <c r="E25" s="165"/>
      <c r="F25" s="134"/>
      <c r="G25" s="134"/>
      <c r="H25" s="134"/>
      <c r="I25" s="134"/>
      <c r="J25" s="41" t="s">
        <v>9</v>
      </c>
      <c r="K25" s="71"/>
      <c r="L25" s="71"/>
      <c r="M25" s="71" t="str">
        <f t="shared" si="0"/>
        <v/>
      </c>
      <c r="N25" s="71" t="str">
        <f t="shared" si="1"/>
        <v/>
      </c>
      <c r="O25" s="39"/>
      <c r="P25" s="39"/>
      <c r="Q25" s="39"/>
      <c r="R25" s="39"/>
      <c r="S25" s="40"/>
      <c r="T25" s="40"/>
      <c r="U25" s="39" t="str">
        <f t="shared" si="2"/>
        <v/>
      </c>
      <c r="V25" s="39"/>
      <c r="W25" s="155"/>
      <c r="X25" s="155"/>
      <c r="Y25" s="155"/>
    </row>
    <row r="26" spans="1:28" ht="18" customHeight="1" x14ac:dyDescent="0.2">
      <c r="A26" s="130" t="s">
        <v>56</v>
      </c>
      <c r="B26" s="141"/>
      <c r="C26" s="141"/>
      <c r="D26" s="141"/>
      <c r="E26" s="141"/>
      <c r="F26" s="141"/>
      <c r="G26" s="141"/>
      <c r="H26" s="141"/>
      <c r="I26" s="142"/>
      <c r="J26" s="41" t="s">
        <v>130</v>
      </c>
      <c r="K26" s="49"/>
      <c r="L26" s="50"/>
      <c r="M26" s="50"/>
      <c r="N26" s="71"/>
      <c r="O26" s="39"/>
      <c r="P26" s="166"/>
      <c r="Q26" s="51"/>
      <c r="R26" s="51"/>
      <c r="S26" s="52"/>
      <c r="T26" s="52"/>
      <c r="U26" s="53"/>
      <c r="V26" s="54"/>
      <c r="W26" s="145"/>
      <c r="X26" s="146"/>
      <c r="Y26" s="147"/>
    </row>
    <row r="27" spans="1:28" ht="18" customHeight="1" x14ac:dyDescent="0.2">
      <c r="A27" s="131"/>
      <c r="B27" s="116"/>
      <c r="C27" s="116"/>
      <c r="D27" s="116"/>
      <c r="E27" s="116"/>
      <c r="F27" s="116"/>
      <c r="G27" s="116"/>
      <c r="H27" s="116"/>
      <c r="I27" s="143"/>
      <c r="J27" s="41" t="s">
        <v>52</v>
      </c>
      <c r="K27" s="49"/>
      <c r="L27" s="50"/>
      <c r="M27" s="50"/>
      <c r="N27" s="71"/>
      <c r="O27" s="39"/>
      <c r="P27" s="167"/>
      <c r="Q27" s="51"/>
      <c r="R27" s="51"/>
      <c r="S27" s="52"/>
      <c r="T27" s="52"/>
      <c r="U27" s="53"/>
      <c r="V27" s="54"/>
      <c r="W27" s="148"/>
      <c r="X27" s="149"/>
      <c r="Y27" s="150"/>
    </row>
    <row r="28" spans="1:28" ht="18" customHeight="1" x14ac:dyDescent="0.2">
      <c r="A28" s="131"/>
      <c r="B28" s="116"/>
      <c r="C28" s="116"/>
      <c r="D28" s="116"/>
      <c r="E28" s="116"/>
      <c r="F28" s="116"/>
      <c r="G28" s="116"/>
      <c r="H28" s="116"/>
      <c r="I28" s="143"/>
      <c r="J28" s="41" t="s">
        <v>147</v>
      </c>
      <c r="K28" s="49"/>
      <c r="L28" s="50"/>
      <c r="M28" s="50"/>
      <c r="N28" s="71"/>
      <c r="O28" s="39"/>
      <c r="P28" s="167"/>
      <c r="Q28" s="51"/>
      <c r="R28" s="51"/>
      <c r="S28" s="52"/>
      <c r="T28" s="52"/>
      <c r="U28" s="53"/>
      <c r="V28" s="54"/>
      <c r="W28" s="148"/>
      <c r="X28" s="149"/>
      <c r="Y28" s="150"/>
    </row>
    <row r="29" spans="1:28" ht="18" customHeight="1" x14ac:dyDescent="0.2">
      <c r="A29" s="127"/>
      <c r="B29" s="144"/>
      <c r="C29" s="144"/>
      <c r="D29" s="144"/>
      <c r="E29" s="144"/>
      <c r="F29" s="144"/>
      <c r="G29" s="144"/>
      <c r="H29" s="144"/>
      <c r="I29" s="128"/>
      <c r="J29" s="41" t="s">
        <v>9</v>
      </c>
      <c r="K29" s="49"/>
      <c r="L29" s="50"/>
      <c r="M29" s="50"/>
      <c r="N29" s="71"/>
      <c r="O29" s="39"/>
      <c r="P29" s="168"/>
      <c r="Q29" s="51"/>
      <c r="R29" s="51"/>
      <c r="S29" s="52"/>
      <c r="T29" s="52"/>
      <c r="U29" s="53"/>
      <c r="V29" s="54"/>
      <c r="W29" s="151"/>
      <c r="X29" s="152"/>
      <c r="Y29" s="153"/>
    </row>
    <row r="30" spans="1:28" ht="15" customHeight="1" x14ac:dyDescent="0.2">
      <c r="A30" s="129" t="s">
        <v>10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38"/>
      <c r="X30" s="138"/>
      <c r="Y30" s="138"/>
    </row>
    <row r="31" spans="1:28" ht="15" customHeight="1" x14ac:dyDescent="0.2">
      <c r="A31" s="129" t="s">
        <v>2</v>
      </c>
      <c r="B31" s="129"/>
      <c r="C31" s="129"/>
      <c r="D31" s="129"/>
      <c r="E31" s="129"/>
      <c r="F31" s="129" t="s">
        <v>11</v>
      </c>
      <c r="G31" s="129"/>
      <c r="H31" s="129"/>
      <c r="I31" s="129"/>
      <c r="J31" s="129"/>
      <c r="K31" s="139" t="s">
        <v>0</v>
      </c>
      <c r="L31" s="140"/>
      <c r="M31" s="129" t="s">
        <v>2</v>
      </c>
      <c r="N31" s="129"/>
      <c r="O31" s="129"/>
      <c r="P31" s="129"/>
      <c r="Q31" s="129" t="s">
        <v>11</v>
      </c>
      <c r="R31" s="129"/>
      <c r="S31" s="129"/>
      <c r="T31" s="129"/>
      <c r="U31" s="129"/>
      <c r="V31" s="129"/>
      <c r="W31" s="139" t="s">
        <v>0</v>
      </c>
      <c r="X31" s="140"/>
      <c r="Y31" s="36"/>
    </row>
    <row r="32" spans="1:28" s="31" customFormat="1" ht="38.25" customHeight="1" x14ac:dyDescent="0.2">
      <c r="A32" s="56" t="s">
        <v>12</v>
      </c>
      <c r="B32" s="56" t="s">
        <v>131</v>
      </c>
      <c r="C32" s="77" t="s">
        <v>119</v>
      </c>
      <c r="D32" s="58" t="s">
        <v>115</v>
      </c>
      <c r="E32" s="55" t="s">
        <v>132</v>
      </c>
      <c r="F32" s="56" t="s">
        <v>123</v>
      </c>
      <c r="G32" s="56" t="s">
        <v>124</v>
      </c>
      <c r="H32" s="57" t="s">
        <v>125</v>
      </c>
      <c r="I32" s="57" t="s">
        <v>8</v>
      </c>
      <c r="J32" s="55" t="s">
        <v>126</v>
      </c>
      <c r="K32" s="57" t="s">
        <v>127</v>
      </c>
      <c r="L32" s="57" t="s">
        <v>128</v>
      </c>
      <c r="M32" s="56" t="s">
        <v>12</v>
      </c>
      <c r="N32" s="56" t="s">
        <v>131</v>
      </c>
      <c r="O32" s="77" t="s">
        <v>119</v>
      </c>
      <c r="P32" s="55" t="s">
        <v>132</v>
      </c>
      <c r="Q32" s="56" t="s">
        <v>123</v>
      </c>
      <c r="R32" s="56" t="s">
        <v>124</v>
      </c>
      <c r="S32" s="57" t="s">
        <v>125</v>
      </c>
      <c r="T32" s="57" t="s">
        <v>8</v>
      </c>
      <c r="U32" s="57" t="s">
        <v>126</v>
      </c>
      <c r="V32" s="55" t="s">
        <v>127</v>
      </c>
      <c r="W32" s="57" t="s">
        <v>126</v>
      </c>
      <c r="X32" s="62" t="s">
        <v>128</v>
      </c>
      <c r="Y32" s="47" t="s">
        <v>55</v>
      </c>
      <c r="Z32" s="29"/>
      <c r="AA32" s="30"/>
      <c r="AB32" s="30"/>
    </row>
    <row r="33" spans="1:25" ht="22.5" customHeight="1" x14ac:dyDescent="0.2">
      <c r="A33" s="121" t="s">
        <v>133</v>
      </c>
      <c r="B33" s="132" t="str">
        <f>IF('PCE VI'!O18="","",'PCE VI'!O18)</f>
        <v/>
      </c>
      <c r="C33" s="135"/>
      <c r="D33" s="47"/>
      <c r="E33" s="35" t="s">
        <v>134</v>
      </c>
      <c r="F33" s="71"/>
      <c r="G33" s="71"/>
      <c r="H33" s="71" t="str">
        <f t="shared" ref="H33:H42" si="3">IF(G33="","",G33-F33)</f>
        <v/>
      </c>
      <c r="I33" s="71" t="str">
        <f t="shared" ref="I33:I42" si="4">IF(G33="","",((G33+F33)/2))</f>
        <v/>
      </c>
      <c r="J33" s="41"/>
      <c r="K33" s="39"/>
      <c r="L33" s="39"/>
      <c r="M33" s="121" t="s">
        <v>135</v>
      </c>
      <c r="N33" s="132" t="str">
        <f>IF('PCE VI'!O20="","",'PCE VI'!O20)</f>
        <v/>
      </c>
      <c r="O33" s="135"/>
      <c r="P33" s="35" t="s">
        <v>134</v>
      </c>
      <c r="Q33" s="71"/>
      <c r="R33" s="71"/>
      <c r="S33" s="71" t="str">
        <f>IF(R33="","",R33-Q33)</f>
        <v/>
      </c>
      <c r="T33" s="71" t="str">
        <f>IF(R33="","",((R33+Q33)/2))</f>
        <v/>
      </c>
      <c r="U33" s="39"/>
      <c r="V33" s="41"/>
      <c r="W33" s="39"/>
      <c r="X33" s="47"/>
      <c r="Y33" s="39"/>
    </row>
    <row r="34" spans="1:25" ht="22.5" customHeight="1" x14ac:dyDescent="0.2">
      <c r="A34" s="121"/>
      <c r="B34" s="133"/>
      <c r="C34" s="136"/>
      <c r="D34" s="47"/>
      <c r="E34" s="35" t="s">
        <v>136</v>
      </c>
      <c r="F34" s="71"/>
      <c r="G34" s="71"/>
      <c r="H34" s="71" t="str">
        <f t="shared" si="3"/>
        <v/>
      </c>
      <c r="I34" s="71" t="str">
        <f t="shared" si="4"/>
        <v/>
      </c>
      <c r="J34" s="41"/>
      <c r="K34" s="39"/>
      <c r="L34" s="39"/>
      <c r="M34" s="121"/>
      <c r="N34" s="133"/>
      <c r="O34" s="136"/>
      <c r="P34" s="35" t="s">
        <v>136</v>
      </c>
      <c r="Q34" s="71"/>
      <c r="R34" s="71"/>
      <c r="S34" s="71" t="str">
        <f t="shared" ref="S34:S42" si="5">IF(R34="","",R34-Q34)</f>
        <v/>
      </c>
      <c r="T34" s="71" t="str">
        <f t="shared" ref="T34:T42" si="6">IF(R34="","",((R34+Q34)/2))</f>
        <v/>
      </c>
      <c r="U34" s="39"/>
      <c r="V34" s="41"/>
      <c r="W34" s="39"/>
      <c r="X34" s="47"/>
      <c r="Y34" s="39"/>
    </row>
    <row r="35" spans="1:25" ht="22.5" customHeight="1" x14ac:dyDescent="0.2">
      <c r="A35" s="121"/>
      <c r="B35" s="133"/>
      <c r="C35" s="135"/>
      <c r="D35" s="47"/>
      <c r="E35" s="35" t="s">
        <v>54</v>
      </c>
      <c r="F35" s="71"/>
      <c r="G35" s="71"/>
      <c r="H35" s="71" t="str">
        <f t="shared" si="3"/>
        <v/>
      </c>
      <c r="I35" s="71" t="str">
        <f t="shared" si="4"/>
        <v/>
      </c>
      <c r="J35" s="41"/>
      <c r="K35" s="39"/>
      <c r="L35" s="39"/>
      <c r="M35" s="121"/>
      <c r="N35" s="133"/>
      <c r="O35" s="135"/>
      <c r="P35" s="35" t="s">
        <v>54</v>
      </c>
      <c r="Q35" s="71"/>
      <c r="R35" s="71"/>
      <c r="S35" s="71" t="str">
        <f t="shared" si="5"/>
        <v/>
      </c>
      <c r="T35" s="71" t="str">
        <f t="shared" si="6"/>
        <v/>
      </c>
      <c r="U35" s="39"/>
      <c r="V35" s="41"/>
      <c r="W35" s="39"/>
      <c r="X35" s="47"/>
      <c r="Y35" s="39"/>
    </row>
    <row r="36" spans="1:25" ht="22.5" customHeight="1" x14ac:dyDescent="0.2">
      <c r="A36" s="121"/>
      <c r="B36" s="133"/>
      <c r="C36" s="136"/>
      <c r="D36" s="47"/>
      <c r="E36" s="35" t="s">
        <v>137</v>
      </c>
      <c r="F36" s="71"/>
      <c r="G36" s="71"/>
      <c r="H36" s="71" t="str">
        <f t="shared" si="3"/>
        <v/>
      </c>
      <c r="I36" s="71" t="str">
        <f t="shared" si="4"/>
        <v/>
      </c>
      <c r="J36" s="41"/>
      <c r="K36" s="39"/>
      <c r="L36" s="39"/>
      <c r="M36" s="121"/>
      <c r="N36" s="133"/>
      <c r="O36" s="136"/>
      <c r="P36" s="35" t="s">
        <v>137</v>
      </c>
      <c r="Q36" s="71"/>
      <c r="R36" s="71"/>
      <c r="S36" s="71" t="str">
        <f t="shared" si="5"/>
        <v/>
      </c>
      <c r="T36" s="71" t="str">
        <f t="shared" si="6"/>
        <v/>
      </c>
      <c r="U36" s="39"/>
      <c r="V36" s="41"/>
      <c r="W36" s="39"/>
      <c r="X36" s="47"/>
      <c r="Y36" s="39"/>
    </row>
    <row r="37" spans="1:25" ht="22.5" customHeight="1" x14ac:dyDescent="0.2">
      <c r="A37" s="121"/>
      <c r="B37" s="134"/>
      <c r="C37" s="52"/>
      <c r="D37" s="47"/>
      <c r="E37" s="35" t="s">
        <v>138</v>
      </c>
      <c r="F37" s="71"/>
      <c r="G37" s="71"/>
      <c r="H37" s="71" t="str">
        <f t="shared" si="3"/>
        <v/>
      </c>
      <c r="I37" s="71" t="str">
        <f t="shared" si="4"/>
        <v/>
      </c>
      <c r="J37" s="41"/>
      <c r="K37" s="39"/>
      <c r="L37" s="39"/>
      <c r="M37" s="121"/>
      <c r="N37" s="134"/>
      <c r="O37" s="52"/>
      <c r="P37" s="35" t="s">
        <v>138</v>
      </c>
      <c r="Q37" s="71"/>
      <c r="R37" s="71"/>
      <c r="S37" s="71" t="str">
        <f t="shared" si="5"/>
        <v/>
      </c>
      <c r="T37" s="71" t="str">
        <f t="shared" si="6"/>
        <v/>
      </c>
      <c r="U37" s="39"/>
      <c r="V37" s="41"/>
      <c r="W37" s="39"/>
      <c r="X37" s="47"/>
      <c r="Y37" s="39"/>
    </row>
    <row r="38" spans="1:25" ht="22.5" customHeight="1" x14ac:dyDescent="0.2">
      <c r="A38" s="130" t="s">
        <v>139</v>
      </c>
      <c r="B38" s="132" t="str">
        <f>IF('PCE VI'!O19="","",'PCE VI'!O19)</f>
        <v/>
      </c>
      <c r="C38" s="135"/>
      <c r="D38" s="47"/>
      <c r="E38" s="35" t="s">
        <v>134</v>
      </c>
      <c r="F38" s="71"/>
      <c r="G38" s="71"/>
      <c r="H38" s="71" t="str">
        <f t="shared" si="3"/>
        <v/>
      </c>
      <c r="I38" s="71" t="str">
        <f t="shared" si="4"/>
        <v/>
      </c>
      <c r="J38" s="41"/>
      <c r="K38" s="39"/>
      <c r="L38" s="39"/>
      <c r="M38" s="130" t="s">
        <v>5</v>
      </c>
      <c r="N38" s="137" t="str">
        <f>IF('PCE VI'!O21="","",'PCE VI'!O21)</f>
        <v/>
      </c>
      <c r="O38" s="135"/>
      <c r="P38" s="35" t="s">
        <v>134</v>
      </c>
      <c r="Q38" s="71"/>
      <c r="R38" s="71"/>
      <c r="S38" s="71" t="str">
        <f t="shared" si="5"/>
        <v/>
      </c>
      <c r="T38" s="71" t="str">
        <f t="shared" si="6"/>
        <v/>
      </c>
      <c r="U38" s="39"/>
      <c r="V38" s="41"/>
      <c r="W38" s="39"/>
      <c r="X38" s="47"/>
      <c r="Y38" s="39"/>
    </row>
    <row r="39" spans="1:25" ht="22.5" customHeight="1" x14ac:dyDescent="0.2">
      <c r="A39" s="131"/>
      <c r="B39" s="133"/>
      <c r="C39" s="136"/>
      <c r="D39" s="47"/>
      <c r="E39" s="35" t="s">
        <v>136</v>
      </c>
      <c r="F39" s="71"/>
      <c r="G39" s="71"/>
      <c r="H39" s="71" t="str">
        <f t="shared" si="3"/>
        <v/>
      </c>
      <c r="I39" s="71" t="str">
        <f t="shared" si="4"/>
        <v/>
      </c>
      <c r="J39" s="41"/>
      <c r="K39" s="39"/>
      <c r="L39" s="39"/>
      <c r="M39" s="131"/>
      <c r="N39" s="137"/>
      <c r="O39" s="136"/>
      <c r="P39" s="35" t="s">
        <v>136</v>
      </c>
      <c r="Q39" s="71"/>
      <c r="R39" s="71"/>
      <c r="S39" s="71" t="str">
        <f t="shared" si="5"/>
        <v/>
      </c>
      <c r="T39" s="71" t="str">
        <f t="shared" si="6"/>
        <v/>
      </c>
      <c r="U39" s="39"/>
      <c r="V39" s="41"/>
      <c r="W39" s="39"/>
      <c r="X39" s="47"/>
      <c r="Y39" s="39"/>
    </row>
    <row r="40" spans="1:25" ht="22.5" customHeight="1" x14ac:dyDescent="0.2">
      <c r="A40" s="131"/>
      <c r="B40" s="133"/>
      <c r="C40" s="135"/>
      <c r="D40" s="47"/>
      <c r="E40" s="35" t="s">
        <v>54</v>
      </c>
      <c r="F40" s="71"/>
      <c r="G40" s="71"/>
      <c r="H40" s="71" t="str">
        <f t="shared" si="3"/>
        <v/>
      </c>
      <c r="I40" s="71" t="str">
        <f t="shared" si="4"/>
        <v/>
      </c>
      <c r="J40" s="42"/>
      <c r="K40" s="39"/>
      <c r="L40" s="39"/>
      <c r="M40" s="131"/>
      <c r="N40" s="137"/>
      <c r="O40" s="135"/>
      <c r="P40" s="35" t="s">
        <v>54</v>
      </c>
      <c r="Q40" s="71"/>
      <c r="R40" s="71"/>
      <c r="S40" s="71" t="str">
        <f t="shared" si="5"/>
        <v/>
      </c>
      <c r="T40" s="71" t="str">
        <f t="shared" si="6"/>
        <v/>
      </c>
      <c r="U40" s="39"/>
      <c r="V40" s="42"/>
      <c r="W40" s="39"/>
      <c r="X40" s="47"/>
      <c r="Y40" s="39"/>
    </row>
    <row r="41" spans="1:25" ht="22.5" customHeight="1" x14ac:dyDescent="0.2">
      <c r="A41" s="131"/>
      <c r="B41" s="133"/>
      <c r="C41" s="136"/>
      <c r="D41" s="47"/>
      <c r="E41" s="35" t="s">
        <v>137</v>
      </c>
      <c r="F41" s="71"/>
      <c r="G41" s="71"/>
      <c r="H41" s="71" t="str">
        <f t="shared" si="3"/>
        <v/>
      </c>
      <c r="I41" s="71" t="str">
        <f t="shared" si="4"/>
        <v/>
      </c>
      <c r="J41" s="42"/>
      <c r="K41" s="39"/>
      <c r="L41" s="39"/>
      <c r="M41" s="131"/>
      <c r="N41" s="137"/>
      <c r="O41" s="136"/>
      <c r="P41" s="35" t="s">
        <v>137</v>
      </c>
      <c r="Q41" s="71"/>
      <c r="R41" s="71"/>
      <c r="S41" s="71" t="str">
        <f t="shared" si="5"/>
        <v/>
      </c>
      <c r="T41" s="71" t="str">
        <f t="shared" si="6"/>
        <v/>
      </c>
      <c r="U41" s="39"/>
      <c r="V41" s="42"/>
      <c r="W41" s="39"/>
      <c r="X41" s="47"/>
      <c r="Y41" s="39"/>
    </row>
    <row r="42" spans="1:25" ht="22.5" customHeight="1" x14ac:dyDescent="0.2">
      <c r="A42" s="127"/>
      <c r="B42" s="134"/>
      <c r="C42" s="52"/>
      <c r="D42" s="47"/>
      <c r="E42" s="35" t="s">
        <v>138</v>
      </c>
      <c r="F42" s="71"/>
      <c r="G42" s="71"/>
      <c r="H42" s="71" t="str">
        <f t="shared" si="3"/>
        <v/>
      </c>
      <c r="I42" s="71" t="str">
        <f t="shared" si="4"/>
        <v/>
      </c>
      <c r="J42" s="42"/>
      <c r="K42" s="39"/>
      <c r="L42" s="39"/>
      <c r="M42" s="127"/>
      <c r="N42" s="137"/>
      <c r="O42" s="52"/>
      <c r="P42" s="35" t="s">
        <v>138</v>
      </c>
      <c r="Q42" s="71"/>
      <c r="R42" s="71"/>
      <c r="S42" s="71" t="str">
        <f t="shared" si="5"/>
        <v/>
      </c>
      <c r="T42" s="71" t="str">
        <f t="shared" si="6"/>
        <v/>
      </c>
      <c r="U42" s="39"/>
      <c r="V42" s="42"/>
      <c r="W42" s="39"/>
      <c r="X42" s="47"/>
      <c r="Y42" s="39"/>
    </row>
    <row r="43" spans="1:25" ht="15" customHeight="1" x14ac:dyDescent="0.2">
      <c r="A43" s="129" t="s">
        <v>13</v>
      </c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</row>
    <row r="44" spans="1:25" ht="20.25" customHeight="1" x14ac:dyDescent="0.2">
      <c r="A44" s="37">
        <v>1</v>
      </c>
      <c r="B44" s="127" t="s">
        <v>140</v>
      </c>
      <c r="C44" s="128"/>
      <c r="D44" s="47" t="s">
        <v>156</v>
      </c>
      <c r="E44" s="112" t="s">
        <v>157</v>
      </c>
      <c r="F44" s="117"/>
      <c r="G44" s="113" t="s">
        <v>158</v>
      </c>
      <c r="H44" s="117"/>
      <c r="I44" s="47" t="s">
        <v>19</v>
      </c>
      <c r="J44" s="47" t="s">
        <v>20</v>
      </c>
      <c r="K44" s="47" t="s">
        <v>21</v>
      </c>
      <c r="L44" s="47" t="s">
        <v>22</v>
      </c>
      <c r="M44" s="47" t="s">
        <v>23</v>
      </c>
      <c r="N44" s="47" t="s">
        <v>24</v>
      </c>
      <c r="O44" s="47" t="s">
        <v>25</v>
      </c>
      <c r="P44" s="47" t="s">
        <v>26</v>
      </c>
      <c r="Q44" s="47" t="s">
        <v>159</v>
      </c>
      <c r="R44" s="47" t="s">
        <v>160</v>
      </c>
      <c r="S44" s="47"/>
      <c r="T44" s="47"/>
      <c r="U44" s="47"/>
      <c r="V44" s="47"/>
      <c r="W44" s="47"/>
      <c r="X44" s="47"/>
      <c r="Y44" s="46"/>
    </row>
    <row r="45" spans="1:25" ht="20.25" customHeight="1" x14ac:dyDescent="0.2">
      <c r="A45" s="39"/>
      <c r="B45" s="112" t="s">
        <v>141</v>
      </c>
      <c r="C45" s="117"/>
      <c r="D45" s="39"/>
      <c r="E45" s="110"/>
      <c r="F45" s="124"/>
      <c r="G45" s="110"/>
      <c r="H45" s="124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63"/>
      <c r="T45" s="63"/>
      <c r="U45" s="63"/>
      <c r="V45" s="63"/>
      <c r="W45" s="63"/>
      <c r="X45" s="63"/>
      <c r="Y45" s="63"/>
    </row>
    <row r="46" spans="1:25" ht="20.25" customHeight="1" x14ac:dyDescent="0.2">
      <c r="A46" s="37">
        <v>2</v>
      </c>
      <c r="B46" s="127" t="s">
        <v>142</v>
      </c>
      <c r="C46" s="128"/>
      <c r="D46" s="47" t="s">
        <v>156</v>
      </c>
      <c r="E46" s="112" t="s">
        <v>157</v>
      </c>
      <c r="F46" s="117"/>
      <c r="G46" s="113" t="s">
        <v>158</v>
      </c>
      <c r="H46" s="117"/>
      <c r="I46" s="47" t="s">
        <v>19</v>
      </c>
      <c r="J46" s="47" t="s">
        <v>20</v>
      </c>
      <c r="K46" s="47" t="s">
        <v>21</v>
      </c>
      <c r="L46" s="47" t="s">
        <v>22</v>
      </c>
      <c r="M46" s="47" t="s">
        <v>23</v>
      </c>
      <c r="N46" s="47" t="s">
        <v>24</v>
      </c>
      <c r="O46" s="47" t="s">
        <v>25</v>
      </c>
      <c r="P46" s="47" t="s">
        <v>26</v>
      </c>
      <c r="Q46" s="47" t="s">
        <v>159</v>
      </c>
      <c r="R46" s="47" t="s">
        <v>160</v>
      </c>
      <c r="S46" s="47"/>
      <c r="T46" s="47"/>
      <c r="U46" s="47"/>
      <c r="V46" s="47"/>
      <c r="W46" s="47"/>
      <c r="X46" s="47"/>
      <c r="Y46" s="46"/>
    </row>
    <row r="47" spans="1:25" ht="20.25" customHeight="1" x14ac:dyDescent="0.2">
      <c r="A47" s="39"/>
      <c r="B47" s="112" t="s">
        <v>141</v>
      </c>
      <c r="C47" s="117"/>
      <c r="D47" s="39"/>
      <c r="E47" s="120"/>
      <c r="F47" s="120"/>
      <c r="G47" s="120"/>
      <c r="H47" s="120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63"/>
      <c r="T47" s="63"/>
      <c r="U47" s="63"/>
      <c r="V47" s="63"/>
      <c r="W47" s="63"/>
      <c r="X47" s="63"/>
      <c r="Y47" s="63"/>
    </row>
    <row r="48" spans="1:25" ht="15" customHeight="1" x14ac:dyDescent="0.2">
      <c r="A48" s="47" t="s">
        <v>33</v>
      </c>
      <c r="B48" s="38" t="s">
        <v>3</v>
      </c>
      <c r="C48" s="125" t="s">
        <v>143</v>
      </c>
      <c r="D48" s="126"/>
      <c r="E48" s="47" t="s">
        <v>123</v>
      </c>
      <c r="F48" s="47" t="s">
        <v>124</v>
      </c>
      <c r="G48" s="48" t="s">
        <v>125</v>
      </c>
      <c r="H48" s="44" t="s">
        <v>126</v>
      </c>
      <c r="I48" s="47" t="s">
        <v>8</v>
      </c>
      <c r="J48" s="113" t="s">
        <v>115</v>
      </c>
      <c r="K48" s="113"/>
      <c r="L48" s="113"/>
      <c r="M48" s="113"/>
      <c r="N48" s="113"/>
      <c r="O48" s="113"/>
      <c r="P48" s="113"/>
      <c r="Q48" s="117"/>
      <c r="R48" s="122" t="s">
        <v>234</v>
      </c>
      <c r="S48" s="108"/>
      <c r="T48" s="123" t="s">
        <v>133</v>
      </c>
      <c r="U48" s="123"/>
      <c r="V48" s="113"/>
      <c r="W48" s="113"/>
      <c r="X48" s="113"/>
      <c r="Y48" s="117"/>
    </row>
    <row r="49" spans="1:28" ht="20.100000000000001" customHeight="1" x14ac:dyDescent="0.2">
      <c r="A49" s="47"/>
      <c r="B49" s="47" t="s">
        <v>17</v>
      </c>
      <c r="C49" s="114"/>
      <c r="D49" s="115"/>
      <c r="E49" s="76"/>
      <c r="F49" s="71"/>
      <c r="G49" s="71"/>
      <c r="H49" s="39"/>
      <c r="I49" s="71"/>
      <c r="J49" s="114"/>
      <c r="K49" s="118"/>
      <c r="L49" s="118"/>
      <c r="M49" s="118"/>
      <c r="N49" s="118"/>
      <c r="O49" s="118"/>
      <c r="P49" s="118"/>
      <c r="Q49" s="115"/>
      <c r="R49" s="40" t="str">
        <f>IF(S49="","","IR")</f>
        <v/>
      </c>
      <c r="S49" s="79"/>
      <c r="T49" s="113" t="s">
        <v>14</v>
      </c>
      <c r="U49" s="117"/>
      <c r="V49" s="120"/>
      <c r="W49" s="120"/>
      <c r="X49" s="120"/>
      <c r="Y49" s="120"/>
    </row>
    <row r="50" spans="1:28" ht="20.100000000000001" customHeight="1" x14ac:dyDescent="0.2">
      <c r="A50" s="47"/>
      <c r="B50" s="47" t="s">
        <v>18</v>
      </c>
      <c r="C50" s="114"/>
      <c r="D50" s="115"/>
      <c r="E50" s="76"/>
      <c r="F50" s="71"/>
      <c r="G50" s="71"/>
      <c r="H50" s="78"/>
      <c r="I50" s="71"/>
      <c r="J50" s="114"/>
      <c r="K50" s="118"/>
      <c r="L50" s="118"/>
      <c r="M50" s="118"/>
      <c r="N50" s="118"/>
      <c r="O50" s="118"/>
      <c r="P50" s="118"/>
      <c r="Q50" s="115"/>
      <c r="R50" s="110"/>
      <c r="S50" s="111"/>
      <c r="T50" s="108" t="s">
        <v>15</v>
      </c>
      <c r="U50" s="109"/>
      <c r="V50" s="120"/>
      <c r="W50" s="120"/>
      <c r="X50" s="120"/>
      <c r="Y50" s="120"/>
    </row>
    <row r="51" spans="1:28" ht="20.100000000000001" customHeight="1" x14ac:dyDescent="0.2">
      <c r="A51" s="47"/>
      <c r="B51" s="47" t="s">
        <v>19</v>
      </c>
      <c r="C51" s="114"/>
      <c r="D51" s="115"/>
      <c r="E51" s="76"/>
      <c r="F51" s="71"/>
      <c r="G51" s="71" t="str">
        <f t="shared" ref="G51:G65" si="7">IF(F51="","",F51-E51)</f>
        <v/>
      </c>
      <c r="H51" s="78"/>
      <c r="I51" s="71" t="str">
        <f t="shared" ref="I51:I65" si="8">IF(F51="","",((F51+E51)/2))</f>
        <v/>
      </c>
      <c r="J51" s="114"/>
      <c r="K51" s="118"/>
      <c r="L51" s="118"/>
      <c r="M51" s="118"/>
      <c r="N51" s="118"/>
      <c r="O51" s="118"/>
      <c r="P51" s="118"/>
      <c r="Q51" s="115"/>
      <c r="R51" s="112"/>
      <c r="S51" s="113"/>
      <c r="T51" s="108" t="s">
        <v>16</v>
      </c>
      <c r="U51" s="109"/>
      <c r="V51" s="120"/>
      <c r="W51" s="121"/>
      <c r="X51" s="121"/>
      <c r="Y51" s="121"/>
    </row>
    <row r="52" spans="1:28" ht="20.100000000000001" customHeight="1" x14ac:dyDescent="0.2">
      <c r="A52" s="47"/>
      <c r="B52" s="47" t="s">
        <v>20</v>
      </c>
      <c r="C52" s="114"/>
      <c r="D52" s="115"/>
      <c r="E52" s="76"/>
      <c r="F52" s="71"/>
      <c r="G52" s="71" t="str">
        <f t="shared" si="7"/>
        <v/>
      </c>
      <c r="H52" s="78"/>
      <c r="I52" s="71" t="str">
        <f t="shared" si="8"/>
        <v/>
      </c>
      <c r="J52" s="114"/>
      <c r="K52" s="118"/>
      <c r="L52" s="118"/>
      <c r="M52" s="118"/>
      <c r="N52" s="118"/>
      <c r="O52" s="118"/>
      <c r="P52" s="118"/>
      <c r="Q52" s="115"/>
      <c r="R52" s="122" t="s">
        <v>234</v>
      </c>
      <c r="S52" s="108"/>
      <c r="T52" s="123" t="s">
        <v>139</v>
      </c>
      <c r="U52" s="123"/>
      <c r="V52" s="113"/>
      <c r="W52" s="113"/>
      <c r="X52" s="113"/>
      <c r="Y52" s="117"/>
    </row>
    <row r="53" spans="1:28" ht="20.100000000000001" customHeight="1" x14ac:dyDescent="0.2">
      <c r="A53" s="47"/>
      <c r="B53" s="47" t="s">
        <v>21</v>
      </c>
      <c r="C53" s="114"/>
      <c r="D53" s="115"/>
      <c r="E53" s="76"/>
      <c r="F53" s="71"/>
      <c r="G53" s="71" t="str">
        <f t="shared" si="7"/>
        <v/>
      </c>
      <c r="H53" s="78"/>
      <c r="I53" s="71" t="str">
        <f t="shared" si="8"/>
        <v/>
      </c>
      <c r="J53" s="114"/>
      <c r="K53" s="118"/>
      <c r="L53" s="118"/>
      <c r="M53" s="118"/>
      <c r="N53" s="118"/>
      <c r="O53" s="118"/>
      <c r="P53" s="118"/>
      <c r="Q53" s="115"/>
      <c r="R53" s="40" t="str">
        <f>IF(S53="","","IR")</f>
        <v/>
      </c>
      <c r="S53" s="79"/>
      <c r="T53" s="113" t="s">
        <v>14</v>
      </c>
      <c r="U53" s="117"/>
      <c r="V53" s="120"/>
      <c r="W53" s="120"/>
      <c r="X53" s="120"/>
      <c r="Y53" s="120"/>
    </row>
    <row r="54" spans="1:28" ht="20.100000000000001" customHeight="1" x14ac:dyDescent="0.2">
      <c r="A54" s="47"/>
      <c r="B54" s="47" t="s">
        <v>22</v>
      </c>
      <c r="C54" s="114"/>
      <c r="D54" s="115"/>
      <c r="E54" s="76"/>
      <c r="F54" s="71"/>
      <c r="G54" s="71" t="str">
        <f t="shared" si="7"/>
        <v/>
      </c>
      <c r="H54" s="78"/>
      <c r="I54" s="71" t="str">
        <f t="shared" si="8"/>
        <v/>
      </c>
      <c r="J54" s="114"/>
      <c r="K54" s="118"/>
      <c r="L54" s="118"/>
      <c r="M54" s="118"/>
      <c r="N54" s="118"/>
      <c r="O54" s="118"/>
      <c r="P54" s="118"/>
      <c r="Q54" s="115"/>
      <c r="R54" s="110"/>
      <c r="S54" s="111"/>
      <c r="T54" s="108" t="s">
        <v>15</v>
      </c>
      <c r="U54" s="109"/>
      <c r="V54" s="110"/>
      <c r="W54" s="111"/>
      <c r="X54" s="111"/>
      <c r="Y54" s="124"/>
    </row>
    <row r="55" spans="1:28" s="1" customFormat="1" ht="20.100000000000001" customHeight="1" x14ac:dyDescent="0.15">
      <c r="A55" s="47"/>
      <c r="B55" s="47" t="s">
        <v>23</v>
      </c>
      <c r="C55" s="114"/>
      <c r="D55" s="115"/>
      <c r="E55" s="76"/>
      <c r="F55" s="71"/>
      <c r="G55" s="71" t="str">
        <f t="shared" si="7"/>
        <v/>
      </c>
      <c r="H55" s="78"/>
      <c r="I55" s="71" t="str">
        <f t="shared" si="8"/>
        <v/>
      </c>
      <c r="J55" s="114"/>
      <c r="K55" s="118"/>
      <c r="L55" s="118"/>
      <c r="M55" s="118"/>
      <c r="N55" s="118"/>
      <c r="O55" s="118"/>
      <c r="P55" s="118"/>
      <c r="Q55" s="115"/>
      <c r="R55" s="112"/>
      <c r="S55" s="113"/>
      <c r="T55" s="108" t="s">
        <v>16</v>
      </c>
      <c r="U55" s="109"/>
      <c r="V55" s="120"/>
      <c r="W55" s="121"/>
      <c r="X55" s="121"/>
      <c r="Y55" s="121"/>
      <c r="AA55" s="2"/>
      <c r="AB55" s="2"/>
    </row>
    <row r="56" spans="1:28" s="1" customFormat="1" ht="20.100000000000001" customHeight="1" x14ac:dyDescent="0.15">
      <c r="A56" s="47"/>
      <c r="B56" s="47" t="s">
        <v>24</v>
      </c>
      <c r="C56" s="114"/>
      <c r="D56" s="115"/>
      <c r="E56" s="76"/>
      <c r="F56" s="71"/>
      <c r="G56" s="71" t="str">
        <f t="shared" si="7"/>
        <v/>
      </c>
      <c r="H56" s="78"/>
      <c r="I56" s="71" t="str">
        <f t="shared" si="8"/>
        <v/>
      </c>
      <c r="J56" s="114"/>
      <c r="K56" s="118"/>
      <c r="L56" s="118"/>
      <c r="M56" s="118"/>
      <c r="N56" s="118"/>
      <c r="O56" s="118"/>
      <c r="P56" s="118"/>
      <c r="Q56" s="115"/>
      <c r="R56" s="119"/>
      <c r="S56" s="119"/>
      <c r="T56" s="119"/>
      <c r="U56" s="119"/>
      <c r="V56" s="116"/>
      <c r="W56" s="116"/>
      <c r="X56" s="116"/>
      <c r="Y56" s="116"/>
      <c r="AA56" s="2"/>
      <c r="AB56" s="2"/>
    </row>
    <row r="57" spans="1:28" s="1" customFormat="1" ht="20.100000000000001" customHeight="1" x14ac:dyDescent="0.15">
      <c r="A57" s="47"/>
      <c r="B57" s="47" t="s">
        <v>25</v>
      </c>
      <c r="C57" s="114"/>
      <c r="D57" s="115"/>
      <c r="E57" s="76"/>
      <c r="F57" s="71"/>
      <c r="G57" s="71" t="str">
        <f t="shared" si="7"/>
        <v/>
      </c>
      <c r="H57" s="78"/>
      <c r="I57" s="71" t="str">
        <f t="shared" si="8"/>
        <v/>
      </c>
      <c r="J57" s="114"/>
      <c r="K57" s="118"/>
      <c r="L57" s="118"/>
      <c r="M57" s="118"/>
      <c r="N57" s="118"/>
      <c r="O57" s="118"/>
      <c r="P57" s="118"/>
      <c r="Q57" s="115"/>
      <c r="R57" s="119"/>
      <c r="S57" s="119"/>
      <c r="T57" s="119"/>
      <c r="U57" s="119"/>
      <c r="V57" s="116"/>
      <c r="W57" s="116"/>
      <c r="X57" s="116"/>
      <c r="Y57" s="116"/>
      <c r="AA57" s="2"/>
      <c r="AB57" s="2"/>
    </row>
    <row r="58" spans="1:28" s="1" customFormat="1" ht="20.100000000000001" customHeight="1" x14ac:dyDescent="0.15">
      <c r="A58" s="47"/>
      <c r="B58" s="47" t="s">
        <v>26</v>
      </c>
      <c r="C58" s="114"/>
      <c r="D58" s="115"/>
      <c r="E58" s="76"/>
      <c r="F58" s="71"/>
      <c r="G58" s="71" t="str">
        <f t="shared" si="7"/>
        <v/>
      </c>
      <c r="H58" s="78"/>
      <c r="I58" s="71" t="str">
        <f t="shared" si="8"/>
        <v/>
      </c>
      <c r="J58" s="114"/>
      <c r="K58" s="118"/>
      <c r="L58" s="118"/>
      <c r="M58" s="118"/>
      <c r="N58" s="118"/>
      <c r="O58" s="118"/>
      <c r="P58" s="118"/>
      <c r="Q58" s="115"/>
      <c r="R58" s="119"/>
      <c r="S58" s="119"/>
      <c r="T58" s="119"/>
      <c r="U58" s="119"/>
      <c r="V58" s="116"/>
      <c r="W58" s="116"/>
      <c r="X58" s="116"/>
      <c r="Y58" s="116"/>
      <c r="AA58" s="2"/>
      <c r="AB58" s="2"/>
    </row>
    <row r="59" spans="1:28" s="1" customFormat="1" ht="20.100000000000001" customHeight="1" x14ac:dyDescent="0.15">
      <c r="A59" s="59"/>
      <c r="B59" s="112" t="s">
        <v>27</v>
      </c>
      <c r="C59" s="113"/>
      <c r="D59" s="117"/>
      <c r="E59" s="76"/>
      <c r="F59" s="71"/>
      <c r="G59" s="71" t="str">
        <f t="shared" si="7"/>
        <v/>
      </c>
      <c r="H59" s="78"/>
      <c r="I59" s="71" t="str">
        <f t="shared" si="8"/>
        <v/>
      </c>
      <c r="J59" s="114"/>
      <c r="K59" s="118"/>
      <c r="L59" s="118"/>
      <c r="M59" s="118"/>
      <c r="N59" s="118"/>
      <c r="O59" s="118"/>
      <c r="P59" s="118"/>
      <c r="Q59" s="115"/>
      <c r="R59" s="119"/>
      <c r="S59" s="119"/>
      <c r="T59" s="119"/>
      <c r="U59" s="119"/>
      <c r="V59" s="116"/>
      <c r="W59" s="116"/>
      <c r="X59" s="116"/>
      <c r="Y59" s="116"/>
      <c r="AA59" s="2"/>
      <c r="AB59" s="2"/>
    </row>
    <row r="60" spans="1:28" s="1" customFormat="1" ht="20.100000000000001" customHeight="1" x14ac:dyDescent="0.15">
      <c r="A60" s="59"/>
      <c r="B60" s="112" t="s">
        <v>144</v>
      </c>
      <c r="C60" s="113"/>
      <c r="D60" s="117"/>
      <c r="E60" s="76"/>
      <c r="F60" s="71"/>
      <c r="G60" s="71" t="str">
        <f t="shared" si="7"/>
        <v/>
      </c>
      <c r="H60" s="78"/>
      <c r="I60" s="71" t="str">
        <f t="shared" si="8"/>
        <v/>
      </c>
      <c r="J60" s="114"/>
      <c r="K60" s="118"/>
      <c r="L60" s="118"/>
      <c r="M60" s="118"/>
      <c r="N60" s="118"/>
      <c r="O60" s="118"/>
      <c r="P60" s="118"/>
      <c r="Q60" s="115"/>
      <c r="R60" s="119"/>
      <c r="S60" s="119"/>
      <c r="T60" s="119"/>
      <c r="U60" s="119"/>
      <c r="V60" s="116"/>
      <c r="W60" s="116"/>
      <c r="X60" s="116"/>
      <c r="Y60" s="116"/>
      <c r="AA60" s="2"/>
      <c r="AB60" s="2"/>
    </row>
    <row r="61" spans="1:28" s="1" customFormat="1" ht="20.100000000000001" customHeight="1" x14ac:dyDescent="0.15">
      <c r="A61" s="59"/>
      <c r="B61" s="112" t="s">
        <v>31</v>
      </c>
      <c r="C61" s="113"/>
      <c r="D61" s="117"/>
      <c r="E61" s="76"/>
      <c r="F61" s="71"/>
      <c r="G61" s="71" t="str">
        <f t="shared" si="7"/>
        <v/>
      </c>
      <c r="H61" s="78"/>
      <c r="I61" s="71" t="str">
        <f t="shared" si="8"/>
        <v/>
      </c>
      <c r="J61" s="114"/>
      <c r="K61" s="118"/>
      <c r="L61" s="118"/>
      <c r="M61" s="118"/>
      <c r="N61" s="118"/>
      <c r="O61" s="118"/>
      <c r="P61" s="118"/>
      <c r="Q61" s="115"/>
      <c r="R61" s="119"/>
      <c r="S61" s="119"/>
      <c r="T61" s="119"/>
      <c r="U61" s="119"/>
      <c r="V61" s="116"/>
      <c r="W61" s="116"/>
      <c r="X61" s="116"/>
      <c r="Y61" s="116"/>
      <c r="AA61" s="2"/>
      <c r="AB61" s="2"/>
    </row>
    <row r="62" spans="1:28" s="1" customFormat="1" ht="20.100000000000001" customHeight="1" x14ac:dyDescent="0.15">
      <c r="A62" s="59"/>
      <c r="B62" s="112" t="s">
        <v>29</v>
      </c>
      <c r="C62" s="113"/>
      <c r="D62" s="117"/>
      <c r="E62" s="76"/>
      <c r="F62" s="71"/>
      <c r="G62" s="71" t="str">
        <f t="shared" si="7"/>
        <v/>
      </c>
      <c r="H62" s="78"/>
      <c r="I62" s="71" t="str">
        <f t="shared" si="8"/>
        <v/>
      </c>
      <c r="J62" s="114"/>
      <c r="K62" s="118"/>
      <c r="L62" s="118"/>
      <c r="M62" s="118"/>
      <c r="N62" s="118"/>
      <c r="O62" s="118"/>
      <c r="P62" s="118"/>
      <c r="Q62" s="115"/>
      <c r="R62" s="119"/>
      <c r="S62" s="119"/>
      <c r="T62" s="119"/>
      <c r="U62" s="119"/>
      <c r="V62" s="116"/>
      <c r="W62" s="116"/>
      <c r="X62" s="116"/>
      <c r="Y62" s="116"/>
      <c r="AA62" s="2"/>
      <c r="AB62" s="2"/>
    </row>
    <row r="63" spans="1:28" s="1" customFormat="1" ht="20.100000000000001" customHeight="1" x14ac:dyDescent="0.15">
      <c r="A63" s="59"/>
      <c r="B63" s="112" t="s">
        <v>30</v>
      </c>
      <c r="C63" s="113"/>
      <c r="D63" s="117"/>
      <c r="E63" s="76"/>
      <c r="F63" s="71"/>
      <c r="G63" s="71" t="str">
        <f t="shared" si="7"/>
        <v/>
      </c>
      <c r="H63" s="78"/>
      <c r="I63" s="71" t="str">
        <f t="shared" si="8"/>
        <v/>
      </c>
      <c r="J63" s="114"/>
      <c r="K63" s="118"/>
      <c r="L63" s="118"/>
      <c r="M63" s="118"/>
      <c r="N63" s="118"/>
      <c r="O63" s="118"/>
      <c r="P63" s="118"/>
      <c r="Q63" s="115"/>
      <c r="R63" s="60"/>
      <c r="S63" s="60"/>
      <c r="T63" s="60"/>
      <c r="U63" s="60"/>
      <c r="V63" s="55"/>
      <c r="W63" s="55"/>
      <c r="X63" s="55"/>
      <c r="Y63" s="55"/>
      <c r="AA63" s="2"/>
      <c r="AB63" s="2"/>
    </row>
    <row r="64" spans="1:28" s="1" customFormat="1" ht="20.100000000000001" customHeight="1" x14ac:dyDescent="0.15">
      <c r="A64" s="59"/>
      <c r="B64" s="112" t="s">
        <v>149</v>
      </c>
      <c r="C64" s="113"/>
      <c r="D64" s="117"/>
      <c r="E64" s="76"/>
      <c r="F64" s="71"/>
      <c r="G64" s="71" t="str">
        <f t="shared" si="7"/>
        <v/>
      </c>
      <c r="H64" s="78"/>
      <c r="I64" s="71" t="str">
        <f t="shared" si="8"/>
        <v/>
      </c>
      <c r="J64" s="114"/>
      <c r="K64" s="118"/>
      <c r="L64" s="118"/>
      <c r="M64" s="118"/>
      <c r="N64" s="118"/>
      <c r="O64" s="118"/>
      <c r="P64" s="118"/>
      <c r="Q64" s="115"/>
      <c r="R64" s="60"/>
      <c r="S64" s="60"/>
      <c r="T64" s="60"/>
      <c r="U64" s="60"/>
      <c r="V64" s="55"/>
      <c r="W64" s="55"/>
      <c r="X64" s="55"/>
      <c r="Y64" s="55"/>
      <c r="AA64" s="2"/>
      <c r="AB64" s="2"/>
    </row>
    <row r="65" spans="1:28" s="1" customFormat="1" ht="20.100000000000001" customHeight="1" x14ac:dyDescent="0.15">
      <c r="A65" s="59"/>
      <c r="B65" s="112" t="s">
        <v>150</v>
      </c>
      <c r="C65" s="113"/>
      <c r="D65" s="117"/>
      <c r="E65" s="76"/>
      <c r="F65" s="71"/>
      <c r="G65" s="71" t="str">
        <f t="shared" si="7"/>
        <v/>
      </c>
      <c r="H65" s="78"/>
      <c r="I65" s="71" t="str">
        <f t="shared" si="8"/>
        <v/>
      </c>
      <c r="J65" s="114"/>
      <c r="K65" s="118"/>
      <c r="L65" s="118"/>
      <c r="M65" s="118"/>
      <c r="N65" s="118"/>
      <c r="O65" s="118"/>
      <c r="P65" s="118"/>
      <c r="Q65" s="115"/>
      <c r="R65" s="119"/>
      <c r="S65" s="119"/>
      <c r="T65" s="119"/>
      <c r="U65" s="119"/>
      <c r="V65" s="116"/>
      <c r="W65" s="116"/>
      <c r="X65" s="116"/>
      <c r="Y65" s="116"/>
      <c r="AA65" s="2"/>
      <c r="AB65" s="2"/>
    </row>
    <row r="66" spans="1:28" s="1" customFormat="1" ht="15" customHeight="1" x14ac:dyDescent="0.15">
      <c r="A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AA66" s="2"/>
      <c r="AB66" s="2"/>
    </row>
    <row r="68" spans="1:28" x14ac:dyDescent="0.2">
      <c r="B68" s="28" t="s">
        <v>152</v>
      </c>
      <c r="E68" s="4"/>
      <c r="F68" s="4" t="s">
        <v>245</v>
      </c>
      <c r="G68" s="4"/>
      <c r="P68" s="28" t="s">
        <v>151</v>
      </c>
      <c r="R68" s="3"/>
      <c r="U68" s="4"/>
      <c r="V68" s="4" t="s">
        <v>246</v>
      </c>
      <c r="W68" s="4"/>
      <c r="X68" s="4"/>
    </row>
    <row r="70" spans="1:28" x14ac:dyDescent="0.2">
      <c r="B70" s="28"/>
      <c r="P70" s="28"/>
    </row>
    <row r="71" spans="1:28" x14ac:dyDescent="0.2">
      <c r="Y71" s="32" t="s">
        <v>148</v>
      </c>
    </row>
  </sheetData>
  <mergeCells count="186">
    <mergeCell ref="W4:Y4"/>
    <mergeCell ref="V52:Y52"/>
    <mergeCell ref="A3:Y3"/>
    <mergeCell ref="A4:B4"/>
    <mergeCell ref="C4:I4"/>
    <mergeCell ref="J4:O4"/>
    <mergeCell ref="P4:V4"/>
    <mergeCell ref="A5:B5"/>
    <mergeCell ref="C5:I5"/>
    <mergeCell ref="J5:O5"/>
    <mergeCell ref="P5:Q5"/>
    <mergeCell ref="S5:V5"/>
    <mergeCell ref="A7:Y7"/>
    <mergeCell ref="A8:I8"/>
    <mergeCell ref="J8:P8"/>
    <mergeCell ref="Q8:S8"/>
    <mergeCell ref="T8:V8"/>
    <mergeCell ref="W8:Y9"/>
    <mergeCell ref="C9:D9"/>
    <mergeCell ref="W5:Y5"/>
    <mergeCell ref="A6:B6"/>
    <mergeCell ref="C6:I6"/>
    <mergeCell ref="J6:O6"/>
    <mergeCell ref="W6:Y6"/>
    <mergeCell ref="S6:T6"/>
    <mergeCell ref="U6:V6"/>
    <mergeCell ref="H10:H13"/>
    <mergeCell ref="I10:I13"/>
    <mergeCell ref="W10:Y10"/>
    <mergeCell ref="W11:Y11"/>
    <mergeCell ref="W12:Y12"/>
    <mergeCell ref="W13:Y13"/>
    <mergeCell ref="A10:A13"/>
    <mergeCell ref="B10:B13"/>
    <mergeCell ref="C10:D13"/>
    <mergeCell ref="E10:E13"/>
    <mergeCell ref="F10:F13"/>
    <mergeCell ref="G10:G13"/>
    <mergeCell ref="H14:H17"/>
    <mergeCell ref="I14:I17"/>
    <mergeCell ref="W14:Y14"/>
    <mergeCell ref="W15:Y15"/>
    <mergeCell ref="W16:Y16"/>
    <mergeCell ref="W17:Y17"/>
    <mergeCell ref="A14:A17"/>
    <mergeCell ref="B14:B17"/>
    <mergeCell ref="C14:D17"/>
    <mergeCell ref="E14:E17"/>
    <mergeCell ref="F14:F17"/>
    <mergeCell ref="G14:G17"/>
    <mergeCell ref="H18:H21"/>
    <mergeCell ref="I18:I21"/>
    <mergeCell ref="W18:Y18"/>
    <mergeCell ref="W19:Y19"/>
    <mergeCell ref="W20:Y20"/>
    <mergeCell ref="W21:Y21"/>
    <mergeCell ref="A18:A21"/>
    <mergeCell ref="B18:B21"/>
    <mergeCell ref="C18:D21"/>
    <mergeCell ref="E18:E21"/>
    <mergeCell ref="F18:F21"/>
    <mergeCell ref="G18:G21"/>
    <mergeCell ref="A26:I29"/>
    <mergeCell ref="W26:Y29"/>
    <mergeCell ref="H22:H25"/>
    <mergeCell ref="I22:I25"/>
    <mergeCell ref="W22:Y22"/>
    <mergeCell ref="W23:Y23"/>
    <mergeCell ref="W24:Y24"/>
    <mergeCell ref="W25:Y25"/>
    <mergeCell ref="A22:A25"/>
    <mergeCell ref="B22:B25"/>
    <mergeCell ref="C22:D25"/>
    <mergeCell ref="E22:E25"/>
    <mergeCell ref="F22:F25"/>
    <mergeCell ref="G22:G25"/>
    <mergeCell ref="P26:P29"/>
    <mergeCell ref="A33:A37"/>
    <mergeCell ref="B33:B37"/>
    <mergeCell ref="C33:C34"/>
    <mergeCell ref="M33:M37"/>
    <mergeCell ref="N33:N37"/>
    <mergeCell ref="O33:O34"/>
    <mergeCell ref="C35:C36"/>
    <mergeCell ref="O35:O36"/>
    <mergeCell ref="A30:Y30"/>
    <mergeCell ref="A31:E31"/>
    <mergeCell ref="F31:J31"/>
    <mergeCell ref="K31:L31"/>
    <mergeCell ref="M31:P31"/>
    <mergeCell ref="Q31:V31"/>
    <mergeCell ref="W31:X31"/>
    <mergeCell ref="A43:Y43"/>
    <mergeCell ref="B44:C44"/>
    <mergeCell ref="B45:C45"/>
    <mergeCell ref="A38:A42"/>
    <mergeCell ref="B38:B42"/>
    <mergeCell ref="C38:C39"/>
    <mergeCell ref="M38:M42"/>
    <mergeCell ref="N38:N42"/>
    <mergeCell ref="O38:O39"/>
    <mergeCell ref="C40:C41"/>
    <mergeCell ref="O40:O41"/>
    <mergeCell ref="E44:F44"/>
    <mergeCell ref="G44:H44"/>
    <mergeCell ref="E45:F45"/>
    <mergeCell ref="G45:H45"/>
    <mergeCell ref="C48:D48"/>
    <mergeCell ref="J48:Q48"/>
    <mergeCell ref="C49:D49"/>
    <mergeCell ref="J49:Q49"/>
    <mergeCell ref="V49:Y49"/>
    <mergeCell ref="B46:C46"/>
    <mergeCell ref="B47:C47"/>
    <mergeCell ref="E46:F46"/>
    <mergeCell ref="G46:H46"/>
    <mergeCell ref="E47:F47"/>
    <mergeCell ref="G47:H47"/>
    <mergeCell ref="R48:S48"/>
    <mergeCell ref="T48:U48"/>
    <mergeCell ref="V48:Y48"/>
    <mergeCell ref="T49:U49"/>
    <mergeCell ref="C50:D50"/>
    <mergeCell ref="J50:Q50"/>
    <mergeCell ref="V50:Y50"/>
    <mergeCell ref="C51:D51"/>
    <mergeCell ref="J51:Q51"/>
    <mergeCell ref="V51:Y51"/>
    <mergeCell ref="J55:Q55"/>
    <mergeCell ref="V55:Y55"/>
    <mergeCell ref="C52:D52"/>
    <mergeCell ref="J52:Q52"/>
    <mergeCell ref="C53:D53"/>
    <mergeCell ref="J53:Q53"/>
    <mergeCell ref="R52:S52"/>
    <mergeCell ref="T52:U52"/>
    <mergeCell ref="T50:U50"/>
    <mergeCell ref="R50:S50"/>
    <mergeCell ref="T53:U53"/>
    <mergeCell ref="V53:Y53"/>
    <mergeCell ref="V54:Y54"/>
    <mergeCell ref="C54:D54"/>
    <mergeCell ref="J54:Q54"/>
    <mergeCell ref="B65:D65"/>
    <mergeCell ref="J65:Q65"/>
    <mergeCell ref="R65:U65"/>
    <mergeCell ref="V65:Y65"/>
    <mergeCell ref="C58:D58"/>
    <mergeCell ref="J58:Q58"/>
    <mergeCell ref="R58:U58"/>
    <mergeCell ref="V58:Y58"/>
    <mergeCell ref="B59:D59"/>
    <mergeCell ref="J59:Q59"/>
    <mergeCell ref="R59:U59"/>
    <mergeCell ref="V59:Y59"/>
    <mergeCell ref="V60:Y60"/>
    <mergeCell ref="V61:Y61"/>
    <mergeCell ref="V62:Y62"/>
    <mergeCell ref="J63:Q63"/>
    <mergeCell ref="J64:Q64"/>
    <mergeCell ref="B63:D63"/>
    <mergeCell ref="B64:D64"/>
    <mergeCell ref="B60:D60"/>
    <mergeCell ref="B61:D61"/>
    <mergeCell ref="B62:D62"/>
    <mergeCell ref="J60:Q60"/>
    <mergeCell ref="J61:Q61"/>
    <mergeCell ref="J62:Q62"/>
    <mergeCell ref="R60:U60"/>
    <mergeCell ref="R61:U61"/>
    <mergeCell ref="J56:Q56"/>
    <mergeCell ref="J57:Q57"/>
    <mergeCell ref="R56:U56"/>
    <mergeCell ref="R57:U57"/>
    <mergeCell ref="R62:U62"/>
    <mergeCell ref="C56:D56"/>
    <mergeCell ref="C57:D57"/>
    <mergeCell ref="T54:U54"/>
    <mergeCell ref="R54:S54"/>
    <mergeCell ref="T51:U51"/>
    <mergeCell ref="R51:S51"/>
    <mergeCell ref="T55:U55"/>
    <mergeCell ref="R55:S55"/>
    <mergeCell ref="C55:D55"/>
    <mergeCell ref="V56:Y56"/>
    <mergeCell ref="V57:Y57"/>
  </mergeCells>
  <conditionalFormatting sqref="Y2">
    <cfRule type="cellIs" dxfId="1" priority="1" operator="equal">
      <formula>"MONITOR"</formula>
    </cfRule>
    <cfRule type="cellIs" dxfId="0" priority="2" operator="equal">
      <formula>"DEFECT"</formula>
    </cfRule>
  </conditionalFormatting>
  <dataValidations count="7">
    <dataValidation type="list" allowBlank="1" showInputMessage="1" showErrorMessage="1" sqref="Y2" xr:uid="{37F34F9A-821B-48DF-93A8-9DCB328E48C2}">
      <formula1>"NORMAL,DEFECT,MONITOR"</formula1>
    </dataValidation>
    <dataValidation type="list" allowBlank="1" showInputMessage="1" sqref="R48:S48 R52:S52" xr:uid="{4B09C5B3-7664-4D57-9FE5-501D3CA87563}">
      <formula1>"LVDB,FP"</formula1>
    </dataValidation>
    <dataValidation type="list" allowBlank="1" showInputMessage="1" showErrorMessage="1" sqref="T48:U48 T52:U52" xr:uid="{0DDB4221-D1BD-4466-A5D9-CC9A294EF20F}">
      <formula1>"TX1,TX2,TX3,TX4"</formula1>
    </dataValidation>
    <dataValidation type="list" allowBlank="1" showInputMessage="1" showErrorMessage="1" sqref="V48:Y48 V52:Y52" xr:uid="{4058432A-107F-4627-B6C7-F35C5CFAAF58}">
      <formula1>"J-SLOTTED,DIN TYPE"</formula1>
    </dataValidation>
    <dataValidation type="list" allowBlank="1" showInputMessage="1" sqref="G10:G25" xr:uid="{C2837FE6-BEF7-469B-BDD0-FC12CB8023B1}">
      <formula1>"XLPE,PILC,N/A,NOT ACCESSIBLE"</formula1>
    </dataValidation>
    <dataValidation type="list" allowBlank="1" showInputMessage="1" sqref="C33:C34 C38:C39 O33:O34 O38:O39" xr:uid="{C24B3C09-9899-4BD3-AEAB-FF20733B6F02}">
      <formula1>"XLPE,PILC"</formula1>
    </dataValidation>
    <dataValidation type="list" allowBlank="1" showInputMessage="1" sqref="C35:C36 C40:C41 O35:O36 O40:O41" xr:uid="{AAB66652-1CDD-4AD4-8AC3-6B756AC2B3E4}">
      <formula1>"XLPE,PILC,BUSBAR"</formula1>
    </dataValidation>
  </dataValidations>
  <printOptions horizontalCentered="1" verticalCentered="1"/>
  <pageMargins left="0" right="0" top="0" bottom="0" header="0" footer="0"/>
  <pageSetup scale="4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B34E2075-F53F-4BB0-9584-6E98F16D6578}">
          <x14:formula1>
            <xm:f>equipment_library!$O$2:$O$6</xm:f>
          </x14:formula1>
          <xm:sqref>V51:Y51 V55:Y55</xm:sqref>
        </x14:dataValidation>
        <x14:dataValidation type="list" allowBlank="1" showInputMessage="1" xr:uid="{E495163F-647B-4C77-8F3F-6D6A3E227A00}">
          <x14:formula1>
            <xm:f>equipment_library!$E$2:$E$6</xm:f>
          </x14:formula1>
          <xm:sqref>D45:R45 D47:R47</xm:sqref>
        </x14:dataValidation>
        <x14:dataValidation type="list" allowBlank="1" showInputMessage="1" xr:uid="{929CAD53-CA67-42FC-BB71-064009EB1B3D}">
          <x14:formula1>
            <xm:f>equipment_library!$C$2:$C$7</xm:f>
          </x14:formula1>
          <xm:sqref>E10:E25</xm:sqref>
        </x14:dataValidation>
        <x14:dataValidation type="list" allowBlank="1" showInputMessage="1" xr:uid="{FEF7D48E-2474-4F12-86A8-FF5FCD25650E}">
          <x14:formula1>
            <xm:f>equipment_library!$AG$2:$AG$31</xm:f>
          </x14:formula1>
          <xm:sqref>V49:Y49 V53:Y53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B1:P53"/>
  <sheetViews>
    <sheetView showGridLines="0" topLeftCell="A23" zoomScale="82" zoomScaleNormal="82" workbookViewId="0">
      <selection activeCell="E46" sqref="E46:N46"/>
    </sheetView>
  </sheetViews>
  <sheetFormatPr defaultRowHeight="15" x14ac:dyDescent="0.25"/>
  <cols>
    <col min="2" max="2" width="31.28515625" customWidth="1"/>
    <col min="6" max="6" width="11.42578125" customWidth="1"/>
    <col min="8" max="8" width="11.28515625" customWidth="1"/>
    <col min="10" max="10" width="18.140625" customWidth="1"/>
    <col min="11" max="13" width="9.140625" customWidth="1"/>
    <col min="14" max="14" width="10.85546875" customWidth="1"/>
    <col min="15" max="15" width="20.85546875" customWidth="1"/>
    <col min="258" max="258" width="31.28515625" customWidth="1"/>
    <col min="262" max="262" width="11.42578125" customWidth="1"/>
    <col min="264" max="264" width="11.28515625" customWidth="1"/>
    <col min="266" max="266" width="18.140625" customWidth="1"/>
    <col min="267" max="269" width="9.140625" customWidth="1"/>
    <col min="270" max="270" width="10.85546875" customWidth="1"/>
    <col min="271" max="271" width="20.85546875" customWidth="1"/>
    <col min="514" max="514" width="31.28515625" customWidth="1"/>
    <col min="518" max="518" width="11.42578125" customWidth="1"/>
    <col min="520" max="520" width="11.28515625" customWidth="1"/>
    <col min="522" max="522" width="18.140625" customWidth="1"/>
    <col min="523" max="525" width="9.140625" customWidth="1"/>
    <col min="526" max="526" width="10.85546875" customWidth="1"/>
    <col min="527" max="527" width="20.85546875" customWidth="1"/>
    <col min="770" max="770" width="31.28515625" customWidth="1"/>
    <col min="774" max="774" width="11.42578125" customWidth="1"/>
    <col min="776" max="776" width="11.28515625" customWidth="1"/>
    <col min="778" max="778" width="18.140625" customWidth="1"/>
    <col min="779" max="781" width="9.140625" customWidth="1"/>
    <col min="782" max="782" width="10.85546875" customWidth="1"/>
    <col min="783" max="783" width="20.85546875" customWidth="1"/>
    <col min="1026" max="1026" width="31.28515625" customWidth="1"/>
    <col min="1030" max="1030" width="11.42578125" customWidth="1"/>
    <col min="1032" max="1032" width="11.28515625" customWidth="1"/>
    <col min="1034" max="1034" width="18.140625" customWidth="1"/>
    <col min="1035" max="1037" width="9.140625" customWidth="1"/>
    <col min="1038" max="1038" width="10.85546875" customWidth="1"/>
    <col min="1039" max="1039" width="20.85546875" customWidth="1"/>
    <col min="1282" max="1282" width="31.28515625" customWidth="1"/>
    <col min="1286" max="1286" width="11.42578125" customWidth="1"/>
    <col min="1288" max="1288" width="11.28515625" customWidth="1"/>
    <col min="1290" max="1290" width="18.140625" customWidth="1"/>
    <col min="1291" max="1293" width="9.140625" customWidth="1"/>
    <col min="1294" max="1294" width="10.85546875" customWidth="1"/>
    <col min="1295" max="1295" width="20.85546875" customWidth="1"/>
    <col min="1538" max="1538" width="31.28515625" customWidth="1"/>
    <col min="1542" max="1542" width="11.42578125" customWidth="1"/>
    <col min="1544" max="1544" width="11.28515625" customWidth="1"/>
    <col min="1546" max="1546" width="18.140625" customWidth="1"/>
    <col min="1547" max="1549" width="9.140625" customWidth="1"/>
    <col min="1550" max="1550" width="10.85546875" customWidth="1"/>
    <col min="1551" max="1551" width="20.85546875" customWidth="1"/>
    <col min="1794" max="1794" width="31.28515625" customWidth="1"/>
    <col min="1798" max="1798" width="11.42578125" customWidth="1"/>
    <col min="1800" max="1800" width="11.28515625" customWidth="1"/>
    <col min="1802" max="1802" width="18.140625" customWidth="1"/>
    <col min="1803" max="1805" width="9.140625" customWidth="1"/>
    <col min="1806" max="1806" width="10.85546875" customWidth="1"/>
    <col min="1807" max="1807" width="20.85546875" customWidth="1"/>
    <col min="2050" max="2050" width="31.28515625" customWidth="1"/>
    <col min="2054" max="2054" width="11.42578125" customWidth="1"/>
    <col min="2056" max="2056" width="11.28515625" customWidth="1"/>
    <col min="2058" max="2058" width="18.140625" customWidth="1"/>
    <col min="2059" max="2061" width="9.140625" customWidth="1"/>
    <col min="2062" max="2062" width="10.85546875" customWidth="1"/>
    <col min="2063" max="2063" width="20.85546875" customWidth="1"/>
    <col min="2306" max="2306" width="31.28515625" customWidth="1"/>
    <col min="2310" max="2310" width="11.42578125" customWidth="1"/>
    <col min="2312" max="2312" width="11.28515625" customWidth="1"/>
    <col min="2314" max="2314" width="18.140625" customWidth="1"/>
    <col min="2315" max="2317" width="9.140625" customWidth="1"/>
    <col min="2318" max="2318" width="10.85546875" customWidth="1"/>
    <col min="2319" max="2319" width="20.85546875" customWidth="1"/>
    <col min="2562" max="2562" width="31.28515625" customWidth="1"/>
    <col min="2566" max="2566" width="11.42578125" customWidth="1"/>
    <col min="2568" max="2568" width="11.28515625" customWidth="1"/>
    <col min="2570" max="2570" width="18.140625" customWidth="1"/>
    <col min="2571" max="2573" width="9.140625" customWidth="1"/>
    <col min="2574" max="2574" width="10.85546875" customWidth="1"/>
    <col min="2575" max="2575" width="20.85546875" customWidth="1"/>
    <col min="2818" max="2818" width="31.28515625" customWidth="1"/>
    <col min="2822" max="2822" width="11.42578125" customWidth="1"/>
    <col min="2824" max="2824" width="11.28515625" customWidth="1"/>
    <col min="2826" max="2826" width="18.140625" customWidth="1"/>
    <col min="2827" max="2829" width="9.140625" customWidth="1"/>
    <col min="2830" max="2830" width="10.85546875" customWidth="1"/>
    <col min="2831" max="2831" width="20.85546875" customWidth="1"/>
    <col min="3074" max="3074" width="31.28515625" customWidth="1"/>
    <col min="3078" max="3078" width="11.42578125" customWidth="1"/>
    <col min="3080" max="3080" width="11.28515625" customWidth="1"/>
    <col min="3082" max="3082" width="18.140625" customWidth="1"/>
    <col min="3083" max="3085" width="9.140625" customWidth="1"/>
    <col min="3086" max="3086" width="10.85546875" customWidth="1"/>
    <col min="3087" max="3087" width="20.85546875" customWidth="1"/>
    <col min="3330" max="3330" width="31.28515625" customWidth="1"/>
    <col min="3334" max="3334" width="11.42578125" customWidth="1"/>
    <col min="3336" max="3336" width="11.28515625" customWidth="1"/>
    <col min="3338" max="3338" width="18.140625" customWidth="1"/>
    <col min="3339" max="3341" width="9.140625" customWidth="1"/>
    <col min="3342" max="3342" width="10.85546875" customWidth="1"/>
    <col min="3343" max="3343" width="20.85546875" customWidth="1"/>
    <col min="3586" max="3586" width="31.28515625" customWidth="1"/>
    <col min="3590" max="3590" width="11.42578125" customWidth="1"/>
    <col min="3592" max="3592" width="11.28515625" customWidth="1"/>
    <col min="3594" max="3594" width="18.140625" customWidth="1"/>
    <col min="3595" max="3597" width="9.140625" customWidth="1"/>
    <col min="3598" max="3598" width="10.85546875" customWidth="1"/>
    <col min="3599" max="3599" width="20.85546875" customWidth="1"/>
    <col min="3842" max="3842" width="31.28515625" customWidth="1"/>
    <col min="3846" max="3846" width="11.42578125" customWidth="1"/>
    <col min="3848" max="3848" width="11.28515625" customWidth="1"/>
    <col min="3850" max="3850" width="18.140625" customWidth="1"/>
    <col min="3851" max="3853" width="9.140625" customWidth="1"/>
    <col min="3854" max="3854" width="10.85546875" customWidth="1"/>
    <col min="3855" max="3855" width="20.85546875" customWidth="1"/>
    <col min="4098" max="4098" width="31.28515625" customWidth="1"/>
    <col min="4102" max="4102" width="11.42578125" customWidth="1"/>
    <col min="4104" max="4104" width="11.28515625" customWidth="1"/>
    <col min="4106" max="4106" width="18.140625" customWidth="1"/>
    <col min="4107" max="4109" width="9.140625" customWidth="1"/>
    <col min="4110" max="4110" width="10.85546875" customWidth="1"/>
    <col min="4111" max="4111" width="20.85546875" customWidth="1"/>
    <col min="4354" max="4354" width="31.28515625" customWidth="1"/>
    <col min="4358" max="4358" width="11.42578125" customWidth="1"/>
    <col min="4360" max="4360" width="11.28515625" customWidth="1"/>
    <col min="4362" max="4362" width="18.140625" customWidth="1"/>
    <col min="4363" max="4365" width="9.140625" customWidth="1"/>
    <col min="4366" max="4366" width="10.85546875" customWidth="1"/>
    <col min="4367" max="4367" width="20.85546875" customWidth="1"/>
    <col min="4610" max="4610" width="31.28515625" customWidth="1"/>
    <col min="4614" max="4614" width="11.42578125" customWidth="1"/>
    <col min="4616" max="4616" width="11.28515625" customWidth="1"/>
    <col min="4618" max="4618" width="18.140625" customWidth="1"/>
    <col min="4619" max="4621" width="9.140625" customWidth="1"/>
    <col min="4622" max="4622" width="10.85546875" customWidth="1"/>
    <col min="4623" max="4623" width="20.85546875" customWidth="1"/>
    <col min="4866" max="4866" width="31.28515625" customWidth="1"/>
    <col min="4870" max="4870" width="11.42578125" customWidth="1"/>
    <col min="4872" max="4872" width="11.28515625" customWidth="1"/>
    <col min="4874" max="4874" width="18.140625" customWidth="1"/>
    <col min="4875" max="4877" width="9.140625" customWidth="1"/>
    <col min="4878" max="4878" width="10.85546875" customWidth="1"/>
    <col min="4879" max="4879" width="20.85546875" customWidth="1"/>
    <col min="5122" max="5122" width="31.28515625" customWidth="1"/>
    <col min="5126" max="5126" width="11.42578125" customWidth="1"/>
    <col min="5128" max="5128" width="11.28515625" customWidth="1"/>
    <col min="5130" max="5130" width="18.140625" customWidth="1"/>
    <col min="5131" max="5133" width="9.140625" customWidth="1"/>
    <col min="5134" max="5134" width="10.85546875" customWidth="1"/>
    <col min="5135" max="5135" width="20.85546875" customWidth="1"/>
    <col min="5378" max="5378" width="31.28515625" customWidth="1"/>
    <col min="5382" max="5382" width="11.42578125" customWidth="1"/>
    <col min="5384" max="5384" width="11.28515625" customWidth="1"/>
    <col min="5386" max="5386" width="18.140625" customWidth="1"/>
    <col min="5387" max="5389" width="9.140625" customWidth="1"/>
    <col min="5390" max="5390" width="10.85546875" customWidth="1"/>
    <col min="5391" max="5391" width="20.85546875" customWidth="1"/>
    <col min="5634" max="5634" width="31.28515625" customWidth="1"/>
    <col min="5638" max="5638" width="11.42578125" customWidth="1"/>
    <col min="5640" max="5640" width="11.28515625" customWidth="1"/>
    <col min="5642" max="5642" width="18.140625" customWidth="1"/>
    <col min="5643" max="5645" width="9.140625" customWidth="1"/>
    <col min="5646" max="5646" width="10.85546875" customWidth="1"/>
    <col min="5647" max="5647" width="20.85546875" customWidth="1"/>
    <col min="5890" max="5890" width="31.28515625" customWidth="1"/>
    <col min="5894" max="5894" width="11.42578125" customWidth="1"/>
    <col min="5896" max="5896" width="11.28515625" customWidth="1"/>
    <col min="5898" max="5898" width="18.140625" customWidth="1"/>
    <col min="5899" max="5901" width="9.140625" customWidth="1"/>
    <col min="5902" max="5902" width="10.85546875" customWidth="1"/>
    <col min="5903" max="5903" width="20.85546875" customWidth="1"/>
    <col min="6146" max="6146" width="31.28515625" customWidth="1"/>
    <col min="6150" max="6150" width="11.42578125" customWidth="1"/>
    <col min="6152" max="6152" width="11.28515625" customWidth="1"/>
    <col min="6154" max="6154" width="18.140625" customWidth="1"/>
    <col min="6155" max="6157" width="9.140625" customWidth="1"/>
    <col min="6158" max="6158" width="10.85546875" customWidth="1"/>
    <col min="6159" max="6159" width="20.85546875" customWidth="1"/>
    <col min="6402" max="6402" width="31.28515625" customWidth="1"/>
    <col min="6406" max="6406" width="11.42578125" customWidth="1"/>
    <col min="6408" max="6408" width="11.28515625" customWidth="1"/>
    <col min="6410" max="6410" width="18.140625" customWidth="1"/>
    <col min="6411" max="6413" width="9.140625" customWidth="1"/>
    <col min="6414" max="6414" width="10.85546875" customWidth="1"/>
    <col min="6415" max="6415" width="20.85546875" customWidth="1"/>
    <col min="6658" max="6658" width="31.28515625" customWidth="1"/>
    <col min="6662" max="6662" width="11.42578125" customWidth="1"/>
    <col min="6664" max="6664" width="11.28515625" customWidth="1"/>
    <col min="6666" max="6666" width="18.140625" customWidth="1"/>
    <col min="6667" max="6669" width="9.140625" customWidth="1"/>
    <col min="6670" max="6670" width="10.85546875" customWidth="1"/>
    <col min="6671" max="6671" width="20.85546875" customWidth="1"/>
    <col min="6914" max="6914" width="31.28515625" customWidth="1"/>
    <col min="6918" max="6918" width="11.42578125" customWidth="1"/>
    <col min="6920" max="6920" width="11.28515625" customWidth="1"/>
    <col min="6922" max="6922" width="18.140625" customWidth="1"/>
    <col min="6923" max="6925" width="9.140625" customWidth="1"/>
    <col min="6926" max="6926" width="10.85546875" customWidth="1"/>
    <col min="6927" max="6927" width="20.85546875" customWidth="1"/>
    <col min="7170" max="7170" width="31.28515625" customWidth="1"/>
    <col min="7174" max="7174" width="11.42578125" customWidth="1"/>
    <col min="7176" max="7176" width="11.28515625" customWidth="1"/>
    <col min="7178" max="7178" width="18.140625" customWidth="1"/>
    <col min="7179" max="7181" width="9.140625" customWidth="1"/>
    <col min="7182" max="7182" width="10.85546875" customWidth="1"/>
    <col min="7183" max="7183" width="20.85546875" customWidth="1"/>
    <col min="7426" max="7426" width="31.28515625" customWidth="1"/>
    <col min="7430" max="7430" width="11.42578125" customWidth="1"/>
    <col min="7432" max="7432" width="11.28515625" customWidth="1"/>
    <col min="7434" max="7434" width="18.140625" customWidth="1"/>
    <col min="7435" max="7437" width="9.140625" customWidth="1"/>
    <col min="7438" max="7438" width="10.85546875" customWidth="1"/>
    <col min="7439" max="7439" width="20.85546875" customWidth="1"/>
    <col min="7682" max="7682" width="31.28515625" customWidth="1"/>
    <col min="7686" max="7686" width="11.42578125" customWidth="1"/>
    <col min="7688" max="7688" width="11.28515625" customWidth="1"/>
    <col min="7690" max="7690" width="18.140625" customWidth="1"/>
    <col min="7691" max="7693" width="9.140625" customWidth="1"/>
    <col min="7694" max="7694" width="10.85546875" customWidth="1"/>
    <col min="7695" max="7695" width="20.85546875" customWidth="1"/>
    <col min="7938" max="7938" width="31.28515625" customWidth="1"/>
    <col min="7942" max="7942" width="11.42578125" customWidth="1"/>
    <col min="7944" max="7944" width="11.28515625" customWidth="1"/>
    <col min="7946" max="7946" width="18.140625" customWidth="1"/>
    <col min="7947" max="7949" width="9.140625" customWidth="1"/>
    <col min="7950" max="7950" width="10.85546875" customWidth="1"/>
    <col min="7951" max="7951" width="20.85546875" customWidth="1"/>
    <col min="8194" max="8194" width="31.28515625" customWidth="1"/>
    <col min="8198" max="8198" width="11.42578125" customWidth="1"/>
    <col min="8200" max="8200" width="11.28515625" customWidth="1"/>
    <col min="8202" max="8202" width="18.140625" customWidth="1"/>
    <col min="8203" max="8205" width="9.140625" customWidth="1"/>
    <col min="8206" max="8206" width="10.85546875" customWidth="1"/>
    <col min="8207" max="8207" width="20.85546875" customWidth="1"/>
    <col min="8450" max="8450" width="31.28515625" customWidth="1"/>
    <col min="8454" max="8454" width="11.42578125" customWidth="1"/>
    <col min="8456" max="8456" width="11.28515625" customWidth="1"/>
    <col min="8458" max="8458" width="18.140625" customWidth="1"/>
    <col min="8459" max="8461" width="9.140625" customWidth="1"/>
    <col min="8462" max="8462" width="10.85546875" customWidth="1"/>
    <col min="8463" max="8463" width="20.85546875" customWidth="1"/>
    <col min="8706" max="8706" width="31.28515625" customWidth="1"/>
    <col min="8710" max="8710" width="11.42578125" customWidth="1"/>
    <col min="8712" max="8712" width="11.28515625" customWidth="1"/>
    <col min="8714" max="8714" width="18.140625" customWidth="1"/>
    <col min="8715" max="8717" width="9.140625" customWidth="1"/>
    <col min="8718" max="8718" width="10.85546875" customWidth="1"/>
    <col min="8719" max="8719" width="20.85546875" customWidth="1"/>
    <col min="8962" max="8962" width="31.28515625" customWidth="1"/>
    <col min="8966" max="8966" width="11.42578125" customWidth="1"/>
    <col min="8968" max="8968" width="11.28515625" customWidth="1"/>
    <col min="8970" max="8970" width="18.140625" customWidth="1"/>
    <col min="8971" max="8973" width="9.140625" customWidth="1"/>
    <col min="8974" max="8974" width="10.85546875" customWidth="1"/>
    <col min="8975" max="8975" width="20.85546875" customWidth="1"/>
    <col min="9218" max="9218" width="31.28515625" customWidth="1"/>
    <col min="9222" max="9222" width="11.42578125" customWidth="1"/>
    <col min="9224" max="9224" width="11.28515625" customWidth="1"/>
    <col min="9226" max="9226" width="18.140625" customWidth="1"/>
    <col min="9227" max="9229" width="9.140625" customWidth="1"/>
    <col min="9230" max="9230" width="10.85546875" customWidth="1"/>
    <col min="9231" max="9231" width="20.85546875" customWidth="1"/>
    <col min="9474" max="9474" width="31.28515625" customWidth="1"/>
    <col min="9478" max="9478" width="11.42578125" customWidth="1"/>
    <col min="9480" max="9480" width="11.28515625" customWidth="1"/>
    <col min="9482" max="9482" width="18.140625" customWidth="1"/>
    <col min="9483" max="9485" width="9.140625" customWidth="1"/>
    <col min="9486" max="9486" width="10.85546875" customWidth="1"/>
    <col min="9487" max="9487" width="20.85546875" customWidth="1"/>
    <col min="9730" max="9730" width="31.28515625" customWidth="1"/>
    <col min="9734" max="9734" width="11.42578125" customWidth="1"/>
    <col min="9736" max="9736" width="11.28515625" customWidth="1"/>
    <col min="9738" max="9738" width="18.140625" customWidth="1"/>
    <col min="9739" max="9741" width="9.140625" customWidth="1"/>
    <col min="9742" max="9742" width="10.85546875" customWidth="1"/>
    <col min="9743" max="9743" width="20.85546875" customWidth="1"/>
    <col min="9986" max="9986" width="31.28515625" customWidth="1"/>
    <col min="9990" max="9990" width="11.42578125" customWidth="1"/>
    <col min="9992" max="9992" width="11.28515625" customWidth="1"/>
    <col min="9994" max="9994" width="18.140625" customWidth="1"/>
    <col min="9995" max="9997" width="9.140625" customWidth="1"/>
    <col min="9998" max="9998" width="10.85546875" customWidth="1"/>
    <col min="9999" max="9999" width="20.85546875" customWidth="1"/>
    <col min="10242" max="10242" width="31.28515625" customWidth="1"/>
    <col min="10246" max="10246" width="11.42578125" customWidth="1"/>
    <col min="10248" max="10248" width="11.28515625" customWidth="1"/>
    <col min="10250" max="10250" width="18.140625" customWidth="1"/>
    <col min="10251" max="10253" width="9.140625" customWidth="1"/>
    <col min="10254" max="10254" width="10.85546875" customWidth="1"/>
    <col min="10255" max="10255" width="20.85546875" customWidth="1"/>
    <col min="10498" max="10498" width="31.28515625" customWidth="1"/>
    <col min="10502" max="10502" width="11.42578125" customWidth="1"/>
    <col min="10504" max="10504" width="11.28515625" customWidth="1"/>
    <col min="10506" max="10506" width="18.140625" customWidth="1"/>
    <col min="10507" max="10509" width="9.140625" customWidth="1"/>
    <col min="10510" max="10510" width="10.85546875" customWidth="1"/>
    <col min="10511" max="10511" width="20.85546875" customWidth="1"/>
    <col min="10754" max="10754" width="31.28515625" customWidth="1"/>
    <col min="10758" max="10758" width="11.42578125" customWidth="1"/>
    <col min="10760" max="10760" width="11.28515625" customWidth="1"/>
    <col min="10762" max="10762" width="18.140625" customWidth="1"/>
    <col min="10763" max="10765" width="9.140625" customWidth="1"/>
    <col min="10766" max="10766" width="10.85546875" customWidth="1"/>
    <col min="10767" max="10767" width="20.85546875" customWidth="1"/>
    <col min="11010" max="11010" width="31.28515625" customWidth="1"/>
    <col min="11014" max="11014" width="11.42578125" customWidth="1"/>
    <col min="11016" max="11016" width="11.28515625" customWidth="1"/>
    <col min="11018" max="11018" width="18.140625" customWidth="1"/>
    <col min="11019" max="11021" width="9.140625" customWidth="1"/>
    <col min="11022" max="11022" width="10.85546875" customWidth="1"/>
    <col min="11023" max="11023" width="20.85546875" customWidth="1"/>
    <col min="11266" max="11266" width="31.28515625" customWidth="1"/>
    <col min="11270" max="11270" width="11.42578125" customWidth="1"/>
    <col min="11272" max="11272" width="11.28515625" customWidth="1"/>
    <col min="11274" max="11274" width="18.140625" customWidth="1"/>
    <col min="11275" max="11277" width="9.140625" customWidth="1"/>
    <col min="11278" max="11278" width="10.85546875" customWidth="1"/>
    <col min="11279" max="11279" width="20.85546875" customWidth="1"/>
    <col min="11522" max="11522" width="31.28515625" customWidth="1"/>
    <col min="11526" max="11526" width="11.42578125" customWidth="1"/>
    <col min="11528" max="11528" width="11.28515625" customWidth="1"/>
    <col min="11530" max="11530" width="18.140625" customWidth="1"/>
    <col min="11531" max="11533" width="9.140625" customWidth="1"/>
    <col min="11534" max="11534" width="10.85546875" customWidth="1"/>
    <col min="11535" max="11535" width="20.85546875" customWidth="1"/>
    <col min="11778" max="11778" width="31.28515625" customWidth="1"/>
    <col min="11782" max="11782" width="11.42578125" customWidth="1"/>
    <col min="11784" max="11784" width="11.28515625" customWidth="1"/>
    <col min="11786" max="11786" width="18.140625" customWidth="1"/>
    <col min="11787" max="11789" width="9.140625" customWidth="1"/>
    <col min="11790" max="11790" width="10.85546875" customWidth="1"/>
    <col min="11791" max="11791" width="20.85546875" customWidth="1"/>
    <col min="12034" max="12034" width="31.28515625" customWidth="1"/>
    <col min="12038" max="12038" width="11.42578125" customWidth="1"/>
    <col min="12040" max="12040" width="11.28515625" customWidth="1"/>
    <col min="12042" max="12042" width="18.140625" customWidth="1"/>
    <col min="12043" max="12045" width="9.140625" customWidth="1"/>
    <col min="12046" max="12046" width="10.85546875" customWidth="1"/>
    <col min="12047" max="12047" width="20.85546875" customWidth="1"/>
    <col min="12290" max="12290" width="31.28515625" customWidth="1"/>
    <col min="12294" max="12294" width="11.42578125" customWidth="1"/>
    <col min="12296" max="12296" width="11.28515625" customWidth="1"/>
    <col min="12298" max="12298" width="18.140625" customWidth="1"/>
    <col min="12299" max="12301" width="9.140625" customWidth="1"/>
    <col min="12302" max="12302" width="10.85546875" customWidth="1"/>
    <col min="12303" max="12303" width="20.85546875" customWidth="1"/>
    <col min="12546" max="12546" width="31.28515625" customWidth="1"/>
    <col min="12550" max="12550" width="11.42578125" customWidth="1"/>
    <col min="12552" max="12552" width="11.28515625" customWidth="1"/>
    <col min="12554" max="12554" width="18.140625" customWidth="1"/>
    <col min="12555" max="12557" width="9.140625" customWidth="1"/>
    <col min="12558" max="12558" width="10.85546875" customWidth="1"/>
    <col min="12559" max="12559" width="20.85546875" customWidth="1"/>
    <col min="12802" max="12802" width="31.28515625" customWidth="1"/>
    <col min="12806" max="12806" width="11.42578125" customWidth="1"/>
    <col min="12808" max="12808" width="11.28515625" customWidth="1"/>
    <col min="12810" max="12810" width="18.140625" customWidth="1"/>
    <col min="12811" max="12813" width="9.140625" customWidth="1"/>
    <col min="12814" max="12814" width="10.85546875" customWidth="1"/>
    <col min="12815" max="12815" width="20.85546875" customWidth="1"/>
    <col min="13058" max="13058" width="31.28515625" customWidth="1"/>
    <col min="13062" max="13062" width="11.42578125" customWidth="1"/>
    <col min="13064" max="13064" width="11.28515625" customWidth="1"/>
    <col min="13066" max="13066" width="18.140625" customWidth="1"/>
    <col min="13067" max="13069" width="9.140625" customWidth="1"/>
    <col min="13070" max="13070" width="10.85546875" customWidth="1"/>
    <col min="13071" max="13071" width="20.85546875" customWidth="1"/>
    <col min="13314" max="13314" width="31.28515625" customWidth="1"/>
    <col min="13318" max="13318" width="11.42578125" customWidth="1"/>
    <col min="13320" max="13320" width="11.28515625" customWidth="1"/>
    <col min="13322" max="13322" width="18.140625" customWidth="1"/>
    <col min="13323" max="13325" width="9.140625" customWidth="1"/>
    <col min="13326" max="13326" width="10.85546875" customWidth="1"/>
    <col min="13327" max="13327" width="20.85546875" customWidth="1"/>
    <col min="13570" max="13570" width="31.28515625" customWidth="1"/>
    <col min="13574" max="13574" width="11.42578125" customWidth="1"/>
    <col min="13576" max="13576" width="11.28515625" customWidth="1"/>
    <col min="13578" max="13578" width="18.140625" customWidth="1"/>
    <col min="13579" max="13581" width="9.140625" customWidth="1"/>
    <col min="13582" max="13582" width="10.85546875" customWidth="1"/>
    <col min="13583" max="13583" width="20.85546875" customWidth="1"/>
    <col min="13826" max="13826" width="31.28515625" customWidth="1"/>
    <col min="13830" max="13830" width="11.42578125" customWidth="1"/>
    <col min="13832" max="13832" width="11.28515625" customWidth="1"/>
    <col min="13834" max="13834" width="18.140625" customWidth="1"/>
    <col min="13835" max="13837" width="9.140625" customWidth="1"/>
    <col min="13838" max="13838" width="10.85546875" customWidth="1"/>
    <col min="13839" max="13839" width="20.85546875" customWidth="1"/>
    <col min="14082" max="14082" width="31.28515625" customWidth="1"/>
    <col min="14086" max="14086" width="11.42578125" customWidth="1"/>
    <col min="14088" max="14088" width="11.28515625" customWidth="1"/>
    <col min="14090" max="14090" width="18.140625" customWidth="1"/>
    <col min="14091" max="14093" width="9.140625" customWidth="1"/>
    <col min="14094" max="14094" width="10.85546875" customWidth="1"/>
    <col min="14095" max="14095" width="20.85546875" customWidth="1"/>
    <col min="14338" max="14338" width="31.28515625" customWidth="1"/>
    <col min="14342" max="14342" width="11.42578125" customWidth="1"/>
    <col min="14344" max="14344" width="11.28515625" customWidth="1"/>
    <col min="14346" max="14346" width="18.140625" customWidth="1"/>
    <col min="14347" max="14349" width="9.140625" customWidth="1"/>
    <col min="14350" max="14350" width="10.85546875" customWidth="1"/>
    <col min="14351" max="14351" width="20.85546875" customWidth="1"/>
    <col min="14594" max="14594" width="31.28515625" customWidth="1"/>
    <col min="14598" max="14598" width="11.42578125" customWidth="1"/>
    <col min="14600" max="14600" width="11.28515625" customWidth="1"/>
    <col min="14602" max="14602" width="18.140625" customWidth="1"/>
    <col min="14603" max="14605" width="9.140625" customWidth="1"/>
    <col min="14606" max="14606" width="10.85546875" customWidth="1"/>
    <col min="14607" max="14607" width="20.85546875" customWidth="1"/>
    <col min="14850" max="14850" width="31.28515625" customWidth="1"/>
    <col min="14854" max="14854" width="11.42578125" customWidth="1"/>
    <col min="14856" max="14856" width="11.28515625" customWidth="1"/>
    <col min="14858" max="14858" width="18.140625" customWidth="1"/>
    <col min="14859" max="14861" width="9.140625" customWidth="1"/>
    <col min="14862" max="14862" width="10.85546875" customWidth="1"/>
    <col min="14863" max="14863" width="20.85546875" customWidth="1"/>
    <col min="15106" max="15106" width="31.28515625" customWidth="1"/>
    <col min="15110" max="15110" width="11.42578125" customWidth="1"/>
    <col min="15112" max="15112" width="11.28515625" customWidth="1"/>
    <col min="15114" max="15114" width="18.140625" customWidth="1"/>
    <col min="15115" max="15117" width="9.140625" customWidth="1"/>
    <col min="15118" max="15118" width="10.85546875" customWidth="1"/>
    <col min="15119" max="15119" width="20.85546875" customWidth="1"/>
    <col min="15362" max="15362" width="31.28515625" customWidth="1"/>
    <col min="15366" max="15366" width="11.42578125" customWidth="1"/>
    <col min="15368" max="15368" width="11.28515625" customWidth="1"/>
    <col min="15370" max="15370" width="18.140625" customWidth="1"/>
    <col min="15371" max="15373" width="9.140625" customWidth="1"/>
    <col min="15374" max="15374" width="10.85546875" customWidth="1"/>
    <col min="15375" max="15375" width="20.85546875" customWidth="1"/>
    <col min="15618" max="15618" width="31.28515625" customWidth="1"/>
    <col min="15622" max="15622" width="11.42578125" customWidth="1"/>
    <col min="15624" max="15624" width="11.28515625" customWidth="1"/>
    <col min="15626" max="15626" width="18.140625" customWidth="1"/>
    <col min="15627" max="15629" width="9.140625" customWidth="1"/>
    <col min="15630" max="15630" width="10.85546875" customWidth="1"/>
    <col min="15631" max="15631" width="20.85546875" customWidth="1"/>
    <col min="15874" max="15874" width="31.28515625" customWidth="1"/>
    <col min="15878" max="15878" width="11.42578125" customWidth="1"/>
    <col min="15880" max="15880" width="11.28515625" customWidth="1"/>
    <col min="15882" max="15882" width="18.140625" customWidth="1"/>
    <col min="15883" max="15885" width="9.140625" customWidth="1"/>
    <col min="15886" max="15886" width="10.85546875" customWidth="1"/>
    <col min="15887" max="15887" width="20.85546875" customWidth="1"/>
    <col min="16130" max="16130" width="31.28515625" customWidth="1"/>
    <col min="16134" max="16134" width="11.42578125" customWidth="1"/>
    <col min="16136" max="16136" width="11.28515625" customWidth="1"/>
    <col min="16138" max="16138" width="18.140625" customWidth="1"/>
    <col min="16139" max="16141" width="9.140625" customWidth="1"/>
    <col min="16142" max="16142" width="10.85546875" customWidth="1"/>
    <col min="16143" max="16143" width="20.85546875" customWidth="1"/>
  </cols>
  <sheetData>
    <row r="1" spans="2:15" x14ac:dyDescent="0.25">
      <c r="M1" t="s">
        <v>244</v>
      </c>
      <c r="O1" s="65">
        <f>'PCE Testsheet'!Y1</f>
        <v>0</v>
      </c>
    </row>
    <row r="3" spans="2:15" ht="18" customHeight="1" x14ac:dyDescent="0.25">
      <c r="B3" s="34" t="s">
        <v>35</v>
      </c>
      <c r="C3" s="33"/>
      <c r="D3" s="33"/>
      <c r="E3" s="26"/>
    </row>
    <row r="4" spans="2:15" ht="18" customHeight="1" x14ac:dyDescent="0.25"/>
    <row r="5" spans="2:15" ht="18" customHeight="1" x14ac:dyDescent="0.25">
      <c r="B5" s="5" t="s">
        <v>36</v>
      </c>
      <c r="C5" s="99">
        <f>'PCE Testsheet'!P4</f>
        <v>0</v>
      </c>
      <c r="D5" s="99"/>
      <c r="E5" s="99"/>
      <c r="F5" s="99"/>
      <c r="G5" s="5"/>
      <c r="H5" s="5"/>
      <c r="I5" s="5"/>
      <c r="J5" s="5"/>
      <c r="K5" s="5"/>
      <c r="L5" s="5"/>
      <c r="M5" s="5"/>
      <c r="N5" s="5"/>
    </row>
    <row r="6" spans="2:15" ht="18" customHeight="1" x14ac:dyDescent="0.25">
      <c r="B6" s="5" t="s">
        <v>236</v>
      </c>
      <c r="C6" s="100" t="str">
        <f>IF('PCE Testsheet'!C5="","",'PCE Testsheet'!C5)</f>
        <v/>
      </c>
      <c r="D6" s="100"/>
      <c r="E6" s="100"/>
      <c r="F6" s="100"/>
      <c r="G6" s="100"/>
      <c r="H6" s="100"/>
      <c r="I6" s="5"/>
      <c r="J6" s="5" t="s">
        <v>238</v>
      </c>
      <c r="K6" s="105" t="str">
        <f>IF('PCE Testsheet'!W5="","",'PCE Testsheet'!W5)</f>
        <v>JJBU/PCE/J</v>
      </c>
      <c r="L6" s="106"/>
      <c r="M6" s="106"/>
      <c r="N6" s="107"/>
    </row>
    <row r="7" spans="2:15" ht="18" customHeight="1" x14ac:dyDescent="0.25">
      <c r="B7" s="5" t="s">
        <v>237</v>
      </c>
      <c r="C7" s="100"/>
      <c r="D7" s="100"/>
      <c r="E7" s="100"/>
      <c r="F7" s="100"/>
      <c r="G7" s="100"/>
      <c r="H7" s="100"/>
      <c r="I7" s="5"/>
      <c r="J7" s="5" t="s">
        <v>239</v>
      </c>
      <c r="K7" s="105"/>
      <c r="L7" s="106"/>
      <c r="M7" s="106"/>
      <c r="N7" s="107"/>
    </row>
    <row r="8" spans="2:15" ht="18" customHeight="1" x14ac:dyDescent="0.25">
      <c r="B8" s="5" t="s">
        <v>59</v>
      </c>
      <c r="C8" s="101"/>
      <c r="D8" s="102"/>
      <c r="E8" s="102"/>
      <c r="F8" s="103"/>
      <c r="G8" s="5"/>
      <c r="H8" s="5"/>
      <c r="I8" s="5"/>
      <c r="J8" s="5"/>
      <c r="K8" s="5"/>
      <c r="L8" s="5"/>
      <c r="M8" s="5"/>
      <c r="N8" s="5"/>
    </row>
    <row r="9" spans="2:15" ht="18" customHeight="1" x14ac:dyDescent="0.25">
      <c r="B9" s="5" t="s">
        <v>60</v>
      </c>
      <c r="C9" s="13" t="s">
        <v>61</v>
      </c>
      <c r="D9" s="67"/>
      <c r="E9" s="14"/>
      <c r="F9" s="13" t="s">
        <v>62</v>
      </c>
      <c r="G9" s="67"/>
      <c r="H9" s="8" t="s">
        <v>63</v>
      </c>
      <c r="I9" s="67"/>
      <c r="J9" s="8" t="s">
        <v>64</v>
      </c>
      <c r="K9" s="67"/>
      <c r="L9" s="8" t="s">
        <v>65</v>
      </c>
      <c r="M9" s="67"/>
      <c r="N9" s="8" t="s">
        <v>146</v>
      </c>
      <c r="O9" s="67"/>
    </row>
    <row r="10" spans="2:15" ht="18" customHeight="1" x14ac:dyDescent="0.25">
      <c r="B10" s="5" t="s">
        <v>66</v>
      </c>
      <c r="C10" s="16" t="s">
        <v>67</v>
      </c>
      <c r="D10" s="67"/>
      <c r="E10" s="14"/>
      <c r="F10" s="16" t="s">
        <v>68</v>
      </c>
      <c r="G10" s="67"/>
      <c r="H10" s="8" t="s">
        <v>69</v>
      </c>
      <c r="I10" s="67"/>
      <c r="J10" s="8"/>
      <c r="K10" s="5"/>
      <c r="L10" s="8"/>
      <c r="M10" s="17"/>
      <c r="N10" s="5"/>
    </row>
    <row r="11" spans="2:15" ht="18" customHeight="1" x14ac:dyDescent="0.25">
      <c r="B11" s="5" t="s">
        <v>70</v>
      </c>
      <c r="C11" s="15" t="s">
        <v>71</v>
      </c>
      <c r="D11" s="67"/>
      <c r="E11" s="18"/>
      <c r="F11" s="15" t="s">
        <v>72</v>
      </c>
      <c r="G11" s="67"/>
      <c r="H11" s="8" t="s">
        <v>73</v>
      </c>
      <c r="I11" s="67"/>
      <c r="J11" s="8" t="s">
        <v>74</v>
      </c>
      <c r="K11" s="67"/>
      <c r="L11" s="8" t="s">
        <v>75</v>
      </c>
      <c r="M11" s="67"/>
      <c r="N11" s="8" t="s">
        <v>146</v>
      </c>
      <c r="O11" s="67"/>
    </row>
    <row r="12" spans="2:15" ht="18" customHeight="1" x14ac:dyDescent="0.25">
      <c r="B12" s="5" t="s">
        <v>76</v>
      </c>
      <c r="C12" s="95"/>
      <c r="D12" s="95"/>
      <c r="E12" s="95"/>
      <c r="F12" s="101"/>
      <c r="G12" s="102"/>
      <c r="H12" s="103"/>
      <c r="I12" s="5"/>
      <c r="J12" s="5"/>
      <c r="K12" s="5"/>
      <c r="L12" s="5"/>
      <c r="M12" s="5"/>
      <c r="N12" s="5"/>
    </row>
    <row r="13" spans="2:15" ht="18" customHeight="1" x14ac:dyDescent="0.25">
      <c r="B13" s="5" t="s">
        <v>77</v>
      </c>
      <c r="C13" s="104"/>
      <c r="D13" s="104"/>
      <c r="E13" s="104"/>
      <c r="F13" s="104"/>
      <c r="G13" s="5"/>
      <c r="H13" s="5" t="s">
        <v>78</v>
      </c>
      <c r="I13" s="5"/>
      <c r="J13" s="95"/>
      <c r="K13" s="95"/>
      <c r="L13" s="5"/>
      <c r="M13" s="19" t="s">
        <v>79</v>
      </c>
      <c r="N13" s="5"/>
      <c r="O13" s="74"/>
    </row>
    <row r="14" spans="2:15" ht="18" customHeight="1" x14ac:dyDescent="0.25">
      <c r="B14" s="5" t="s">
        <v>80</v>
      </c>
      <c r="C14" s="15" t="s">
        <v>71</v>
      </c>
      <c r="D14" s="67"/>
      <c r="E14" s="18"/>
      <c r="F14" s="15" t="s">
        <v>72</v>
      </c>
      <c r="G14" s="67"/>
      <c r="H14" s="8" t="s">
        <v>73</v>
      </c>
      <c r="I14" s="67"/>
      <c r="J14" s="8" t="s">
        <v>74</v>
      </c>
      <c r="K14" s="67"/>
      <c r="L14" s="8" t="s">
        <v>75</v>
      </c>
      <c r="M14" s="67"/>
      <c r="N14" s="8" t="s">
        <v>146</v>
      </c>
      <c r="O14" s="67"/>
    </row>
    <row r="15" spans="2:15" ht="18" customHeight="1" x14ac:dyDescent="0.25">
      <c r="B15" s="5" t="s">
        <v>81</v>
      </c>
      <c r="C15" s="101"/>
      <c r="D15" s="102"/>
      <c r="E15" s="103"/>
      <c r="F15" s="101"/>
      <c r="G15" s="102"/>
      <c r="H15" s="103"/>
      <c r="I15" s="5"/>
      <c r="J15" s="5"/>
      <c r="K15" s="5"/>
      <c r="L15" s="5"/>
      <c r="M15" s="5"/>
      <c r="N15" s="5"/>
    </row>
    <row r="16" spans="2:15" ht="18" customHeight="1" x14ac:dyDescent="0.25">
      <c r="B16" s="5" t="s">
        <v>77</v>
      </c>
      <c r="C16" s="104"/>
      <c r="D16" s="104"/>
      <c r="E16" s="104"/>
      <c r="F16" s="104"/>
      <c r="G16" s="5"/>
      <c r="H16" s="5" t="s">
        <v>78</v>
      </c>
      <c r="I16" s="5"/>
      <c r="J16" s="95"/>
      <c r="K16" s="95"/>
      <c r="L16" s="5"/>
      <c r="M16" s="19" t="s">
        <v>79</v>
      </c>
      <c r="N16" s="5"/>
      <c r="O16" s="74"/>
    </row>
    <row r="17" spans="2:15" ht="18" customHeight="1" x14ac:dyDescent="0.25">
      <c r="B17" s="5" t="s">
        <v>82</v>
      </c>
      <c r="C17" s="95"/>
      <c r="D17" s="95"/>
      <c r="E17" s="95"/>
      <c r="F17" s="95"/>
      <c r="G17" s="5"/>
      <c r="H17" s="5"/>
      <c r="I17" s="5"/>
      <c r="J17" s="5"/>
      <c r="K17" s="5"/>
      <c r="L17" s="5"/>
      <c r="M17" s="5"/>
      <c r="N17" s="5"/>
    </row>
    <row r="18" spans="2:15" ht="18" customHeight="1" x14ac:dyDescent="0.25">
      <c r="B18" s="5" t="s">
        <v>83</v>
      </c>
      <c r="C18" s="8" t="s">
        <v>84</v>
      </c>
      <c r="D18" s="72"/>
      <c r="E18" s="8" t="s">
        <v>85</v>
      </c>
      <c r="F18" s="72"/>
      <c r="G18" s="93" t="s">
        <v>86</v>
      </c>
      <c r="H18" s="94"/>
      <c r="I18" s="67"/>
      <c r="J18" s="8" t="s">
        <v>28</v>
      </c>
      <c r="K18" s="95"/>
      <c r="L18" s="95"/>
      <c r="M18" s="5"/>
      <c r="N18" s="20" t="s">
        <v>87</v>
      </c>
      <c r="O18" s="73"/>
    </row>
    <row r="19" spans="2:15" ht="18" customHeight="1" x14ac:dyDescent="0.25">
      <c r="B19" s="5" t="s">
        <v>88</v>
      </c>
      <c r="C19" s="8" t="s">
        <v>84</v>
      </c>
      <c r="D19" s="72"/>
      <c r="E19" s="8" t="s">
        <v>85</v>
      </c>
      <c r="F19" s="72"/>
      <c r="G19" s="93" t="s">
        <v>86</v>
      </c>
      <c r="H19" s="94"/>
      <c r="I19" s="67"/>
      <c r="J19" s="8" t="s">
        <v>28</v>
      </c>
      <c r="K19" s="95"/>
      <c r="L19" s="95"/>
      <c r="M19" s="5"/>
      <c r="N19" s="20" t="s">
        <v>87</v>
      </c>
      <c r="O19" s="73"/>
    </row>
    <row r="20" spans="2:15" ht="18" customHeight="1" x14ac:dyDescent="0.25">
      <c r="B20" s="5" t="s">
        <v>89</v>
      </c>
      <c r="C20" s="8" t="s">
        <v>84</v>
      </c>
      <c r="D20" s="72"/>
      <c r="E20" s="8" t="s">
        <v>85</v>
      </c>
      <c r="F20" s="72"/>
      <c r="G20" s="93" t="s">
        <v>86</v>
      </c>
      <c r="H20" s="94"/>
      <c r="I20" s="67"/>
      <c r="J20" s="8" t="s">
        <v>28</v>
      </c>
      <c r="K20" s="95"/>
      <c r="L20" s="95"/>
      <c r="M20" s="5"/>
      <c r="N20" s="20" t="s">
        <v>87</v>
      </c>
      <c r="O20" s="73"/>
    </row>
    <row r="21" spans="2:15" ht="18" customHeight="1" x14ac:dyDescent="0.25">
      <c r="B21" s="5" t="s">
        <v>90</v>
      </c>
      <c r="C21" s="8" t="s">
        <v>84</v>
      </c>
      <c r="D21" s="72"/>
      <c r="E21" s="8" t="s">
        <v>85</v>
      </c>
      <c r="F21" s="72"/>
      <c r="G21" s="93" t="s">
        <v>86</v>
      </c>
      <c r="H21" s="94"/>
      <c r="I21" s="67"/>
      <c r="J21" s="8" t="s">
        <v>28</v>
      </c>
      <c r="K21" s="95"/>
      <c r="L21" s="95"/>
      <c r="M21" s="5"/>
      <c r="N21" s="20" t="s">
        <v>87</v>
      </c>
      <c r="O21" s="73"/>
    </row>
    <row r="22" spans="2:15" ht="18" customHeight="1" x14ac:dyDescent="0.25">
      <c r="B22" s="25" t="s">
        <v>91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2:15" ht="18" customHeight="1" x14ac:dyDescent="0.25">
      <c r="B23" s="5" t="s">
        <v>41</v>
      </c>
      <c r="C23" s="5"/>
      <c r="D23" s="8" t="s">
        <v>37</v>
      </c>
      <c r="E23" s="67"/>
      <c r="F23" s="8" t="s">
        <v>38</v>
      </c>
      <c r="G23" s="67"/>
      <c r="H23" s="8" t="s">
        <v>1</v>
      </c>
      <c r="I23" s="89" t="str">
        <f>IF(AND(ISBLANK(E23),ISBLANK(G23)),"N/A","")</f>
        <v>N/A</v>
      </c>
      <c r="J23" s="89"/>
      <c r="K23" s="89"/>
      <c r="L23" s="89"/>
      <c r="M23" s="89"/>
      <c r="N23" s="89"/>
    </row>
    <row r="24" spans="2:15" ht="18" customHeight="1" x14ac:dyDescent="0.25">
      <c r="B24" s="5" t="s">
        <v>42</v>
      </c>
      <c r="C24" s="5"/>
      <c r="D24" s="8" t="s">
        <v>37</v>
      </c>
      <c r="E24" s="67"/>
      <c r="F24" s="8" t="s">
        <v>38</v>
      </c>
      <c r="G24" s="67"/>
      <c r="H24" s="8" t="s">
        <v>1</v>
      </c>
      <c r="I24" s="89" t="str">
        <f>IF(AND(ISBLANK(E24),ISBLANK(G24)),"N/A","")</f>
        <v>N/A</v>
      </c>
      <c r="J24" s="89"/>
      <c r="K24" s="89"/>
      <c r="L24" s="89"/>
      <c r="M24" s="89"/>
      <c r="N24" s="89"/>
    </row>
    <row r="25" spans="2:15" ht="18" customHeight="1" x14ac:dyDescent="0.25">
      <c r="B25" s="5" t="s">
        <v>43</v>
      </c>
      <c r="C25" s="5"/>
      <c r="D25" s="8" t="s">
        <v>37</v>
      </c>
      <c r="E25" s="67"/>
      <c r="F25" s="8" t="s">
        <v>38</v>
      </c>
      <c r="G25" s="67"/>
      <c r="H25" s="8" t="s">
        <v>1</v>
      </c>
      <c r="I25" s="89" t="str">
        <f>IF(AND(ISBLANK(E25),ISBLANK(G25)),"N/A","")</f>
        <v>N/A</v>
      </c>
      <c r="J25" s="89"/>
      <c r="K25" s="89"/>
      <c r="L25" s="89"/>
      <c r="M25" s="89"/>
      <c r="N25" s="89"/>
    </row>
    <row r="26" spans="2:15" ht="18" customHeight="1" x14ac:dyDescent="0.25">
      <c r="B26" s="5" t="s">
        <v>44</v>
      </c>
      <c r="C26" s="5"/>
      <c r="D26" s="8" t="s">
        <v>37</v>
      </c>
      <c r="E26" s="67"/>
      <c r="F26" s="8" t="s">
        <v>38</v>
      </c>
      <c r="G26" s="67"/>
      <c r="H26" s="8" t="s">
        <v>1</v>
      </c>
      <c r="I26" s="89" t="str">
        <f t="shared" ref="I26:I41" si="0">IF(AND(ISBLANK(E26),ISBLANK(G26)),"N/A","")</f>
        <v>N/A</v>
      </c>
      <c r="J26" s="89"/>
      <c r="K26" s="89"/>
      <c r="L26" s="89"/>
      <c r="M26" s="89"/>
      <c r="N26" s="89"/>
    </row>
    <row r="27" spans="2:15" ht="18" customHeight="1" x14ac:dyDescent="0.25">
      <c r="B27" s="5" t="s">
        <v>45</v>
      </c>
      <c r="C27" s="5"/>
      <c r="D27" s="8" t="s">
        <v>37</v>
      </c>
      <c r="E27" s="67"/>
      <c r="F27" s="8" t="s">
        <v>38</v>
      </c>
      <c r="G27" s="67"/>
      <c r="H27" s="8" t="s">
        <v>1</v>
      </c>
      <c r="I27" s="89" t="str">
        <f t="shared" si="0"/>
        <v>N/A</v>
      </c>
      <c r="J27" s="89"/>
      <c r="K27" s="89"/>
      <c r="L27" s="89"/>
      <c r="M27" s="89"/>
      <c r="N27" s="89"/>
    </row>
    <row r="28" spans="2:15" ht="18" customHeight="1" x14ac:dyDescent="0.25">
      <c r="B28" s="5" t="s">
        <v>46</v>
      </c>
      <c r="C28" s="5"/>
      <c r="D28" s="8" t="s">
        <v>37</v>
      </c>
      <c r="E28" s="67"/>
      <c r="F28" s="8" t="s">
        <v>38</v>
      </c>
      <c r="G28" s="67"/>
      <c r="H28" s="8" t="s">
        <v>1</v>
      </c>
      <c r="I28" s="89" t="str">
        <f t="shared" si="0"/>
        <v>N/A</v>
      </c>
      <c r="J28" s="89"/>
      <c r="K28" s="89"/>
      <c r="L28" s="89"/>
      <c r="M28" s="89"/>
      <c r="N28" s="89"/>
    </row>
    <row r="29" spans="2:15" ht="18" customHeight="1" x14ac:dyDescent="0.25">
      <c r="B29" s="5" t="s">
        <v>47</v>
      </c>
      <c r="C29" s="5"/>
      <c r="D29" s="8" t="s">
        <v>37</v>
      </c>
      <c r="E29" s="67"/>
      <c r="F29" s="8" t="s">
        <v>38</v>
      </c>
      <c r="G29" s="67"/>
      <c r="H29" s="8" t="s">
        <v>1</v>
      </c>
      <c r="I29" s="89" t="str">
        <f t="shared" si="0"/>
        <v>N/A</v>
      </c>
      <c r="J29" s="89"/>
      <c r="K29" s="89"/>
      <c r="L29" s="89"/>
      <c r="M29" s="89"/>
      <c r="N29" s="89"/>
    </row>
    <row r="30" spans="2:15" ht="18" customHeight="1" x14ac:dyDescent="0.25">
      <c r="B30" s="5" t="s">
        <v>48</v>
      </c>
      <c r="C30" s="5"/>
      <c r="D30" s="8" t="s">
        <v>32</v>
      </c>
      <c r="E30" s="67"/>
      <c r="F30" s="8" t="s">
        <v>33</v>
      </c>
      <c r="G30" s="67"/>
      <c r="H30" s="8" t="s">
        <v>1</v>
      </c>
      <c r="I30" s="89" t="str">
        <f t="shared" si="0"/>
        <v>N/A</v>
      </c>
      <c r="J30" s="89"/>
      <c r="K30" s="89"/>
      <c r="L30" s="89"/>
      <c r="M30" s="89"/>
      <c r="N30" s="89"/>
    </row>
    <row r="31" spans="2:15" ht="18" customHeight="1" x14ac:dyDescent="0.25">
      <c r="B31" s="5" t="s">
        <v>49</v>
      </c>
      <c r="C31" s="5"/>
      <c r="D31" s="8" t="s">
        <v>37</v>
      </c>
      <c r="E31" s="67"/>
      <c r="F31" s="8" t="s">
        <v>38</v>
      </c>
      <c r="G31" s="67"/>
      <c r="H31" s="8" t="s">
        <v>1</v>
      </c>
      <c r="I31" s="89" t="str">
        <f t="shared" si="0"/>
        <v>N/A</v>
      </c>
      <c r="J31" s="89"/>
      <c r="K31" s="89"/>
      <c r="L31" s="89"/>
      <c r="M31" s="89"/>
      <c r="N31" s="89"/>
    </row>
    <row r="32" spans="2:15" ht="18" customHeight="1" x14ac:dyDescent="0.25">
      <c r="B32" s="5" t="s">
        <v>50</v>
      </c>
      <c r="C32" s="5"/>
      <c r="D32" s="8" t="s">
        <v>32</v>
      </c>
      <c r="E32" s="67"/>
      <c r="F32" s="8" t="s">
        <v>33</v>
      </c>
      <c r="G32" s="67"/>
      <c r="H32" s="8" t="s">
        <v>1</v>
      </c>
      <c r="I32" s="89" t="str">
        <f t="shared" si="0"/>
        <v>N/A</v>
      </c>
      <c r="J32" s="89"/>
      <c r="K32" s="89"/>
      <c r="L32" s="89"/>
      <c r="M32" s="89"/>
      <c r="N32" s="89"/>
    </row>
    <row r="33" spans="2:16" ht="18" customHeight="1" x14ac:dyDescent="0.25">
      <c r="B33" s="5" t="s">
        <v>51</v>
      </c>
      <c r="C33" s="5"/>
      <c r="D33" s="8" t="s">
        <v>37</v>
      </c>
      <c r="E33" s="67"/>
      <c r="F33" s="8" t="s">
        <v>38</v>
      </c>
      <c r="G33" s="67"/>
      <c r="H33" s="8" t="s">
        <v>1</v>
      </c>
      <c r="I33" s="89" t="str">
        <f t="shared" si="0"/>
        <v>N/A</v>
      </c>
      <c r="J33" s="89"/>
      <c r="K33" s="89"/>
      <c r="L33" s="89"/>
      <c r="M33" s="89"/>
      <c r="N33" s="89"/>
    </row>
    <row r="34" spans="2:16" ht="18" customHeight="1" x14ac:dyDescent="0.25">
      <c r="B34" s="5" t="s">
        <v>92</v>
      </c>
      <c r="C34" s="5"/>
      <c r="D34" s="8" t="s">
        <v>37</v>
      </c>
      <c r="E34" s="67"/>
      <c r="F34" s="8" t="s">
        <v>38</v>
      </c>
      <c r="G34" s="67"/>
      <c r="H34" s="8" t="s">
        <v>1</v>
      </c>
      <c r="I34" s="89" t="str">
        <f t="shared" si="0"/>
        <v>N/A</v>
      </c>
      <c r="J34" s="89"/>
      <c r="K34" s="89"/>
      <c r="L34" s="89"/>
      <c r="M34" s="89"/>
      <c r="N34" s="89"/>
    </row>
    <row r="35" spans="2:16" ht="18" customHeight="1" x14ac:dyDescent="0.25">
      <c r="B35" s="5" t="s">
        <v>93</v>
      </c>
      <c r="C35" s="5"/>
      <c r="D35" s="8" t="s">
        <v>37</v>
      </c>
      <c r="E35" s="67"/>
      <c r="F35" s="8" t="s">
        <v>38</v>
      </c>
      <c r="G35" s="67"/>
      <c r="H35" s="8" t="s">
        <v>1</v>
      </c>
      <c r="I35" s="89" t="str">
        <f t="shared" si="0"/>
        <v>N/A</v>
      </c>
      <c r="J35" s="89"/>
      <c r="K35" s="89"/>
      <c r="L35" s="89"/>
      <c r="M35" s="89"/>
      <c r="N35" s="89"/>
    </row>
    <row r="36" spans="2:16" ht="18" customHeight="1" x14ac:dyDescent="0.25">
      <c r="B36" s="5" t="s">
        <v>94</v>
      </c>
      <c r="C36" s="5"/>
      <c r="D36" s="8" t="s">
        <v>37</v>
      </c>
      <c r="E36" s="67"/>
      <c r="F36" s="8" t="s">
        <v>38</v>
      </c>
      <c r="G36" s="67"/>
      <c r="H36" s="8" t="s">
        <v>1</v>
      </c>
      <c r="I36" s="89" t="str">
        <f t="shared" si="0"/>
        <v>N/A</v>
      </c>
      <c r="J36" s="89"/>
      <c r="K36" s="89"/>
      <c r="L36" s="89"/>
      <c r="M36" s="89"/>
      <c r="N36" s="89"/>
    </row>
    <row r="37" spans="2:16" ht="18" customHeight="1" x14ac:dyDescent="0.25">
      <c r="B37" s="5" t="s">
        <v>95</v>
      </c>
      <c r="C37" s="5"/>
      <c r="D37" s="8" t="s">
        <v>32</v>
      </c>
      <c r="E37" s="67"/>
      <c r="F37" s="8" t="s">
        <v>33</v>
      </c>
      <c r="G37" s="67"/>
      <c r="H37" s="8" t="s">
        <v>1</v>
      </c>
      <c r="I37" s="89" t="str">
        <f t="shared" si="0"/>
        <v>N/A</v>
      </c>
      <c r="J37" s="89"/>
      <c r="K37" s="89"/>
      <c r="L37" s="89"/>
      <c r="M37" s="89"/>
      <c r="N37" s="89"/>
    </row>
    <row r="38" spans="2:16" ht="18" customHeight="1" x14ac:dyDescent="0.25">
      <c r="B38" s="5" t="s">
        <v>96</v>
      </c>
      <c r="C38" s="5"/>
      <c r="D38" s="8" t="s">
        <v>37</v>
      </c>
      <c r="E38" s="67"/>
      <c r="F38" s="8" t="s">
        <v>38</v>
      </c>
      <c r="G38" s="67"/>
      <c r="H38" s="8" t="s">
        <v>1</v>
      </c>
      <c r="I38" s="89" t="str">
        <f t="shared" si="0"/>
        <v>N/A</v>
      </c>
      <c r="J38" s="89"/>
      <c r="K38" s="89"/>
      <c r="L38" s="89"/>
      <c r="M38" s="89"/>
      <c r="N38" s="89"/>
    </row>
    <row r="39" spans="2:16" ht="18" customHeight="1" x14ac:dyDescent="0.25">
      <c r="B39" s="5" t="s">
        <v>97</v>
      </c>
      <c r="C39" s="5"/>
      <c r="D39" s="8" t="s">
        <v>37</v>
      </c>
      <c r="E39" s="67"/>
      <c r="F39" s="8" t="s">
        <v>38</v>
      </c>
      <c r="G39" s="67"/>
      <c r="H39" s="8" t="s">
        <v>1</v>
      </c>
      <c r="I39" s="89" t="str">
        <f t="shared" si="0"/>
        <v>N/A</v>
      </c>
      <c r="J39" s="89"/>
      <c r="K39" s="89"/>
      <c r="L39" s="89"/>
      <c r="M39" s="89"/>
      <c r="N39" s="89"/>
    </row>
    <row r="40" spans="2:16" ht="18" customHeight="1" x14ac:dyDescent="0.25">
      <c r="B40" s="5" t="s">
        <v>98</v>
      </c>
      <c r="C40" s="5"/>
      <c r="D40" s="8" t="s">
        <v>37</v>
      </c>
      <c r="E40" s="67"/>
      <c r="F40" s="8" t="s">
        <v>38</v>
      </c>
      <c r="G40" s="67"/>
      <c r="H40" s="8" t="s">
        <v>1</v>
      </c>
      <c r="I40" s="89" t="str">
        <f t="shared" si="0"/>
        <v>N/A</v>
      </c>
      <c r="J40" s="89"/>
      <c r="K40" s="89"/>
      <c r="L40" s="89"/>
      <c r="M40" s="89"/>
      <c r="N40" s="89"/>
    </row>
    <row r="41" spans="2:16" ht="18" customHeight="1" x14ac:dyDescent="0.25">
      <c r="B41" s="5" t="s">
        <v>99</v>
      </c>
      <c r="C41" s="5"/>
      <c r="D41" s="8" t="s">
        <v>37</v>
      </c>
      <c r="E41" s="67"/>
      <c r="F41" s="8" t="s">
        <v>38</v>
      </c>
      <c r="G41" s="67"/>
      <c r="H41" s="8" t="s">
        <v>1</v>
      </c>
      <c r="I41" s="98" t="str">
        <f t="shared" si="0"/>
        <v>N/A</v>
      </c>
      <c r="J41" s="98"/>
      <c r="K41" s="98"/>
      <c r="L41" s="98"/>
      <c r="M41" s="98"/>
      <c r="N41" s="98"/>
    </row>
    <row r="42" spans="2:16" ht="18" customHeight="1" x14ac:dyDescent="0.25">
      <c r="B42" s="5" t="s">
        <v>100</v>
      </c>
      <c r="C42" s="5"/>
      <c r="D42" s="8" t="s">
        <v>39</v>
      </c>
      <c r="E42" s="67"/>
      <c r="F42" s="8" t="s">
        <v>40</v>
      </c>
      <c r="G42" s="67"/>
      <c r="H42" s="8" t="s">
        <v>1</v>
      </c>
      <c r="I42" s="96" t="s">
        <v>229</v>
      </c>
      <c r="J42" s="97"/>
      <c r="K42" s="12"/>
      <c r="L42" s="64" t="s">
        <v>231</v>
      </c>
      <c r="M42" s="11"/>
      <c r="N42" s="12" t="s">
        <v>232</v>
      </c>
      <c r="P42" t="s">
        <v>230</v>
      </c>
    </row>
    <row r="43" spans="2:16" ht="18" customHeight="1" x14ac:dyDescent="0.25">
      <c r="B43" s="5" t="s">
        <v>101</v>
      </c>
      <c r="C43" s="5"/>
      <c r="D43" s="8" t="s">
        <v>37</v>
      </c>
      <c r="E43" s="67"/>
      <c r="F43" s="8" t="s">
        <v>38</v>
      </c>
      <c r="G43" s="67"/>
      <c r="H43" s="8" t="s">
        <v>1</v>
      </c>
      <c r="I43" s="91" t="str">
        <f t="shared" ref="I43:I45" si="1">IF(AND(ISBLANK(E43),ISBLANK(G43)),"N/A","")</f>
        <v>N/A</v>
      </c>
      <c r="J43" s="91"/>
      <c r="K43" s="91"/>
      <c r="L43" s="91"/>
      <c r="M43" s="91"/>
      <c r="N43" s="91"/>
    </row>
    <row r="44" spans="2:16" ht="18" customHeight="1" x14ac:dyDescent="0.25">
      <c r="B44" s="19" t="s">
        <v>102</v>
      </c>
      <c r="C44" s="5"/>
      <c r="D44" s="8" t="s">
        <v>32</v>
      </c>
      <c r="E44" s="67"/>
      <c r="F44" s="8" t="s">
        <v>33</v>
      </c>
      <c r="G44" s="67"/>
      <c r="H44" s="8" t="s">
        <v>1</v>
      </c>
      <c r="I44" s="89" t="str">
        <f t="shared" si="1"/>
        <v>N/A</v>
      </c>
      <c r="J44" s="89"/>
      <c r="K44" s="89"/>
      <c r="L44" s="89"/>
      <c r="M44" s="89"/>
      <c r="N44" s="89"/>
    </row>
    <row r="45" spans="2:16" ht="18" customHeight="1" x14ac:dyDescent="0.25">
      <c r="B45" s="7" t="s">
        <v>103</v>
      </c>
      <c r="C45" s="5"/>
      <c r="D45" s="8" t="s">
        <v>32</v>
      </c>
      <c r="E45" s="67"/>
      <c r="F45" s="8" t="s">
        <v>33</v>
      </c>
      <c r="G45" s="67"/>
      <c r="H45" s="8" t="s">
        <v>1</v>
      </c>
      <c r="I45" s="89" t="str">
        <f t="shared" si="1"/>
        <v>N/A</v>
      </c>
      <c r="J45" s="89"/>
      <c r="K45" s="89"/>
      <c r="L45" s="89"/>
      <c r="M45" s="89"/>
      <c r="N45" s="89"/>
    </row>
    <row r="46" spans="2:16" ht="18" customHeight="1" x14ac:dyDescent="0.25">
      <c r="B46" s="7" t="s">
        <v>145</v>
      </c>
      <c r="C46" s="7"/>
      <c r="D46" s="8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23"/>
    </row>
    <row r="47" spans="2:16" ht="18" customHeight="1" x14ac:dyDescent="0.25">
      <c r="B47" s="7"/>
      <c r="C47" s="7"/>
      <c r="D47" s="8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23"/>
    </row>
    <row r="48" spans="2:16" ht="30.75" customHeight="1" x14ac:dyDescent="0.25">
      <c r="B48" s="7"/>
      <c r="C48" s="7"/>
      <c r="D48" s="8"/>
      <c r="E48" s="8"/>
      <c r="F48" s="8"/>
      <c r="G48" s="8"/>
      <c r="H48" s="8"/>
      <c r="I48" s="6"/>
      <c r="J48" s="6"/>
      <c r="K48" s="6"/>
      <c r="L48" s="6"/>
      <c r="M48" s="6"/>
      <c r="N48" s="6"/>
      <c r="O48" s="23"/>
    </row>
    <row r="49" spans="2:15" ht="18" customHeight="1" x14ac:dyDescent="0.25">
      <c r="B49" s="7" t="s">
        <v>152</v>
      </c>
      <c r="C49" s="75"/>
      <c r="D49" s="75" t="s">
        <v>245</v>
      </c>
      <c r="E49" s="75"/>
      <c r="F49" s="75"/>
      <c r="G49" s="5"/>
      <c r="H49" s="7" t="s">
        <v>153</v>
      </c>
      <c r="I49" s="7"/>
      <c r="J49" s="9"/>
      <c r="K49" s="9"/>
      <c r="L49" s="10"/>
      <c r="M49" s="10" t="s">
        <v>246</v>
      </c>
      <c r="N49" s="10"/>
      <c r="O49" s="24"/>
    </row>
    <row r="50" spans="2:15" ht="18" customHeight="1" x14ac:dyDescent="0.25">
      <c r="B50" s="5"/>
      <c r="C50" s="5"/>
      <c r="D50" s="5"/>
      <c r="E50" s="5"/>
      <c r="F50" s="5"/>
      <c r="G50" s="7"/>
      <c r="H50" s="5"/>
      <c r="I50" s="7"/>
      <c r="J50" s="21"/>
      <c r="K50" s="22"/>
      <c r="L50" s="22"/>
      <c r="M50" s="22"/>
      <c r="N50" s="22"/>
    </row>
    <row r="51" spans="2:15" ht="15.75" x14ac:dyDescent="0.25">
      <c r="B51" s="5" t="s">
        <v>4</v>
      </c>
      <c r="C51" s="90"/>
      <c r="D51" s="90"/>
      <c r="E51" s="90"/>
      <c r="F51" s="90"/>
      <c r="G51" s="5"/>
      <c r="H51" s="5" t="s">
        <v>4</v>
      </c>
      <c r="I51" s="5"/>
      <c r="J51" s="5"/>
      <c r="K51" s="9"/>
      <c r="L51" s="10"/>
      <c r="M51" s="10"/>
      <c r="N51" s="10"/>
    </row>
    <row r="53" spans="2:15" x14ac:dyDescent="0.25">
      <c r="O53" s="32" t="s">
        <v>148</v>
      </c>
    </row>
  </sheetData>
  <protectedRanges>
    <protectedRange sqref="C49:F49 J49:O49 C51:F51 K50:N51" name="pd76f2506e825e80154285506ac3cb46a"/>
  </protectedRanges>
  <mergeCells count="49">
    <mergeCell ref="C15:E15"/>
    <mergeCell ref="F15:H15"/>
    <mergeCell ref="G19:H19"/>
    <mergeCell ref="C16:F16"/>
    <mergeCell ref="J16:K16"/>
    <mergeCell ref="C17:F17"/>
    <mergeCell ref="G18:H18"/>
    <mergeCell ref="K18:L18"/>
    <mergeCell ref="K19:L19"/>
    <mergeCell ref="J13:K13"/>
    <mergeCell ref="C5:F5"/>
    <mergeCell ref="C6:H6"/>
    <mergeCell ref="C8:F8"/>
    <mergeCell ref="C13:F13"/>
    <mergeCell ref="C7:H7"/>
    <mergeCell ref="K6:N6"/>
    <mergeCell ref="K7:N7"/>
    <mergeCell ref="C12:E12"/>
    <mergeCell ref="F12:H12"/>
    <mergeCell ref="G20:H20"/>
    <mergeCell ref="K20:L20"/>
    <mergeCell ref="G21:H21"/>
    <mergeCell ref="K21:L21"/>
    <mergeCell ref="I42:J42"/>
    <mergeCell ref="I23:N23"/>
    <mergeCell ref="I38:N38"/>
    <mergeCell ref="I39:N39"/>
    <mergeCell ref="I40:N40"/>
    <mergeCell ref="I29:N29"/>
    <mergeCell ref="I24:N24"/>
    <mergeCell ref="I25:N25"/>
    <mergeCell ref="I26:N26"/>
    <mergeCell ref="I27:N27"/>
    <mergeCell ref="I28:N28"/>
    <mergeCell ref="I41:N41"/>
    <mergeCell ref="C51:F51"/>
    <mergeCell ref="I43:N43"/>
    <mergeCell ref="I44:N44"/>
    <mergeCell ref="I45:N45"/>
    <mergeCell ref="E46:N46"/>
    <mergeCell ref="E47:N47"/>
    <mergeCell ref="I35:N35"/>
    <mergeCell ref="I36:N36"/>
    <mergeCell ref="I37:N37"/>
    <mergeCell ref="I30:N30"/>
    <mergeCell ref="I31:N31"/>
    <mergeCell ref="I32:N32"/>
    <mergeCell ref="I33:N33"/>
    <mergeCell ref="I34:N34"/>
  </mergeCells>
  <dataValidations count="2">
    <dataValidation type="list" allowBlank="1" showInputMessage="1" sqref="C17:F17" xr:uid="{DB4C070B-07EE-4FFD-A23A-26FBAD3F1A5B}">
      <formula1>"1,2,3,4,N/A,NOT ACCESSIBLE"</formula1>
    </dataValidation>
    <dataValidation type="list" allowBlank="1" showInputMessage="1" sqref="D18:D21" xr:uid="{301887C4-DECC-4B49-981D-13EADF2398CD}">
      <formula1>"H/S,C/T"</formula1>
    </dataValidation>
  </dataValidations>
  <printOptions horizontalCentered="1" verticalCentered="1"/>
  <pageMargins left="0" right="0.70866141732283505" top="0.39370078740157499" bottom="0.39370078740157499" header="0.31496062992126" footer="0.31496062992126"/>
  <pageSetup scale="6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29D02F8A-F36D-4E30-9BE0-33AE71C29AC7}">
          <x14:formula1>
            <xm:f>ASSET_11!$A$2:$A$21</xm:f>
          </x14:formula1>
          <xm:sqref>N1</xm:sqref>
        </x14:dataValidation>
        <x14:dataValidation type="list" allowBlank="1" showInputMessage="1" xr:uid="{7056B5DF-1106-4FD5-913B-DD53B5600DD6}">
          <x14:formula1>
            <xm:f>vi_library!$B$2:$B$3</xm:f>
          </x14:formula1>
          <xm:sqref>D9:D11 E23:E45 G23:G45 I9:I11 G9:G11 K9 K11 M9 M11 O9 O11 D14 G14 I14 K14 M14 O14</xm:sqref>
        </x14:dataValidation>
        <x14:dataValidation type="list" allowBlank="1" showInputMessage="1" xr:uid="{C567D45A-298E-4D66-BAC6-23499832E1B6}">
          <x14:formula1>
            <xm:f>equipment_library!$H$2:$H$5</xm:f>
          </x14:formula1>
          <xm:sqref>J13:K13 J16:K16</xm:sqref>
        </x14:dataValidation>
        <x14:dataValidation type="list" allowBlank="1" showInputMessage="1" xr:uid="{FBE23C6F-0417-418E-A41F-181DB3F1A22F}">
          <x14:formula1>
            <xm:f>equipment_library!$K$2:$K$8</xm:f>
          </x14:formula1>
          <xm:sqref>F18:F21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2AE1-61CB-4B97-9DFA-15BCB2034A40}">
  <dimension ref="A1:J21"/>
  <sheetViews>
    <sheetView workbookViewId="0">
      <selection activeCell="E18" sqref="E18"/>
    </sheetView>
  </sheetViews>
  <sheetFormatPr defaultRowHeight="15" x14ac:dyDescent="0.25"/>
  <sheetData>
    <row r="1" spans="1:10" x14ac:dyDescent="0.25">
      <c r="A1" t="s">
        <v>540</v>
      </c>
      <c r="B1" t="s">
        <v>541</v>
      </c>
      <c r="C1" t="s">
        <v>542</v>
      </c>
      <c r="D1" t="s">
        <v>543</v>
      </c>
      <c r="E1" t="s">
        <v>544</v>
      </c>
      <c r="F1" t="s">
        <v>545</v>
      </c>
      <c r="G1" t="s">
        <v>546</v>
      </c>
      <c r="H1" t="s">
        <v>547</v>
      </c>
      <c r="I1" t="s">
        <v>548</v>
      </c>
      <c r="J1" t="s">
        <v>549</v>
      </c>
    </row>
    <row r="2" spans="1:10" x14ac:dyDescent="0.25">
      <c r="A2" t="s">
        <v>550</v>
      </c>
      <c r="B2">
        <v>2010323000</v>
      </c>
      <c r="C2" t="s">
        <v>551</v>
      </c>
      <c r="D2">
        <v>250</v>
      </c>
      <c r="E2">
        <v>2010323030</v>
      </c>
      <c r="F2" t="s">
        <v>552</v>
      </c>
      <c r="G2">
        <v>315</v>
      </c>
      <c r="H2">
        <v>2010323038</v>
      </c>
      <c r="I2" t="s">
        <v>553</v>
      </c>
      <c r="J2">
        <v>395</v>
      </c>
    </row>
    <row r="3" spans="1:10" x14ac:dyDescent="0.25">
      <c r="A3" t="s">
        <v>554</v>
      </c>
      <c r="B3">
        <v>2010323000</v>
      </c>
      <c r="C3" t="s">
        <v>551</v>
      </c>
      <c r="D3">
        <v>250</v>
      </c>
      <c r="E3">
        <v>2010323030</v>
      </c>
      <c r="F3" t="s">
        <v>552</v>
      </c>
      <c r="G3">
        <v>315</v>
      </c>
      <c r="H3" t="s">
        <v>232</v>
      </c>
      <c r="I3" t="s">
        <v>232</v>
      </c>
      <c r="J3" t="s">
        <v>232</v>
      </c>
    </row>
    <row r="4" spans="1:10" x14ac:dyDescent="0.25">
      <c r="A4" t="s">
        <v>555</v>
      </c>
      <c r="B4">
        <v>2010323000</v>
      </c>
      <c r="C4" t="s">
        <v>551</v>
      </c>
      <c r="D4">
        <v>250</v>
      </c>
      <c r="E4">
        <v>2010323030</v>
      </c>
      <c r="F4" t="s">
        <v>552</v>
      </c>
      <c r="G4">
        <v>315</v>
      </c>
      <c r="H4">
        <v>2010323038</v>
      </c>
      <c r="I4" t="s">
        <v>553</v>
      </c>
      <c r="J4">
        <v>395</v>
      </c>
    </row>
    <row r="5" spans="1:10" x14ac:dyDescent="0.25">
      <c r="A5" t="s">
        <v>556</v>
      </c>
      <c r="B5">
        <v>2010323000</v>
      </c>
      <c r="C5" t="s">
        <v>551</v>
      </c>
      <c r="D5">
        <v>250</v>
      </c>
      <c r="E5">
        <v>2010323030</v>
      </c>
      <c r="F5" t="s">
        <v>552</v>
      </c>
      <c r="G5">
        <v>315</v>
      </c>
      <c r="H5" t="s">
        <v>232</v>
      </c>
      <c r="I5" t="s">
        <v>232</v>
      </c>
      <c r="J5" t="s">
        <v>232</v>
      </c>
    </row>
    <row r="6" spans="1:10" x14ac:dyDescent="0.25">
      <c r="A6" t="s">
        <v>65</v>
      </c>
      <c r="B6">
        <v>2010323000</v>
      </c>
      <c r="C6" t="s">
        <v>551</v>
      </c>
      <c r="D6">
        <v>250</v>
      </c>
      <c r="E6">
        <v>2010323030</v>
      </c>
      <c r="F6" t="s">
        <v>552</v>
      </c>
      <c r="G6">
        <v>315</v>
      </c>
      <c r="H6" t="s">
        <v>232</v>
      </c>
      <c r="I6" t="s">
        <v>232</v>
      </c>
      <c r="J6" t="s">
        <v>232</v>
      </c>
    </row>
    <row r="7" spans="1:10" x14ac:dyDescent="0.25">
      <c r="A7" t="s">
        <v>557</v>
      </c>
      <c r="B7">
        <v>2010323000</v>
      </c>
      <c r="C7" t="s">
        <v>551</v>
      </c>
      <c r="D7">
        <v>250</v>
      </c>
      <c r="E7">
        <v>2010323030</v>
      </c>
      <c r="F7" t="s">
        <v>552</v>
      </c>
      <c r="G7">
        <v>315</v>
      </c>
      <c r="H7">
        <v>2010323038</v>
      </c>
      <c r="I7" t="s">
        <v>553</v>
      </c>
      <c r="J7">
        <v>395</v>
      </c>
    </row>
    <row r="8" spans="1:10" x14ac:dyDescent="0.25">
      <c r="A8" t="s">
        <v>558</v>
      </c>
      <c r="B8">
        <v>2010323000</v>
      </c>
      <c r="C8" t="s">
        <v>551</v>
      </c>
      <c r="D8">
        <v>250</v>
      </c>
      <c r="E8">
        <v>2010323030</v>
      </c>
      <c r="F8" t="s">
        <v>552</v>
      </c>
      <c r="G8">
        <v>315</v>
      </c>
      <c r="H8" t="s">
        <v>232</v>
      </c>
      <c r="I8" t="s">
        <v>232</v>
      </c>
      <c r="J8" t="s">
        <v>232</v>
      </c>
    </row>
    <row r="9" spans="1:10" x14ac:dyDescent="0.25">
      <c r="A9" t="s">
        <v>559</v>
      </c>
      <c r="B9">
        <v>2010323000</v>
      </c>
      <c r="C9" t="s">
        <v>551</v>
      </c>
      <c r="D9">
        <v>250</v>
      </c>
      <c r="E9">
        <v>2010323030</v>
      </c>
      <c r="F9" t="s">
        <v>552</v>
      </c>
      <c r="G9">
        <v>315</v>
      </c>
      <c r="H9">
        <v>2010323038</v>
      </c>
      <c r="I9" t="s">
        <v>553</v>
      </c>
      <c r="J9">
        <v>395</v>
      </c>
    </row>
    <row r="10" spans="1:10" x14ac:dyDescent="0.25">
      <c r="A10" t="s">
        <v>560</v>
      </c>
      <c r="B10">
        <v>2010323000</v>
      </c>
      <c r="C10" t="s">
        <v>551</v>
      </c>
      <c r="D10">
        <v>250</v>
      </c>
      <c r="E10">
        <v>2010323030</v>
      </c>
      <c r="F10" t="s">
        <v>552</v>
      </c>
      <c r="G10">
        <v>315</v>
      </c>
      <c r="H10">
        <v>2010323038</v>
      </c>
      <c r="I10" t="s">
        <v>553</v>
      </c>
      <c r="J10">
        <v>395</v>
      </c>
    </row>
    <row r="11" spans="1:10" x14ac:dyDescent="0.25">
      <c r="A11" t="s">
        <v>561</v>
      </c>
      <c r="B11">
        <v>2010323000</v>
      </c>
      <c r="C11" t="s">
        <v>551</v>
      </c>
      <c r="D11">
        <v>250</v>
      </c>
      <c r="E11">
        <v>2010323030</v>
      </c>
      <c r="F11" t="s">
        <v>552</v>
      </c>
      <c r="G11">
        <v>315</v>
      </c>
      <c r="H11">
        <v>2010323038</v>
      </c>
      <c r="I11" t="s">
        <v>553</v>
      </c>
      <c r="J11">
        <v>395</v>
      </c>
    </row>
    <row r="12" spans="1:10" x14ac:dyDescent="0.25">
      <c r="A12" t="s">
        <v>562</v>
      </c>
      <c r="B12">
        <v>2010323000</v>
      </c>
      <c r="C12" t="s">
        <v>551</v>
      </c>
      <c r="D12">
        <v>250</v>
      </c>
      <c r="E12">
        <v>2010323030</v>
      </c>
      <c r="F12" t="s">
        <v>552</v>
      </c>
      <c r="G12">
        <v>315</v>
      </c>
      <c r="H12">
        <v>2010323038</v>
      </c>
      <c r="I12" t="s">
        <v>553</v>
      </c>
      <c r="J12">
        <v>395</v>
      </c>
    </row>
    <row r="13" spans="1:10" x14ac:dyDescent="0.25">
      <c r="A13" t="s">
        <v>563</v>
      </c>
      <c r="B13">
        <v>2010323051</v>
      </c>
      <c r="C13" t="s">
        <v>564</v>
      </c>
      <c r="D13">
        <v>473.9</v>
      </c>
      <c r="E13">
        <v>2010323054</v>
      </c>
      <c r="F13" t="s">
        <v>565</v>
      </c>
      <c r="G13">
        <v>670.8</v>
      </c>
      <c r="H13">
        <v>2010323056</v>
      </c>
      <c r="I13" t="s">
        <v>566</v>
      </c>
      <c r="J13">
        <v>1217.5999999999999</v>
      </c>
    </row>
    <row r="14" spans="1:10" x14ac:dyDescent="0.25">
      <c r="A14" t="s">
        <v>567</v>
      </c>
      <c r="B14">
        <v>2010323000</v>
      </c>
      <c r="C14" t="s">
        <v>551</v>
      </c>
      <c r="D14">
        <v>250</v>
      </c>
      <c r="E14">
        <v>2010323030</v>
      </c>
      <c r="F14" t="s">
        <v>552</v>
      </c>
      <c r="G14">
        <v>315</v>
      </c>
      <c r="H14">
        <v>2010323038</v>
      </c>
      <c r="I14" t="s">
        <v>553</v>
      </c>
      <c r="J14">
        <v>395</v>
      </c>
    </row>
    <row r="15" spans="1:10" x14ac:dyDescent="0.25">
      <c r="A15" t="s">
        <v>568</v>
      </c>
      <c r="B15">
        <v>2010323051</v>
      </c>
      <c r="C15" t="s">
        <v>564</v>
      </c>
      <c r="D15">
        <v>473.9</v>
      </c>
      <c r="E15">
        <v>2010323054</v>
      </c>
      <c r="F15" t="s">
        <v>565</v>
      </c>
      <c r="G15">
        <v>670.8</v>
      </c>
      <c r="H15">
        <v>2010323056</v>
      </c>
      <c r="I15" t="s">
        <v>566</v>
      </c>
      <c r="J15">
        <v>1217.5999999999999</v>
      </c>
    </row>
    <row r="16" spans="1:10" x14ac:dyDescent="0.25">
      <c r="A16" t="s">
        <v>569</v>
      </c>
      <c r="B16" t="s">
        <v>232</v>
      </c>
      <c r="C16" t="s">
        <v>232</v>
      </c>
      <c r="D16" t="s">
        <v>232</v>
      </c>
      <c r="E16" t="s">
        <v>232</v>
      </c>
      <c r="F16" t="s">
        <v>232</v>
      </c>
      <c r="G16" t="s">
        <v>232</v>
      </c>
      <c r="H16" t="s">
        <v>232</v>
      </c>
      <c r="I16" t="s">
        <v>232</v>
      </c>
      <c r="J16" t="s">
        <v>232</v>
      </c>
    </row>
    <row r="17" spans="1:10" x14ac:dyDescent="0.25">
      <c r="A17" t="s">
        <v>570</v>
      </c>
      <c r="B17" t="s">
        <v>232</v>
      </c>
      <c r="C17" t="s">
        <v>232</v>
      </c>
      <c r="D17" t="s">
        <v>232</v>
      </c>
      <c r="E17" t="s">
        <v>232</v>
      </c>
      <c r="F17" t="s">
        <v>232</v>
      </c>
      <c r="G17" t="s">
        <v>232</v>
      </c>
      <c r="H17" t="s">
        <v>232</v>
      </c>
      <c r="I17" t="s">
        <v>232</v>
      </c>
      <c r="J17" t="s">
        <v>232</v>
      </c>
    </row>
    <row r="18" spans="1:10" x14ac:dyDescent="0.25">
      <c r="A18" t="s">
        <v>571</v>
      </c>
      <c r="B18" t="s">
        <v>232</v>
      </c>
      <c r="C18" t="s">
        <v>232</v>
      </c>
      <c r="D18" t="s">
        <v>232</v>
      </c>
      <c r="E18" t="s">
        <v>232</v>
      </c>
      <c r="F18" t="s">
        <v>232</v>
      </c>
      <c r="G18" t="s">
        <v>232</v>
      </c>
      <c r="H18" t="s">
        <v>232</v>
      </c>
      <c r="I18" t="s">
        <v>232</v>
      </c>
      <c r="J18" t="s">
        <v>232</v>
      </c>
    </row>
    <row r="19" spans="1:10" x14ac:dyDescent="0.25">
      <c r="A19" t="s">
        <v>572</v>
      </c>
    </row>
    <row r="20" spans="1:10" x14ac:dyDescent="0.25">
      <c r="A20" t="s">
        <v>573</v>
      </c>
    </row>
    <row r="21" spans="1:10" x14ac:dyDescent="0.25">
      <c r="A21" t="s">
        <v>574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AC4C-FBB3-4412-86C4-2497508FA0C4}">
  <dimension ref="A1:BI60"/>
  <sheetViews>
    <sheetView workbookViewId="0">
      <selection sqref="A1:BI60"/>
    </sheetView>
  </sheetViews>
  <sheetFormatPr defaultRowHeight="15" x14ac:dyDescent="0.25"/>
  <sheetData>
    <row r="1" spans="1:61" x14ac:dyDescent="0.25">
      <c r="A1" s="80" t="s">
        <v>365</v>
      </c>
      <c r="B1" s="81" t="s">
        <v>366</v>
      </c>
      <c r="C1" s="81" t="s">
        <v>266</v>
      </c>
      <c r="D1" s="81" t="s">
        <v>250</v>
      </c>
      <c r="E1" s="81" t="s">
        <v>249</v>
      </c>
      <c r="F1" s="81" t="s">
        <v>307</v>
      </c>
      <c r="G1" s="81" t="s">
        <v>247</v>
      </c>
      <c r="H1" s="81" t="s">
        <v>283</v>
      </c>
      <c r="I1" s="81" t="s">
        <v>255</v>
      </c>
      <c r="J1" s="81" t="s">
        <v>299</v>
      </c>
      <c r="K1" s="81" t="s">
        <v>367</v>
      </c>
      <c r="L1" s="81" t="s">
        <v>261</v>
      </c>
      <c r="M1" s="81" t="s">
        <v>272</v>
      </c>
      <c r="N1" s="81" t="s">
        <v>303</v>
      </c>
      <c r="O1" s="81" t="s">
        <v>286</v>
      </c>
      <c r="P1" s="81" t="s">
        <v>262</v>
      </c>
      <c r="Q1" s="81" t="s">
        <v>294</v>
      </c>
      <c r="R1" s="81" t="s">
        <v>277</v>
      </c>
      <c r="S1" s="81" t="s">
        <v>295</v>
      </c>
      <c r="T1" s="81" t="s">
        <v>273</v>
      </c>
      <c r="U1" s="81" t="s">
        <v>260</v>
      </c>
      <c r="V1" s="81" t="s">
        <v>267</v>
      </c>
      <c r="W1" s="81" t="s">
        <v>368</v>
      </c>
      <c r="X1" s="81" t="s">
        <v>279</v>
      </c>
      <c r="Y1" s="81" t="s">
        <v>285</v>
      </c>
      <c r="Z1" s="81" t="s">
        <v>278</v>
      </c>
      <c r="AA1" s="81" t="s">
        <v>290</v>
      </c>
      <c r="AB1" s="81" t="s">
        <v>369</v>
      </c>
      <c r="AC1" s="81" t="s">
        <v>257</v>
      </c>
      <c r="AD1" s="81" t="s">
        <v>253</v>
      </c>
      <c r="AE1" s="81" t="s">
        <v>370</v>
      </c>
      <c r="AF1" s="81" t="s">
        <v>371</v>
      </c>
      <c r="AG1" s="81" t="s">
        <v>372</v>
      </c>
      <c r="AH1" s="81" t="s">
        <v>373</v>
      </c>
      <c r="AI1" s="81" t="s">
        <v>374</v>
      </c>
      <c r="AJ1" s="81" t="s">
        <v>284</v>
      </c>
      <c r="AK1" s="81" t="s">
        <v>265</v>
      </c>
      <c r="AL1" s="81" t="s">
        <v>271</v>
      </c>
      <c r="AM1" s="81" t="s">
        <v>223</v>
      </c>
      <c r="AN1" s="81" t="s">
        <v>375</v>
      </c>
      <c r="AO1" s="81" t="s">
        <v>251</v>
      </c>
      <c r="AP1" s="81" t="s">
        <v>259</v>
      </c>
      <c r="AQ1" s="81" t="s">
        <v>263</v>
      </c>
      <c r="AR1" s="81" t="s">
        <v>269</v>
      </c>
      <c r="AS1" s="81" t="s">
        <v>275</v>
      </c>
      <c r="AT1" s="81" t="s">
        <v>252</v>
      </c>
      <c r="AU1" s="81" t="s">
        <v>289</v>
      </c>
      <c r="AV1" s="81" t="s">
        <v>292</v>
      </c>
      <c r="AW1" s="81" t="s">
        <v>297</v>
      </c>
      <c r="AX1" s="81" t="s">
        <v>301</v>
      </c>
      <c r="AY1" s="81" t="s">
        <v>376</v>
      </c>
      <c r="AZ1" s="81" t="s">
        <v>306</v>
      </c>
      <c r="BA1" s="81" t="s">
        <v>309</v>
      </c>
      <c r="BB1" s="81" t="s">
        <v>311</v>
      </c>
      <c r="BC1" s="81" t="s">
        <v>377</v>
      </c>
      <c r="BD1" s="81" t="s">
        <v>313</v>
      </c>
      <c r="BE1" s="81" t="s">
        <v>378</v>
      </c>
      <c r="BF1" s="81" t="s">
        <v>315</v>
      </c>
      <c r="BG1" s="81" t="s">
        <v>319</v>
      </c>
      <c r="BH1" s="81" t="s">
        <v>379</v>
      </c>
      <c r="BI1" s="82" t="s">
        <v>324</v>
      </c>
    </row>
    <row r="2" spans="1:61" x14ac:dyDescent="0.25">
      <c r="A2" s="83">
        <v>5</v>
      </c>
      <c r="B2" s="84" t="s">
        <v>380</v>
      </c>
      <c r="C2" s="84" t="s">
        <v>381</v>
      </c>
      <c r="D2" s="84" t="s">
        <v>382</v>
      </c>
      <c r="E2" s="84" t="s">
        <v>383</v>
      </c>
      <c r="F2" s="84" t="s">
        <v>384</v>
      </c>
      <c r="G2" s="84" t="s">
        <v>385</v>
      </c>
      <c r="H2" s="84" t="s">
        <v>386</v>
      </c>
      <c r="I2" s="84" t="s">
        <v>387</v>
      </c>
      <c r="J2" s="84" t="s">
        <v>388</v>
      </c>
      <c r="K2" s="84" t="s">
        <v>389</v>
      </c>
      <c r="L2" s="84" t="s">
        <v>390</v>
      </c>
      <c r="M2" s="84" t="s">
        <v>391</v>
      </c>
      <c r="N2" s="84" t="s">
        <v>392</v>
      </c>
      <c r="O2" s="84" t="s">
        <v>393</v>
      </c>
      <c r="P2" s="84" t="s">
        <v>394</v>
      </c>
      <c r="Q2" s="84" t="s">
        <v>395</v>
      </c>
      <c r="R2" s="84" t="s">
        <v>396</v>
      </c>
      <c r="S2" s="84" t="s">
        <v>397</v>
      </c>
      <c r="T2" s="84" t="s">
        <v>398</v>
      </c>
      <c r="U2" s="84"/>
      <c r="V2" s="84" t="s">
        <v>399</v>
      </c>
      <c r="W2" s="84"/>
      <c r="X2" s="84"/>
      <c r="Y2" s="84" t="s">
        <v>400</v>
      </c>
      <c r="Z2" s="84"/>
      <c r="AA2" s="84" t="s">
        <v>401</v>
      </c>
      <c r="AB2" s="84" t="s">
        <v>402</v>
      </c>
      <c r="AC2" s="84"/>
      <c r="AD2" s="84" t="s">
        <v>403</v>
      </c>
      <c r="AE2" s="84"/>
      <c r="AF2" s="84"/>
      <c r="AG2" s="84"/>
      <c r="AH2" s="84"/>
      <c r="AI2" s="84"/>
      <c r="AJ2" s="84" t="s">
        <v>404</v>
      </c>
      <c r="AK2" s="84" t="s">
        <v>403</v>
      </c>
      <c r="AL2" s="84" t="s">
        <v>403</v>
      </c>
      <c r="AM2" s="84" t="s">
        <v>198</v>
      </c>
      <c r="AN2" s="84"/>
      <c r="AO2" s="84" t="s">
        <v>405</v>
      </c>
      <c r="AP2" s="84" t="s">
        <v>405</v>
      </c>
      <c r="AQ2" s="84" t="s">
        <v>405</v>
      </c>
      <c r="AR2" s="84" t="s">
        <v>405</v>
      </c>
      <c r="AS2" s="84" t="s">
        <v>405</v>
      </c>
      <c r="AT2" s="84" t="s">
        <v>405</v>
      </c>
      <c r="AU2" s="84" t="s">
        <v>405</v>
      </c>
      <c r="AV2" s="84" t="s">
        <v>405</v>
      </c>
      <c r="AW2" s="84" t="s">
        <v>405</v>
      </c>
      <c r="AX2" s="84" t="s">
        <v>405</v>
      </c>
      <c r="AY2" s="84" t="s">
        <v>405</v>
      </c>
      <c r="AZ2" s="84" t="s">
        <v>405</v>
      </c>
      <c r="BA2" s="84" t="s">
        <v>405</v>
      </c>
      <c r="BB2" s="84" t="s">
        <v>405</v>
      </c>
      <c r="BC2" s="84" t="s">
        <v>405</v>
      </c>
      <c r="BD2" s="84" t="s">
        <v>406</v>
      </c>
      <c r="BE2" s="84" t="s">
        <v>405</v>
      </c>
      <c r="BF2" s="84" t="s">
        <v>405</v>
      </c>
      <c r="BG2" s="84" t="s">
        <v>405</v>
      </c>
      <c r="BH2" s="84" t="s">
        <v>405</v>
      </c>
      <c r="BI2" s="85" t="s">
        <v>405</v>
      </c>
    </row>
    <row r="3" spans="1:61" x14ac:dyDescent="0.25">
      <c r="A3" s="86">
        <v>6</v>
      </c>
      <c r="B3" s="87" t="s">
        <v>380</v>
      </c>
      <c r="C3" s="87" t="s">
        <v>407</v>
      </c>
      <c r="D3" s="87" t="s">
        <v>408</v>
      </c>
      <c r="E3" s="87" t="s">
        <v>409</v>
      </c>
      <c r="F3" s="87" t="s">
        <v>410</v>
      </c>
      <c r="G3" s="87" t="s">
        <v>411</v>
      </c>
      <c r="H3" s="87" t="s">
        <v>412</v>
      </c>
      <c r="I3" s="87" t="s">
        <v>413</v>
      </c>
      <c r="J3" s="87" t="s">
        <v>414</v>
      </c>
      <c r="K3" s="87" t="s">
        <v>415</v>
      </c>
      <c r="L3" s="87"/>
      <c r="M3" s="87" t="s">
        <v>416</v>
      </c>
      <c r="N3" s="87" t="s">
        <v>417</v>
      </c>
      <c r="O3" s="87" t="s">
        <v>418</v>
      </c>
      <c r="P3" s="87" t="s">
        <v>419</v>
      </c>
      <c r="Q3" s="87" t="s">
        <v>420</v>
      </c>
      <c r="R3" s="87" t="s">
        <v>421</v>
      </c>
      <c r="S3" s="87" t="s">
        <v>422</v>
      </c>
      <c r="T3" s="87" t="s">
        <v>423</v>
      </c>
      <c r="U3" s="87"/>
      <c r="V3" s="87" t="s">
        <v>419</v>
      </c>
      <c r="W3" s="87"/>
      <c r="X3" s="87"/>
      <c r="Y3" s="87" t="s">
        <v>424</v>
      </c>
      <c r="Z3" s="87"/>
      <c r="AA3" s="87"/>
      <c r="AB3" s="87"/>
      <c r="AC3" s="87"/>
      <c r="AD3" s="87" t="s">
        <v>425</v>
      </c>
      <c r="AE3" s="87"/>
      <c r="AF3" s="87"/>
      <c r="AG3" s="87"/>
      <c r="AH3" s="87"/>
      <c r="AI3" s="87"/>
      <c r="AJ3" s="87"/>
      <c r="AK3" s="87" t="s">
        <v>425</v>
      </c>
      <c r="AL3" s="87"/>
      <c r="AM3" s="87"/>
      <c r="AN3" s="87"/>
      <c r="AO3" s="87" t="s">
        <v>426</v>
      </c>
      <c r="AP3" s="87" t="s">
        <v>426</v>
      </c>
      <c r="AQ3" s="87" t="s">
        <v>426</v>
      </c>
      <c r="AR3" s="87" t="s">
        <v>426</v>
      </c>
      <c r="AS3" s="87" t="s">
        <v>426</v>
      </c>
      <c r="AT3" s="87" t="s">
        <v>426</v>
      </c>
      <c r="AU3" s="87" t="s">
        <v>426</v>
      </c>
      <c r="AV3" s="87" t="s">
        <v>426</v>
      </c>
      <c r="AW3" s="87" t="s">
        <v>426</v>
      </c>
      <c r="AX3" s="87" t="s">
        <v>426</v>
      </c>
      <c r="AY3" s="87" t="s">
        <v>426</v>
      </c>
      <c r="AZ3" s="87" t="s">
        <v>426</v>
      </c>
      <c r="BA3" s="87" t="s">
        <v>426</v>
      </c>
      <c r="BB3" s="87" t="s">
        <v>426</v>
      </c>
      <c r="BC3" s="87" t="s">
        <v>426</v>
      </c>
      <c r="BD3" s="87"/>
      <c r="BE3" s="87" t="s">
        <v>426</v>
      </c>
      <c r="BF3" s="87" t="s">
        <v>426</v>
      </c>
      <c r="BG3" s="87" t="s">
        <v>426</v>
      </c>
      <c r="BH3" s="87" t="s">
        <v>426</v>
      </c>
      <c r="BI3" s="88" t="s">
        <v>426</v>
      </c>
    </row>
    <row r="4" spans="1:61" x14ac:dyDescent="0.25">
      <c r="A4" s="83">
        <v>3</v>
      </c>
      <c r="B4" s="84" t="s">
        <v>380</v>
      </c>
      <c r="C4" s="84" t="s">
        <v>427</v>
      </c>
      <c r="D4" s="84" t="s">
        <v>428</v>
      </c>
      <c r="E4" s="84" t="s">
        <v>429</v>
      </c>
      <c r="F4" s="84"/>
      <c r="G4" s="84" t="s">
        <v>430</v>
      </c>
      <c r="H4" s="84" t="s">
        <v>418</v>
      </c>
      <c r="I4" s="84" t="s">
        <v>431</v>
      </c>
      <c r="J4" s="84" t="s">
        <v>432</v>
      </c>
      <c r="K4" s="84"/>
      <c r="L4" s="84"/>
      <c r="M4" s="84" t="s">
        <v>433</v>
      </c>
      <c r="N4" s="84">
        <v>6</v>
      </c>
      <c r="O4" s="84" t="s">
        <v>434</v>
      </c>
      <c r="P4" s="84" t="s">
        <v>399</v>
      </c>
      <c r="Q4" s="84" t="s">
        <v>435</v>
      </c>
      <c r="R4" s="84" t="s">
        <v>405</v>
      </c>
      <c r="S4" s="84" t="s">
        <v>436</v>
      </c>
      <c r="T4" s="84" t="s">
        <v>437</v>
      </c>
      <c r="U4" s="84"/>
      <c r="V4" s="84"/>
      <c r="W4" s="84"/>
      <c r="X4" s="84"/>
      <c r="Y4" s="84"/>
      <c r="Z4" s="84"/>
      <c r="AA4" s="84"/>
      <c r="AB4" s="84"/>
      <c r="AC4" s="84"/>
      <c r="AD4" s="84" t="s">
        <v>438</v>
      </c>
      <c r="AE4" s="84"/>
      <c r="AF4" s="84"/>
      <c r="AG4" s="84"/>
      <c r="AH4" s="84"/>
      <c r="AI4" s="84"/>
      <c r="AJ4" s="84"/>
      <c r="AK4" s="84" t="s">
        <v>438</v>
      </c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5"/>
    </row>
    <row r="5" spans="1:61" x14ac:dyDescent="0.25">
      <c r="A5" s="86">
        <v>7</v>
      </c>
      <c r="B5" s="87" t="s">
        <v>380</v>
      </c>
      <c r="C5" s="87" t="s">
        <v>439</v>
      </c>
      <c r="D5" s="87" t="s">
        <v>440</v>
      </c>
      <c r="E5" s="87" t="s">
        <v>414</v>
      </c>
      <c r="F5" s="87"/>
      <c r="G5" s="87" t="s">
        <v>441</v>
      </c>
      <c r="H5" s="87" t="s">
        <v>442</v>
      </c>
      <c r="I5" s="87" t="s">
        <v>443</v>
      </c>
      <c r="J5" s="87"/>
      <c r="K5" s="87"/>
      <c r="L5" s="87"/>
      <c r="M5" s="87" t="s">
        <v>444</v>
      </c>
      <c r="N5" s="87"/>
      <c r="O5" s="87" t="s">
        <v>445</v>
      </c>
      <c r="P5" s="87"/>
      <c r="Q5" s="87" t="s">
        <v>446</v>
      </c>
      <c r="R5" s="87" t="s">
        <v>426</v>
      </c>
      <c r="S5" s="87"/>
      <c r="T5" s="87" t="s">
        <v>421</v>
      </c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8"/>
    </row>
    <row r="6" spans="1:61" x14ac:dyDescent="0.25">
      <c r="A6" s="83">
        <v>9</v>
      </c>
      <c r="B6" s="84" t="s">
        <v>380</v>
      </c>
      <c r="C6" s="84" t="s">
        <v>447</v>
      </c>
      <c r="D6" s="84" t="s">
        <v>448</v>
      </c>
      <c r="E6" s="84"/>
      <c r="F6" s="84"/>
      <c r="G6" s="84" t="s">
        <v>449</v>
      </c>
      <c r="H6" s="84" t="s">
        <v>450</v>
      </c>
      <c r="I6" s="84" t="s">
        <v>451</v>
      </c>
      <c r="J6" s="84"/>
      <c r="K6" s="84"/>
      <c r="L6" s="84"/>
      <c r="M6" s="84" t="s">
        <v>452</v>
      </c>
      <c r="N6" s="84"/>
      <c r="O6" s="84" t="s">
        <v>453</v>
      </c>
      <c r="P6" s="84"/>
      <c r="Q6" s="84"/>
      <c r="R6" s="84"/>
      <c r="S6" s="84"/>
      <c r="T6" s="84" t="s">
        <v>405</v>
      </c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5"/>
    </row>
    <row r="7" spans="1:61" x14ac:dyDescent="0.25">
      <c r="A7" s="86">
        <v>4</v>
      </c>
      <c r="B7" s="87" t="s">
        <v>380</v>
      </c>
      <c r="C7" s="87" t="s">
        <v>454</v>
      </c>
      <c r="D7" s="87" t="s">
        <v>455</v>
      </c>
      <c r="E7" s="87"/>
      <c r="F7" s="87"/>
      <c r="G7" s="87" t="s">
        <v>456</v>
      </c>
      <c r="H7" s="87" t="s">
        <v>457</v>
      </c>
      <c r="I7" s="87" t="s">
        <v>458</v>
      </c>
      <c r="J7" s="87"/>
      <c r="K7" s="87"/>
      <c r="L7" s="87"/>
      <c r="M7" s="87" t="s">
        <v>459</v>
      </c>
      <c r="N7" s="87"/>
      <c r="O7" s="87" t="s">
        <v>460</v>
      </c>
      <c r="P7" s="87"/>
      <c r="Q7" s="87"/>
      <c r="R7" s="87"/>
      <c r="S7" s="87"/>
      <c r="T7" s="87" t="s">
        <v>426</v>
      </c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8"/>
    </row>
    <row r="8" spans="1:61" x14ac:dyDescent="0.25">
      <c r="A8" s="83">
        <v>10</v>
      </c>
      <c r="B8" s="84" t="s">
        <v>380</v>
      </c>
      <c r="C8" s="84" t="s">
        <v>461</v>
      </c>
      <c r="D8" s="84" t="s">
        <v>462</v>
      </c>
      <c r="E8" s="84"/>
      <c r="F8" s="84"/>
      <c r="G8" s="84" t="s">
        <v>463</v>
      </c>
      <c r="H8" s="84" t="s">
        <v>464</v>
      </c>
      <c r="I8" s="84" t="s">
        <v>465</v>
      </c>
      <c r="J8" s="84"/>
      <c r="K8" s="84"/>
      <c r="L8" s="84"/>
      <c r="M8" s="84" t="s">
        <v>466</v>
      </c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5"/>
    </row>
    <row r="9" spans="1:61" x14ac:dyDescent="0.25">
      <c r="A9" s="86">
        <v>2</v>
      </c>
      <c r="B9" s="87" t="s">
        <v>380</v>
      </c>
      <c r="C9" s="87" t="s">
        <v>467</v>
      </c>
      <c r="D9" s="87" t="s">
        <v>468</v>
      </c>
      <c r="E9" s="87"/>
      <c r="F9" s="87"/>
      <c r="G9" s="87" t="s">
        <v>469</v>
      </c>
      <c r="H9" s="87" t="s">
        <v>470</v>
      </c>
      <c r="I9" s="87" t="s">
        <v>471</v>
      </c>
      <c r="J9" s="87"/>
      <c r="K9" s="87"/>
      <c r="L9" s="87"/>
      <c r="M9" s="87" t="s">
        <v>472</v>
      </c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8"/>
    </row>
    <row r="10" spans="1:61" x14ac:dyDescent="0.25">
      <c r="A10" s="83">
        <v>8</v>
      </c>
      <c r="B10" s="84" t="s">
        <v>380</v>
      </c>
      <c r="C10" s="84" t="s">
        <v>391</v>
      </c>
      <c r="D10" s="84" t="s">
        <v>473</v>
      </c>
      <c r="E10" s="84"/>
      <c r="F10" s="84"/>
      <c r="G10" s="84" t="s">
        <v>474</v>
      </c>
      <c r="H10" s="84" t="s">
        <v>475</v>
      </c>
      <c r="I10" s="84" t="s">
        <v>476</v>
      </c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5"/>
    </row>
    <row r="11" spans="1:61" x14ac:dyDescent="0.25">
      <c r="A11" s="86">
        <v>11</v>
      </c>
      <c r="B11" s="87" t="s">
        <v>380</v>
      </c>
      <c r="C11" s="87" t="s">
        <v>477</v>
      </c>
      <c r="D11" s="87" t="s">
        <v>478</v>
      </c>
      <c r="E11" s="87"/>
      <c r="F11" s="87"/>
      <c r="G11" s="87" t="s">
        <v>479</v>
      </c>
      <c r="H11" s="87" t="s">
        <v>480</v>
      </c>
      <c r="I11" s="87" t="s">
        <v>481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8"/>
    </row>
    <row r="12" spans="1:61" x14ac:dyDescent="0.25">
      <c r="A12" s="83">
        <v>12</v>
      </c>
      <c r="B12" s="84" t="s">
        <v>380</v>
      </c>
      <c r="C12" s="84" t="s">
        <v>416</v>
      </c>
      <c r="D12" s="84" t="s">
        <v>460</v>
      </c>
      <c r="E12" s="84"/>
      <c r="F12" s="84"/>
      <c r="G12" s="84" t="s">
        <v>482</v>
      </c>
      <c r="H12" s="84" t="s">
        <v>483</v>
      </c>
      <c r="I12" s="84" t="s">
        <v>484</v>
      </c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5"/>
    </row>
    <row r="13" spans="1:61" x14ac:dyDescent="0.25">
      <c r="A13" s="86">
        <v>13</v>
      </c>
      <c r="B13" s="87" t="s">
        <v>380</v>
      </c>
      <c r="C13" s="87" t="s">
        <v>452</v>
      </c>
      <c r="D13" s="87" t="s">
        <v>485</v>
      </c>
      <c r="E13" s="87"/>
      <c r="F13" s="87"/>
      <c r="G13" s="87" t="s">
        <v>486</v>
      </c>
      <c r="H13" s="87" t="s">
        <v>487</v>
      </c>
      <c r="I13" s="87" t="s">
        <v>488</v>
      </c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8"/>
    </row>
    <row r="14" spans="1:61" x14ac:dyDescent="0.25">
      <c r="A14" s="83">
        <v>1</v>
      </c>
      <c r="B14" s="84" t="s">
        <v>380</v>
      </c>
      <c r="C14" s="84" t="s">
        <v>489</v>
      </c>
      <c r="D14" s="84" t="s">
        <v>490</v>
      </c>
      <c r="E14" s="84"/>
      <c r="F14" s="84"/>
      <c r="G14" s="84" t="s">
        <v>491</v>
      </c>
      <c r="H14" s="84" t="s">
        <v>492</v>
      </c>
      <c r="I14" s="84" t="s">
        <v>493</v>
      </c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5"/>
    </row>
    <row r="15" spans="1:61" x14ac:dyDescent="0.25">
      <c r="A15" s="86">
        <v>14</v>
      </c>
      <c r="B15" s="87" t="s">
        <v>380</v>
      </c>
      <c r="C15" s="87"/>
      <c r="D15" s="87" t="s">
        <v>494</v>
      </c>
      <c r="E15" s="87"/>
      <c r="F15" s="87"/>
      <c r="G15" s="87" t="s">
        <v>495</v>
      </c>
      <c r="H15" s="87" t="s">
        <v>496</v>
      </c>
      <c r="I15" s="87" t="s">
        <v>497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8"/>
    </row>
    <row r="16" spans="1:61" x14ac:dyDescent="0.25">
      <c r="A16" s="83">
        <v>15</v>
      </c>
      <c r="B16" s="84" t="s">
        <v>380</v>
      </c>
      <c r="C16" s="84"/>
      <c r="D16" s="84" t="s">
        <v>498</v>
      </c>
      <c r="E16" s="84"/>
      <c r="F16" s="84"/>
      <c r="G16" s="84" t="s">
        <v>499</v>
      </c>
      <c r="H16" s="84" t="s">
        <v>500</v>
      </c>
      <c r="I16" s="84" t="s">
        <v>501</v>
      </c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5"/>
    </row>
    <row r="17" spans="1:61" x14ac:dyDescent="0.25">
      <c r="A17" s="86">
        <v>25</v>
      </c>
      <c r="B17" s="87" t="s">
        <v>380</v>
      </c>
      <c r="C17" s="87"/>
      <c r="D17" s="87" t="s">
        <v>502</v>
      </c>
      <c r="E17" s="87"/>
      <c r="F17" s="87"/>
      <c r="G17" s="87" t="s">
        <v>503</v>
      </c>
      <c r="H17" s="87" t="s">
        <v>504</v>
      </c>
      <c r="I17" s="87" t="s">
        <v>505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8"/>
    </row>
    <row r="18" spans="1:61" x14ac:dyDescent="0.25">
      <c r="A18" s="83">
        <v>26</v>
      </c>
      <c r="B18" s="84" t="s">
        <v>380</v>
      </c>
      <c r="C18" s="84"/>
      <c r="D18" s="84" t="s">
        <v>506</v>
      </c>
      <c r="E18" s="84"/>
      <c r="F18" s="84"/>
      <c r="G18" s="84" t="s">
        <v>507</v>
      </c>
      <c r="H18" s="84" t="s">
        <v>508</v>
      </c>
      <c r="I18" s="84" t="s">
        <v>509</v>
      </c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5"/>
    </row>
    <row r="19" spans="1:61" x14ac:dyDescent="0.25">
      <c r="A19" s="86">
        <v>27</v>
      </c>
      <c r="B19" s="87" t="s">
        <v>380</v>
      </c>
      <c r="C19" s="87"/>
      <c r="D19" s="87" t="s">
        <v>510</v>
      </c>
      <c r="E19" s="87"/>
      <c r="F19" s="87"/>
      <c r="G19" s="87" t="s">
        <v>511</v>
      </c>
      <c r="H19" s="87" t="s">
        <v>421</v>
      </c>
      <c r="I19" s="87" t="s">
        <v>512</v>
      </c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8"/>
    </row>
    <row r="20" spans="1:61" x14ac:dyDescent="0.25">
      <c r="A20" s="83">
        <v>28</v>
      </c>
      <c r="B20" s="84" t="s">
        <v>380</v>
      </c>
      <c r="C20" s="84"/>
      <c r="D20" s="84" t="s">
        <v>513</v>
      </c>
      <c r="E20" s="84"/>
      <c r="F20" s="84"/>
      <c r="G20" s="84" t="s">
        <v>514</v>
      </c>
      <c r="H20" s="84" t="s">
        <v>405</v>
      </c>
      <c r="I20" s="84" t="s">
        <v>515</v>
      </c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5"/>
    </row>
    <row r="21" spans="1:61" x14ac:dyDescent="0.25">
      <c r="A21" s="86">
        <v>29</v>
      </c>
      <c r="B21" s="87" t="s">
        <v>380</v>
      </c>
      <c r="C21" s="87"/>
      <c r="D21" s="87" t="s">
        <v>516</v>
      </c>
      <c r="E21" s="87"/>
      <c r="F21" s="87"/>
      <c r="G21" s="87"/>
      <c r="H21" s="87" t="s">
        <v>426</v>
      </c>
      <c r="I21" s="87" t="s">
        <v>517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8"/>
    </row>
    <row r="22" spans="1:61" x14ac:dyDescent="0.25">
      <c r="A22" s="83">
        <v>30</v>
      </c>
      <c r="B22" s="84" t="s">
        <v>380</v>
      </c>
      <c r="C22" s="84"/>
      <c r="D22" s="84" t="s">
        <v>518</v>
      </c>
      <c r="E22" s="84"/>
      <c r="F22" s="84"/>
      <c r="G22" s="84"/>
      <c r="H22" s="84"/>
      <c r="I22" s="84" t="s">
        <v>519</v>
      </c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5"/>
    </row>
    <row r="23" spans="1:61" x14ac:dyDescent="0.25">
      <c r="A23" s="86">
        <v>31</v>
      </c>
      <c r="B23" s="87" t="s">
        <v>380</v>
      </c>
      <c r="C23" s="87"/>
      <c r="D23" s="87" t="s">
        <v>520</v>
      </c>
      <c r="E23" s="87"/>
      <c r="F23" s="87"/>
      <c r="G23" s="87"/>
      <c r="H23" s="87"/>
      <c r="I23" s="87" t="s">
        <v>521</v>
      </c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8"/>
    </row>
    <row r="24" spans="1:61" x14ac:dyDescent="0.25">
      <c r="A24" s="83">
        <v>32</v>
      </c>
      <c r="B24" s="84" t="s">
        <v>380</v>
      </c>
      <c r="C24" s="84"/>
      <c r="D24" s="84" t="s">
        <v>522</v>
      </c>
      <c r="E24" s="84"/>
      <c r="F24" s="84"/>
      <c r="G24" s="84"/>
      <c r="H24" s="84"/>
      <c r="I24" s="84" t="s">
        <v>523</v>
      </c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5"/>
    </row>
    <row r="25" spans="1:61" x14ac:dyDescent="0.25">
      <c r="A25" s="86">
        <v>33</v>
      </c>
      <c r="B25" s="87" t="s">
        <v>380</v>
      </c>
      <c r="C25" s="87"/>
      <c r="D25" s="87" t="s">
        <v>524</v>
      </c>
      <c r="E25" s="87"/>
      <c r="F25" s="87"/>
      <c r="G25" s="87"/>
      <c r="H25" s="87"/>
      <c r="I25" s="87" t="s">
        <v>525</v>
      </c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8"/>
    </row>
    <row r="26" spans="1:61" x14ac:dyDescent="0.25">
      <c r="A26" s="83">
        <v>35</v>
      </c>
      <c r="B26" s="84" t="s">
        <v>380</v>
      </c>
      <c r="C26" s="84"/>
      <c r="D26" s="84" t="s">
        <v>526</v>
      </c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5"/>
    </row>
    <row r="27" spans="1:61" x14ac:dyDescent="0.25">
      <c r="A27" s="86">
        <v>36</v>
      </c>
      <c r="B27" s="87" t="s">
        <v>380</v>
      </c>
      <c r="C27" s="87"/>
      <c r="D27" s="87" t="s">
        <v>527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8"/>
    </row>
    <row r="28" spans="1:61" x14ac:dyDescent="0.25">
      <c r="A28" s="83">
        <v>37</v>
      </c>
      <c r="B28" s="84" t="s">
        <v>380</v>
      </c>
      <c r="C28" s="84"/>
      <c r="D28" s="84" t="s">
        <v>528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5"/>
    </row>
    <row r="29" spans="1:61" x14ac:dyDescent="0.25">
      <c r="A29" s="86">
        <v>38</v>
      </c>
      <c r="B29" s="87" t="s">
        <v>380</v>
      </c>
      <c r="C29" s="87"/>
      <c r="D29" s="87" t="s">
        <v>529</v>
      </c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8"/>
    </row>
    <row r="30" spans="1:61" x14ac:dyDescent="0.25">
      <c r="A30" s="83">
        <v>39</v>
      </c>
      <c r="B30" s="84" t="s">
        <v>380</v>
      </c>
      <c r="C30" s="84"/>
      <c r="D30" s="84" t="s">
        <v>530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5"/>
    </row>
    <row r="31" spans="1:61" x14ac:dyDescent="0.25">
      <c r="A31" s="86">
        <v>41</v>
      </c>
      <c r="B31" s="87" t="s">
        <v>380</v>
      </c>
      <c r="C31" s="87"/>
      <c r="D31" s="87" t="s">
        <v>531</v>
      </c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8"/>
    </row>
    <row r="32" spans="1:61" x14ac:dyDescent="0.25">
      <c r="A32" s="83">
        <v>24</v>
      </c>
      <c r="B32" s="84" t="s">
        <v>380</v>
      </c>
      <c r="C32" s="84"/>
      <c r="D32" s="84" t="s">
        <v>532</v>
      </c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5"/>
    </row>
    <row r="33" spans="1:61" x14ac:dyDescent="0.25">
      <c r="A33" s="86">
        <v>34</v>
      </c>
      <c r="B33" s="87" t="s">
        <v>380</v>
      </c>
      <c r="C33" s="87"/>
      <c r="D33" s="87" t="s">
        <v>390</v>
      </c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8"/>
    </row>
    <row r="34" spans="1:61" x14ac:dyDescent="0.25">
      <c r="A34" s="83">
        <v>40</v>
      </c>
      <c r="B34" s="84" t="s">
        <v>380</v>
      </c>
      <c r="C34" s="84"/>
      <c r="D34" s="84" t="s">
        <v>533</v>
      </c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5"/>
    </row>
    <row r="35" spans="1:61" x14ac:dyDescent="0.25">
      <c r="A35" s="86">
        <v>16</v>
      </c>
      <c r="B35" s="87" t="s">
        <v>380</v>
      </c>
      <c r="C35" s="87"/>
      <c r="D35" s="87" t="s">
        <v>534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8"/>
    </row>
    <row r="36" spans="1:61" x14ac:dyDescent="0.25">
      <c r="A36" s="83">
        <v>17</v>
      </c>
      <c r="B36" s="84" t="s">
        <v>380</v>
      </c>
      <c r="C36" s="84"/>
      <c r="D36" s="84" t="s">
        <v>535</v>
      </c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5"/>
    </row>
    <row r="37" spans="1:61" x14ac:dyDescent="0.25">
      <c r="A37" s="86">
        <v>18</v>
      </c>
      <c r="B37" s="87" t="s">
        <v>380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8"/>
    </row>
    <row r="38" spans="1:61" x14ac:dyDescent="0.25">
      <c r="A38" s="83">
        <v>19</v>
      </c>
      <c r="B38" s="84" t="s">
        <v>380</v>
      </c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5"/>
    </row>
    <row r="39" spans="1:61" x14ac:dyDescent="0.25">
      <c r="A39" s="86">
        <v>20</v>
      </c>
      <c r="B39" s="87" t="s">
        <v>380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8"/>
    </row>
    <row r="40" spans="1:61" x14ac:dyDescent="0.25">
      <c r="A40" s="83">
        <v>21</v>
      </c>
      <c r="B40" s="84" t="s">
        <v>380</v>
      </c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5"/>
    </row>
    <row r="41" spans="1:61" x14ac:dyDescent="0.25">
      <c r="A41" s="86">
        <v>22</v>
      </c>
      <c r="B41" s="87" t="s">
        <v>380</v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8"/>
    </row>
    <row r="42" spans="1:61" x14ac:dyDescent="0.25">
      <c r="A42" s="83">
        <v>23</v>
      </c>
      <c r="B42" s="84" t="s">
        <v>380</v>
      </c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5"/>
    </row>
    <row r="43" spans="1:61" x14ac:dyDescent="0.25">
      <c r="A43" s="86">
        <v>42</v>
      </c>
      <c r="B43" s="87" t="s">
        <v>380</v>
      </c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8"/>
    </row>
    <row r="44" spans="1:61" x14ac:dyDescent="0.25">
      <c r="A44" s="83">
        <v>43</v>
      </c>
      <c r="B44" s="84" t="s">
        <v>380</v>
      </c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5"/>
    </row>
    <row r="45" spans="1:61" x14ac:dyDescent="0.25">
      <c r="A45" s="86">
        <v>44</v>
      </c>
      <c r="B45" s="87" t="s">
        <v>380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8"/>
    </row>
    <row r="46" spans="1:61" x14ac:dyDescent="0.25">
      <c r="A46" s="83">
        <v>45</v>
      </c>
      <c r="B46" s="84" t="s">
        <v>380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5"/>
    </row>
    <row r="47" spans="1:61" x14ac:dyDescent="0.25">
      <c r="A47" s="86">
        <v>46</v>
      </c>
      <c r="B47" s="87" t="s">
        <v>380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8"/>
    </row>
    <row r="48" spans="1:61" x14ac:dyDescent="0.25">
      <c r="A48" s="83">
        <v>47</v>
      </c>
      <c r="B48" s="84" t="s">
        <v>380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5"/>
    </row>
    <row r="49" spans="1:61" x14ac:dyDescent="0.25">
      <c r="A49" s="86">
        <v>48</v>
      </c>
      <c r="B49" s="87" t="s">
        <v>380</v>
      </c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8"/>
    </row>
    <row r="50" spans="1:61" x14ac:dyDescent="0.25">
      <c r="A50" s="83">
        <v>49</v>
      </c>
      <c r="B50" s="84" t="s">
        <v>380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5"/>
    </row>
    <row r="51" spans="1:61" x14ac:dyDescent="0.25">
      <c r="A51" s="86">
        <v>50</v>
      </c>
      <c r="B51" s="87" t="s">
        <v>380</v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8"/>
    </row>
    <row r="52" spans="1:61" x14ac:dyDescent="0.25">
      <c r="A52" s="83">
        <v>51</v>
      </c>
      <c r="B52" s="84" t="s">
        <v>380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5"/>
    </row>
    <row r="53" spans="1:61" x14ac:dyDescent="0.25">
      <c r="A53" s="86">
        <v>52</v>
      </c>
      <c r="B53" s="87" t="s">
        <v>380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8"/>
    </row>
    <row r="54" spans="1:61" x14ac:dyDescent="0.25">
      <c r="A54" s="83">
        <v>53</v>
      </c>
      <c r="B54" s="84" t="s">
        <v>380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5"/>
    </row>
    <row r="55" spans="1:61" x14ac:dyDescent="0.25">
      <c r="A55" s="86">
        <v>54</v>
      </c>
      <c r="B55" s="87" t="s">
        <v>380</v>
      </c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8"/>
    </row>
    <row r="56" spans="1:61" x14ac:dyDescent="0.25">
      <c r="A56" s="83">
        <v>55</v>
      </c>
      <c r="B56" s="84" t="s">
        <v>380</v>
      </c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5"/>
    </row>
    <row r="57" spans="1:61" x14ac:dyDescent="0.25">
      <c r="A57" s="86">
        <v>56</v>
      </c>
      <c r="B57" s="87" t="s">
        <v>380</v>
      </c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8"/>
    </row>
    <row r="58" spans="1:61" x14ac:dyDescent="0.25">
      <c r="A58" s="83">
        <v>57</v>
      </c>
      <c r="B58" s="84" t="s">
        <v>380</v>
      </c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5"/>
    </row>
    <row r="59" spans="1:61" x14ac:dyDescent="0.25">
      <c r="A59" s="86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8"/>
    </row>
    <row r="60" spans="1:61" x14ac:dyDescent="0.25">
      <c r="A60" s="83"/>
      <c r="B60" s="84"/>
      <c r="C60" s="84" t="s">
        <v>536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C6EA-DE9B-445F-BD05-5D635B9F2D8D}">
  <dimension ref="A1:AH53"/>
  <sheetViews>
    <sheetView workbookViewId="0">
      <selection activeCell="H20" sqref="H20"/>
    </sheetView>
  </sheetViews>
  <sheetFormatPr defaultRowHeight="15" x14ac:dyDescent="0.25"/>
  <sheetData>
    <row r="1" spans="1:34" x14ac:dyDescent="0.25">
      <c r="A1" t="s">
        <v>365</v>
      </c>
      <c r="B1" t="s">
        <v>537</v>
      </c>
      <c r="C1" t="s">
        <v>337</v>
      </c>
      <c r="D1" t="s">
        <v>338</v>
      </c>
      <c r="E1" t="s">
        <v>339</v>
      </c>
      <c r="F1" t="s">
        <v>340</v>
      </c>
      <c r="G1" t="s">
        <v>341</v>
      </c>
      <c r="H1" t="s">
        <v>342</v>
      </c>
      <c r="I1" t="s">
        <v>343</v>
      </c>
      <c r="J1" t="s">
        <v>72</v>
      </c>
      <c r="K1" t="s">
        <v>71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234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  <c r="X1" t="s">
        <v>355</v>
      </c>
      <c r="Y1" t="s">
        <v>356</v>
      </c>
      <c r="Z1" t="s">
        <v>357</v>
      </c>
      <c r="AA1" t="s">
        <v>358</v>
      </c>
      <c r="AB1" t="s">
        <v>359</v>
      </c>
      <c r="AC1" t="s">
        <v>360</v>
      </c>
      <c r="AD1" t="s">
        <v>361</v>
      </c>
      <c r="AE1" t="s">
        <v>150</v>
      </c>
      <c r="AF1" t="s">
        <v>362</v>
      </c>
      <c r="AG1" t="s">
        <v>363</v>
      </c>
      <c r="AH1" t="s">
        <v>364</v>
      </c>
    </row>
    <row r="2" spans="1:34" x14ac:dyDescent="0.25">
      <c r="A2">
        <v>1</v>
      </c>
      <c r="B2" t="s">
        <v>538</v>
      </c>
      <c r="C2" t="s">
        <v>247</v>
      </c>
      <c r="D2" t="s">
        <v>247</v>
      </c>
      <c r="E2" t="s">
        <v>247</v>
      </c>
      <c r="F2" t="s">
        <v>247</v>
      </c>
      <c r="G2" t="s">
        <v>247</v>
      </c>
      <c r="H2" t="s">
        <v>248</v>
      </c>
      <c r="I2" t="s">
        <v>247</v>
      </c>
      <c r="J2" t="s">
        <v>249</v>
      </c>
      <c r="K2" t="s">
        <v>250</v>
      </c>
      <c r="L2" t="s">
        <v>177</v>
      </c>
      <c r="M2" t="s">
        <v>247</v>
      </c>
      <c r="N2" t="s">
        <v>177</v>
      </c>
      <c r="O2" t="s">
        <v>251</v>
      </c>
      <c r="P2" t="s">
        <v>177</v>
      </c>
      <c r="Q2" t="s">
        <v>252</v>
      </c>
      <c r="R2" t="s">
        <v>252</v>
      </c>
      <c r="S2" t="s">
        <v>252</v>
      </c>
      <c r="T2" t="s">
        <v>177</v>
      </c>
      <c r="V2" t="s">
        <v>253</v>
      </c>
      <c r="Z2" t="s">
        <v>254</v>
      </c>
    </row>
    <row r="3" spans="1:34" x14ac:dyDescent="0.25">
      <c r="A3">
        <v>2</v>
      </c>
      <c r="B3" t="s">
        <v>538</v>
      </c>
      <c r="C3" t="s">
        <v>255</v>
      </c>
      <c r="D3" t="s">
        <v>255</v>
      </c>
      <c r="E3" t="s">
        <v>256</v>
      </c>
      <c r="F3" t="s">
        <v>255</v>
      </c>
      <c r="G3" t="s">
        <v>257</v>
      </c>
      <c r="H3" t="s">
        <v>250</v>
      </c>
      <c r="I3" t="s">
        <v>255</v>
      </c>
      <c r="J3" t="s">
        <v>250</v>
      </c>
      <c r="L3" t="s">
        <v>178</v>
      </c>
      <c r="M3" t="s">
        <v>258</v>
      </c>
      <c r="N3" t="s">
        <v>178</v>
      </c>
      <c r="O3" t="s">
        <v>259</v>
      </c>
      <c r="P3" t="s">
        <v>178</v>
      </c>
      <c r="Q3" t="s">
        <v>247</v>
      </c>
      <c r="R3" t="s">
        <v>247</v>
      </c>
      <c r="S3" t="s">
        <v>247</v>
      </c>
      <c r="T3" t="s">
        <v>178</v>
      </c>
      <c r="Z3" t="s">
        <v>223</v>
      </c>
    </row>
    <row r="4" spans="1:34" x14ac:dyDescent="0.25">
      <c r="A4">
        <v>3</v>
      </c>
      <c r="B4" t="s">
        <v>538</v>
      </c>
      <c r="C4" t="s">
        <v>260</v>
      </c>
      <c r="D4" t="s">
        <v>253</v>
      </c>
      <c r="E4" t="s">
        <v>255</v>
      </c>
      <c r="F4" t="s">
        <v>253</v>
      </c>
      <c r="G4" t="s">
        <v>261</v>
      </c>
      <c r="I4" t="s">
        <v>253</v>
      </c>
      <c r="J4" t="s">
        <v>262</v>
      </c>
      <c r="M4" t="s">
        <v>251</v>
      </c>
      <c r="O4" t="s">
        <v>263</v>
      </c>
      <c r="Q4" t="s">
        <v>264</v>
      </c>
      <c r="R4" t="s">
        <v>264</v>
      </c>
      <c r="S4" t="s">
        <v>264</v>
      </c>
    </row>
    <row r="5" spans="1:34" x14ac:dyDescent="0.25">
      <c r="A5">
        <v>4</v>
      </c>
      <c r="B5" t="s">
        <v>538</v>
      </c>
      <c r="C5" t="s">
        <v>253</v>
      </c>
      <c r="D5" t="s">
        <v>265</v>
      </c>
      <c r="E5" t="s">
        <v>260</v>
      </c>
      <c r="F5" t="s">
        <v>265</v>
      </c>
      <c r="G5" t="s">
        <v>255</v>
      </c>
      <c r="I5" t="s">
        <v>266</v>
      </c>
      <c r="J5" t="s">
        <v>267</v>
      </c>
      <c r="M5" t="s">
        <v>268</v>
      </c>
      <c r="O5" t="s">
        <v>269</v>
      </c>
      <c r="Q5" t="s">
        <v>270</v>
      </c>
      <c r="R5" t="s">
        <v>270</v>
      </c>
      <c r="S5" t="s">
        <v>270</v>
      </c>
    </row>
    <row r="6" spans="1:34" x14ac:dyDescent="0.25">
      <c r="A6">
        <v>5</v>
      </c>
      <c r="B6" t="s">
        <v>538</v>
      </c>
      <c r="C6" t="s">
        <v>266</v>
      </c>
      <c r="D6" t="s">
        <v>271</v>
      </c>
      <c r="E6" t="s">
        <v>253</v>
      </c>
      <c r="F6" t="s">
        <v>250</v>
      </c>
      <c r="G6" t="s">
        <v>266</v>
      </c>
      <c r="I6" t="s">
        <v>272</v>
      </c>
      <c r="J6" t="s">
        <v>273</v>
      </c>
      <c r="M6" t="s">
        <v>274</v>
      </c>
      <c r="O6" t="s">
        <v>275</v>
      </c>
      <c r="Q6" t="s">
        <v>276</v>
      </c>
      <c r="R6" t="s">
        <v>276</v>
      </c>
      <c r="S6" t="s">
        <v>276</v>
      </c>
    </row>
    <row r="7" spans="1:34" x14ac:dyDescent="0.25">
      <c r="A7">
        <v>6</v>
      </c>
      <c r="B7" t="s">
        <v>538</v>
      </c>
      <c r="C7" t="s">
        <v>277</v>
      </c>
      <c r="D7" t="s">
        <v>250</v>
      </c>
      <c r="E7" t="s">
        <v>266</v>
      </c>
      <c r="F7" t="s">
        <v>278</v>
      </c>
      <c r="G7" t="s">
        <v>279</v>
      </c>
      <c r="I7" t="s">
        <v>250</v>
      </c>
      <c r="J7" t="s">
        <v>280</v>
      </c>
      <c r="M7" t="s">
        <v>281</v>
      </c>
      <c r="O7" t="s">
        <v>252</v>
      </c>
      <c r="Q7" t="s">
        <v>282</v>
      </c>
      <c r="R7" t="s">
        <v>282</v>
      </c>
      <c r="S7" t="s">
        <v>282</v>
      </c>
    </row>
    <row r="8" spans="1:34" x14ac:dyDescent="0.25">
      <c r="A8">
        <v>7</v>
      </c>
      <c r="B8" t="s">
        <v>538</v>
      </c>
      <c r="C8" t="s">
        <v>278</v>
      </c>
      <c r="D8" t="s">
        <v>283</v>
      </c>
      <c r="E8" t="s">
        <v>284</v>
      </c>
      <c r="F8" t="s">
        <v>285</v>
      </c>
      <c r="G8" t="s">
        <v>272</v>
      </c>
      <c r="I8" t="s">
        <v>286</v>
      </c>
      <c r="J8" t="s">
        <v>287</v>
      </c>
      <c r="M8" t="s">
        <v>288</v>
      </c>
      <c r="O8" t="s">
        <v>289</v>
      </c>
      <c r="Q8" t="s">
        <v>256</v>
      </c>
      <c r="R8" t="s">
        <v>256</v>
      </c>
      <c r="S8" t="s">
        <v>256</v>
      </c>
    </row>
    <row r="9" spans="1:34" x14ac:dyDescent="0.25">
      <c r="A9">
        <v>8</v>
      </c>
      <c r="B9" t="s">
        <v>538</v>
      </c>
      <c r="C9" t="s">
        <v>285</v>
      </c>
      <c r="E9" t="s">
        <v>277</v>
      </c>
      <c r="F9" t="s">
        <v>290</v>
      </c>
      <c r="G9" t="s">
        <v>250</v>
      </c>
      <c r="I9" t="s">
        <v>283</v>
      </c>
      <c r="J9" t="s">
        <v>255</v>
      </c>
      <c r="M9" t="s">
        <v>291</v>
      </c>
      <c r="O9" t="s">
        <v>292</v>
      </c>
      <c r="Q9" t="s">
        <v>293</v>
      </c>
      <c r="R9" t="s">
        <v>293</v>
      </c>
      <c r="S9" t="s">
        <v>293</v>
      </c>
    </row>
    <row r="10" spans="1:34" x14ac:dyDescent="0.25">
      <c r="A10">
        <v>9</v>
      </c>
      <c r="B10" t="s">
        <v>538</v>
      </c>
      <c r="C10" t="s">
        <v>290</v>
      </c>
      <c r="E10" t="s">
        <v>279</v>
      </c>
      <c r="G10" t="s">
        <v>283</v>
      </c>
      <c r="I10" t="s">
        <v>294</v>
      </c>
      <c r="J10" t="s">
        <v>295</v>
      </c>
      <c r="M10" t="s">
        <v>296</v>
      </c>
      <c r="O10" t="s">
        <v>297</v>
      </c>
      <c r="Q10" t="s">
        <v>298</v>
      </c>
      <c r="R10" t="s">
        <v>298</v>
      </c>
      <c r="S10" t="s">
        <v>298</v>
      </c>
    </row>
    <row r="11" spans="1:34" x14ac:dyDescent="0.25">
      <c r="A11">
        <v>10</v>
      </c>
      <c r="B11" t="s">
        <v>538</v>
      </c>
      <c r="C11" t="s">
        <v>272</v>
      </c>
      <c r="E11" t="s">
        <v>278</v>
      </c>
      <c r="G11" t="s">
        <v>294</v>
      </c>
      <c r="J11" t="s">
        <v>299</v>
      </c>
      <c r="M11" t="s">
        <v>300</v>
      </c>
      <c r="O11" t="s">
        <v>301</v>
      </c>
      <c r="Q11" t="s">
        <v>302</v>
      </c>
      <c r="R11" t="s">
        <v>302</v>
      </c>
      <c r="S11" t="s">
        <v>302</v>
      </c>
    </row>
    <row r="12" spans="1:34" x14ac:dyDescent="0.25">
      <c r="A12">
        <v>11</v>
      </c>
      <c r="B12" t="s">
        <v>538</v>
      </c>
      <c r="C12" t="s">
        <v>250</v>
      </c>
      <c r="E12" t="s">
        <v>285</v>
      </c>
      <c r="J12" t="s">
        <v>303</v>
      </c>
      <c r="M12" t="s">
        <v>304</v>
      </c>
      <c r="O12" t="s">
        <v>277</v>
      </c>
      <c r="Q12" t="s">
        <v>255</v>
      </c>
      <c r="R12" t="s">
        <v>255</v>
      </c>
      <c r="S12" t="s">
        <v>255</v>
      </c>
    </row>
    <row r="13" spans="1:34" x14ac:dyDescent="0.25">
      <c r="A13">
        <v>12</v>
      </c>
      <c r="B13" t="s">
        <v>538</v>
      </c>
      <c r="C13" t="s">
        <v>286</v>
      </c>
      <c r="E13" t="s">
        <v>290</v>
      </c>
      <c r="J13" t="s">
        <v>247</v>
      </c>
      <c r="M13" t="s">
        <v>305</v>
      </c>
      <c r="O13" t="s">
        <v>306</v>
      </c>
      <c r="Q13" t="s">
        <v>253</v>
      </c>
      <c r="R13" t="s">
        <v>253</v>
      </c>
      <c r="S13" t="s">
        <v>253</v>
      </c>
    </row>
    <row r="14" spans="1:34" x14ac:dyDescent="0.25">
      <c r="A14">
        <v>13</v>
      </c>
      <c r="B14" t="s">
        <v>538</v>
      </c>
      <c r="C14" t="s">
        <v>283</v>
      </c>
      <c r="E14" t="s">
        <v>272</v>
      </c>
      <c r="J14" t="s">
        <v>307</v>
      </c>
      <c r="M14" t="s">
        <v>308</v>
      </c>
      <c r="O14" t="s">
        <v>309</v>
      </c>
      <c r="Q14" t="s">
        <v>249</v>
      </c>
      <c r="R14" t="s">
        <v>249</v>
      </c>
      <c r="S14" t="s">
        <v>249</v>
      </c>
    </row>
    <row r="15" spans="1:34" x14ac:dyDescent="0.25">
      <c r="A15">
        <v>14</v>
      </c>
      <c r="B15" t="s">
        <v>538</v>
      </c>
      <c r="E15" t="s">
        <v>250</v>
      </c>
      <c r="M15" t="s">
        <v>310</v>
      </c>
      <c r="O15" t="s">
        <v>311</v>
      </c>
      <c r="Q15" t="s">
        <v>266</v>
      </c>
      <c r="R15" t="s">
        <v>266</v>
      </c>
      <c r="S15" t="s">
        <v>266</v>
      </c>
    </row>
    <row r="16" spans="1:34" x14ac:dyDescent="0.25">
      <c r="A16">
        <v>15</v>
      </c>
      <c r="B16" t="s">
        <v>538</v>
      </c>
      <c r="E16" t="s">
        <v>286</v>
      </c>
      <c r="M16" t="s">
        <v>312</v>
      </c>
      <c r="O16" t="s">
        <v>313</v>
      </c>
      <c r="Q16" t="s">
        <v>314</v>
      </c>
      <c r="R16" t="s">
        <v>314</v>
      </c>
      <c r="S16" t="s">
        <v>314</v>
      </c>
    </row>
    <row r="17" spans="1:19" x14ac:dyDescent="0.25">
      <c r="A17">
        <v>16</v>
      </c>
      <c r="B17" t="s">
        <v>538</v>
      </c>
      <c r="E17" t="s">
        <v>283</v>
      </c>
      <c r="M17" t="s">
        <v>277</v>
      </c>
      <c r="O17" t="s">
        <v>273</v>
      </c>
      <c r="Q17" t="s">
        <v>306</v>
      </c>
      <c r="R17" t="s">
        <v>306</v>
      </c>
      <c r="S17" t="s">
        <v>306</v>
      </c>
    </row>
    <row r="18" spans="1:19" x14ac:dyDescent="0.25">
      <c r="A18">
        <v>17</v>
      </c>
      <c r="B18" t="s">
        <v>538</v>
      </c>
      <c r="E18" t="s">
        <v>294</v>
      </c>
      <c r="M18" t="s">
        <v>306</v>
      </c>
      <c r="O18" t="s">
        <v>315</v>
      </c>
      <c r="Q18" t="s">
        <v>316</v>
      </c>
      <c r="R18" t="s">
        <v>316</v>
      </c>
      <c r="S18" t="s">
        <v>316</v>
      </c>
    </row>
    <row r="19" spans="1:19" x14ac:dyDescent="0.25">
      <c r="A19">
        <v>18</v>
      </c>
      <c r="B19" t="s">
        <v>538</v>
      </c>
      <c r="E19" t="s">
        <v>317</v>
      </c>
      <c r="M19" t="s">
        <v>318</v>
      </c>
      <c r="O19" t="s">
        <v>319</v>
      </c>
      <c r="Q19" t="s">
        <v>320</v>
      </c>
      <c r="R19" t="s">
        <v>320</v>
      </c>
      <c r="S19" t="s">
        <v>320</v>
      </c>
    </row>
    <row r="20" spans="1:19" x14ac:dyDescent="0.25">
      <c r="A20">
        <v>19</v>
      </c>
      <c r="B20" t="s">
        <v>538</v>
      </c>
      <c r="M20" t="s">
        <v>321</v>
      </c>
      <c r="O20" t="s">
        <v>283</v>
      </c>
      <c r="Q20" t="s">
        <v>322</v>
      </c>
      <c r="R20" t="s">
        <v>322</v>
      </c>
      <c r="S20" t="s">
        <v>322</v>
      </c>
    </row>
    <row r="21" spans="1:19" x14ac:dyDescent="0.25">
      <c r="A21">
        <v>20</v>
      </c>
      <c r="B21" t="s">
        <v>538</v>
      </c>
      <c r="M21" t="s">
        <v>323</v>
      </c>
      <c r="O21" t="s">
        <v>324</v>
      </c>
      <c r="Q21" t="s">
        <v>273</v>
      </c>
      <c r="R21" t="s">
        <v>273</v>
      </c>
      <c r="S21" t="s">
        <v>273</v>
      </c>
    </row>
    <row r="22" spans="1:19" x14ac:dyDescent="0.25">
      <c r="A22">
        <v>21</v>
      </c>
      <c r="B22" t="s">
        <v>538</v>
      </c>
      <c r="M22" t="s">
        <v>325</v>
      </c>
      <c r="Q22" t="s">
        <v>267</v>
      </c>
      <c r="R22" t="s">
        <v>267</v>
      </c>
      <c r="S22" t="s">
        <v>267</v>
      </c>
    </row>
    <row r="23" spans="1:19" x14ac:dyDescent="0.25">
      <c r="A23">
        <v>22</v>
      </c>
      <c r="B23" t="s">
        <v>538</v>
      </c>
      <c r="M23" t="s">
        <v>326</v>
      </c>
      <c r="Q23" t="s">
        <v>250</v>
      </c>
      <c r="R23" t="s">
        <v>250</v>
      </c>
      <c r="S23" t="s">
        <v>250</v>
      </c>
    </row>
    <row r="24" spans="1:19" x14ac:dyDescent="0.25">
      <c r="A24">
        <v>23</v>
      </c>
      <c r="B24" t="s">
        <v>538</v>
      </c>
      <c r="M24" t="s">
        <v>327</v>
      </c>
      <c r="Q24" t="s">
        <v>328</v>
      </c>
      <c r="R24" t="s">
        <v>328</v>
      </c>
      <c r="S24" t="s">
        <v>328</v>
      </c>
    </row>
    <row r="25" spans="1:19" x14ac:dyDescent="0.25">
      <c r="A25">
        <v>24</v>
      </c>
      <c r="B25" t="s">
        <v>538</v>
      </c>
      <c r="M25" t="s">
        <v>329</v>
      </c>
      <c r="Q25" t="s">
        <v>330</v>
      </c>
      <c r="R25" t="s">
        <v>330</v>
      </c>
      <c r="S25" t="s">
        <v>330</v>
      </c>
    </row>
    <row r="26" spans="1:19" x14ac:dyDescent="0.25">
      <c r="A26">
        <v>25</v>
      </c>
      <c r="B26" t="s">
        <v>538</v>
      </c>
      <c r="M26" t="s">
        <v>331</v>
      </c>
      <c r="Q26" t="s">
        <v>332</v>
      </c>
      <c r="R26" t="s">
        <v>332</v>
      </c>
      <c r="S26" t="s">
        <v>332</v>
      </c>
    </row>
    <row r="27" spans="1:19" x14ac:dyDescent="0.25">
      <c r="A27">
        <v>26</v>
      </c>
      <c r="B27" t="s">
        <v>538</v>
      </c>
      <c r="M27" t="s">
        <v>333</v>
      </c>
      <c r="Q27" t="s">
        <v>334</v>
      </c>
      <c r="R27" t="s">
        <v>334</v>
      </c>
      <c r="S27" t="s">
        <v>334</v>
      </c>
    </row>
    <row r="28" spans="1:19" x14ac:dyDescent="0.25">
      <c r="A28">
        <v>27</v>
      </c>
      <c r="B28" t="s">
        <v>538</v>
      </c>
      <c r="Q28" t="s">
        <v>286</v>
      </c>
      <c r="R28" t="s">
        <v>286</v>
      </c>
      <c r="S28" t="s">
        <v>286</v>
      </c>
    </row>
    <row r="29" spans="1:19" x14ac:dyDescent="0.25">
      <c r="A29">
        <v>28</v>
      </c>
      <c r="B29" t="s">
        <v>538</v>
      </c>
      <c r="Q29" t="s">
        <v>283</v>
      </c>
      <c r="R29" t="s">
        <v>283</v>
      </c>
      <c r="S29" t="s">
        <v>283</v>
      </c>
    </row>
    <row r="30" spans="1:19" x14ac:dyDescent="0.25">
      <c r="A30">
        <v>29</v>
      </c>
      <c r="B30" t="s">
        <v>538</v>
      </c>
      <c r="Q30" t="s">
        <v>335</v>
      </c>
      <c r="R30" t="s">
        <v>335</v>
      </c>
      <c r="S30" t="s">
        <v>335</v>
      </c>
    </row>
    <row r="31" spans="1:19" x14ac:dyDescent="0.25">
      <c r="A31">
        <v>30</v>
      </c>
      <c r="B31" t="s">
        <v>538</v>
      </c>
      <c r="Q31" t="s">
        <v>336</v>
      </c>
      <c r="R31" t="s">
        <v>336</v>
      </c>
      <c r="S31" t="s">
        <v>336</v>
      </c>
    </row>
    <row r="32" spans="1:19" x14ac:dyDescent="0.25">
      <c r="A32">
        <v>31</v>
      </c>
      <c r="B32" t="s">
        <v>538</v>
      </c>
    </row>
    <row r="33" spans="1:2" x14ac:dyDescent="0.25">
      <c r="A33">
        <v>32</v>
      </c>
      <c r="B33" t="s">
        <v>538</v>
      </c>
    </row>
    <row r="34" spans="1:2" x14ac:dyDescent="0.25">
      <c r="A34">
        <v>33</v>
      </c>
      <c r="B34" t="s">
        <v>538</v>
      </c>
    </row>
    <row r="35" spans="1:2" x14ac:dyDescent="0.25">
      <c r="A35">
        <v>34</v>
      </c>
      <c r="B35" t="s">
        <v>538</v>
      </c>
    </row>
    <row r="36" spans="1:2" x14ac:dyDescent="0.25">
      <c r="A36">
        <v>35</v>
      </c>
      <c r="B36" t="s">
        <v>538</v>
      </c>
    </row>
    <row r="37" spans="1:2" x14ac:dyDescent="0.25">
      <c r="A37">
        <v>36</v>
      </c>
      <c r="B37" t="s">
        <v>538</v>
      </c>
    </row>
    <row r="38" spans="1:2" x14ac:dyDescent="0.25">
      <c r="A38">
        <v>37</v>
      </c>
      <c r="B38" t="s">
        <v>538</v>
      </c>
    </row>
    <row r="39" spans="1:2" x14ac:dyDescent="0.25">
      <c r="A39">
        <v>38</v>
      </c>
      <c r="B39" t="s">
        <v>538</v>
      </c>
    </row>
    <row r="40" spans="1:2" x14ac:dyDescent="0.25">
      <c r="A40">
        <v>39</v>
      </c>
      <c r="B40" t="s">
        <v>538</v>
      </c>
    </row>
    <row r="41" spans="1:2" x14ac:dyDescent="0.25">
      <c r="A41">
        <v>40</v>
      </c>
      <c r="B41" t="s">
        <v>538</v>
      </c>
    </row>
    <row r="42" spans="1:2" x14ac:dyDescent="0.25">
      <c r="A42">
        <v>41</v>
      </c>
      <c r="B42" t="s">
        <v>538</v>
      </c>
    </row>
    <row r="43" spans="1:2" x14ac:dyDescent="0.25">
      <c r="A43">
        <v>42</v>
      </c>
      <c r="B43" t="s">
        <v>538</v>
      </c>
    </row>
    <row r="44" spans="1:2" x14ac:dyDescent="0.25">
      <c r="A44">
        <v>43</v>
      </c>
      <c r="B44" t="s">
        <v>538</v>
      </c>
    </row>
    <row r="45" spans="1:2" x14ac:dyDescent="0.25">
      <c r="A45">
        <v>44</v>
      </c>
      <c r="B45" t="s">
        <v>538</v>
      </c>
    </row>
    <row r="46" spans="1:2" x14ac:dyDescent="0.25">
      <c r="A46">
        <v>45</v>
      </c>
      <c r="B46" t="s">
        <v>538</v>
      </c>
    </row>
    <row r="47" spans="1:2" x14ac:dyDescent="0.25">
      <c r="A47">
        <v>46</v>
      </c>
      <c r="B47" t="s">
        <v>538</v>
      </c>
    </row>
    <row r="48" spans="1:2" x14ac:dyDescent="0.25">
      <c r="A48">
        <v>47</v>
      </c>
      <c r="B48" t="s">
        <v>538</v>
      </c>
    </row>
    <row r="49" spans="1:3" x14ac:dyDescent="0.25">
      <c r="A49">
        <v>48</v>
      </c>
      <c r="B49" t="s">
        <v>538</v>
      </c>
    </row>
    <row r="50" spans="1:3" x14ac:dyDescent="0.25">
      <c r="A50">
        <v>49</v>
      </c>
      <c r="B50" t="s">
        <v>538</v>
      </c>
    </row>
    <row r="51" spans="1:3" x14ac:dyDescent="0.25">
      <c r="A51">
        <v>50</v>
      </c>
      <c r="B51" t="s">
        <v>538</v>
      </c>
    </row>
    <row r="53" spans="1:3" x14ac:dyDescent="0.25">
      <c r="C53" t="s">
        <v>539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E0FD-348E-4D77-8358-79EBE1BA9B19}">
  <sheetPr>
    <tabColor theme="2"/>
  </sheetPr>
  <dimension ref="A1:C3"/>
  <sheetViews>
    <sheetView tabSelected="1" workbookViewId="0">
      <selection activeCell="D4" sqref="D4"/>
    </sheetView>
  </sheetViews>
  <sheetFormatPr defaultRowHeight="15" x14ac:dyDescent="0.25"/>
  <sheetData>
    <row r="1" spans="1:3" x14ac:dyDescent="0.25">
      <c r="B1" t="s">
        <v>242</v>
      </c>
      <c r="C1" t="s">
        <v>243</v>
      </c>
    </row>
    <row r="2" spans="1:3" x14ac:dyDescent="0.25">
      <c r="A2" t="s">
        <v>240</v>
      </c>
    </row>
    <row r="3" spans="1:3" x14ac:dyDescent="0.25">
      <c r="A3" t="s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8FE8-1D40-47F9-8068-F81252A39BA9}">
  <sheetPr>
    <tabColor theme="4"/>
  </sheetPr>
  <dimension ref="A1:B8"/>
  <sheetViews>
    <sheetView workbookViewId="0">
      <selection activeCell="B2" sqref="B2"/>
    </sheetView>
  </sheetViews>
  <sheetFormatPr defaultRowHeight="15" x14ac:dyDescent="0.25"/>
  <cols>
    <col min="1" max="1" width="25.140625" bestFit="1" customWidth="1"/>
    <col min="2" max="2" width="23.85546875" bestFit="1" customWidth="1"/>
    <col min="3" max="3" width="14.42578125" bestFit="1" customWidth="1"/>
    <col min="4" max="4" width="20.140625" bestFit="1" customWidth="1"/>
    <col min="5" max="5" width="20" bestFit="1" customWidth="1"/>
    <col min="6" max="6" width="16.7109375" bestFit="1" customWidth="1"/>
    <col min="7" max="7" width="14.5703125" bestFit="1" customWidth="1"/>
    <col min="8" max="8" width="14.85546875" bestFit="1" customWidth="1"/>
    <col min="9" max="9" width="18.85546875" bestFit="1" customWidth="1"/>
  </cols>
  <sheetData>
    <row r="1" spans="1:2" x14ac:dyDescent="0.25">
      <c r="A1" t="s">
        <v>201</v>
      </c>
      <c r="B1" t="s">
        <v>227</v>
      </c>
    </row>
    <row r="2" spans="1:2" x14ac:dyDescent="0.25">
      <c r="A2" t="s">
        <v>61</v>
      </c>
      <c r="B2" t="s">
        <v>228</v>
      </c>
    </row>
    <row r="3" spans="1:2" x14ac:dyDescent="0.25">
      <c r="A3" t="s">
        <v>62</v>
      </c>
    </row>
    <row r="4" spans="1:2" x14ac:dyDescent="0.25">
      <c r="A4" t="s">
        <v>65</v>
      </c>
    </row>
    <row r="5" spans="1:2" x14ac:dyDescent="0.25">
      <c r="A5" t="s">
        <v>63</v>
      </c>
    </row>
    <row r="6" spans="1:2" x14ac:dyDescent="0.25">
      <c r="A6" t="s">
        <v>165</v>
      </c>
    </row>
    <row r="7" spans="1:2" x14ac:dyDescent="0.25">
      <c r="A7" t="s">
        <v>166</v>
      </c>
    </row>
    <row r="8" spans="1:2" x14ac:dyDescent="0.25">
      <c r="A8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57BA-7456-4C94-8508-88C9DA46F69C}">
  <dimension ref="A1:B2"/>
  <sheetViews>
    <sheetView workbookViewId="0">
      <selection activeCell="C1" sqref="C1:F8"/>
    </sheetView>
  </sheetViews>
  <sheetFormatPr defaultRowHeight="15" x14ac:dyDescent="0.25"/>
  <cols>
    <col min="1" max="1" width="13.7109375" bestFit="1" customWidth="1"/>
    <col min="3" max="3" width="18" bestFit="1" customWidth="1"/>
    <col min="4" max="4" width="6.5703125" bestFit="1" customWidth="1"/>
    <col min="5" max="5" width="18.28515625" bestFit="1" customWidth="1"/>
    <col min="6" max="6" width="17.7109375" bestFit="1" customWidth="1"/>
  </cols>
  <sheetData>
    <row r="1" spans="1:2" x14ac:dyDescent="0.25">
      <c r="A1" t="s">
        <v>162</v>
      </c>
      <c r="B1" t="s">
        <v>163</v>
      </c>
    </row>
    <row r="2" spans="1:2" x14ac:dyDescent="0.25">
      <c r="A2" t="s">
        <v>199</v>
      </c>
      <c r="B2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BBD1-C235-4885-9749-77A74656522D}">
  <dimension ref="A1:AW31"/>
  <sheetViews>
    <sheetView topLeftCell="G1" workbookViewId="0">
      <selection activeCell="AA3" sqref="AA3"/>
    </sheetView>
  </sheetViews>
  <sheetFormatPr defaultRowHeight="15" x14ac:dyDescent="0.25"/>
  <cols>
    <col min="1" max="1" width="18" bestFit="1" customWidth="1"/>
    <col min="2" max="2" width="12.85546875" bestFit="1" customWidth="1"/>
    <col min="3" max="3" width="18.28515625" bestFit="1" customWidth="1"/>
    <col min="4" max="4" width="17.7109375" bestFit="1" customWidth="1"/>
    <col min="5" max="5" width="17.85546875" bestFit="1" customWidth="1"/>
    <col min="6" max="7" width="21.140625" bestFit="1" customWidth="1"/>
    <col min="8" max="8" width="12.85546875" bestFit="1" customWidth="1"/>
    <col min="10" max="10" width="10.42578125" bestFit="1" customWidth="1"/>
    <col min="11" max="11" width="15.5703125" bestFit="1" customWidth="1"/>
    <col min="12" max="12" width="14.7109375" bestFit="1" customWidth="1"/>
    <col min="13" max="13" width="19.140625" bestFit="1" customWidth="1"/>
    <col min="14" max="14" width="10.42578125" bestFit="1" customWidth="1"/>
    <col min="16" max="16" width="21.5703125" bestFit="1" customWidth="1"/>
  </cols>
  <sheetData>
    <row r="1" spans="1:49" x14ac:dyDescent="0.25">
      <c r="A1" t="s">
        <v>200</v>
      </c>
      <c r="B1" t="s">
        <v>205</v>
      </c>
      <c r="C1" t="s">
        <v>209</v>
      </c>
      <c r="D1" t="s">
        <v>213</v>
      </c>
      <c r="E1" t="s">
        <v>211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179</v>
      </c>
      <c r="M1" t="s">
        <v>220</v>
      </c>
      <c r="N1" t="s">
        <v>190</v>
      </c>
      <c r="O1" t="s">
        <v>193</v>
      </c>
      <c r="P1" t="s">
        <v>221</v>
      </c>
      <c r="Q1" t="s">
        <v>222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72</v>
      </c>
      <c r="Z1" t="s">
        <v>71</v>
      </c>
      <c r="AA1" t="s">
        <v>344</v>
      </c>
      <c r="AB1" t="s">
        <v>345</v>
      </c>
      <c r="AC1" t="s">
        <v>346</v>
      </c>
      <c r="AD1" t="s">
        <v>347</v>
      </c>
      <c r="AE1" t="s">
        <v>348</v>
      </c>
      <c r="AF1" t="s">
        <v>349</v>
      </c>
      <c r="AG1" t="s">
        <v>234</v>
      </c>
      <c r="AH1" t="s">
        <v>350</v>
      </c>
      <c r="AI1" t="s">
        <v>351</v>
      </c>
      <c r="AJ1" t="s">
        <v>352</v>
      </c>
      <c r="AK1" t="s">
        <v>353</v>
      </c>
      <c r="AL1" t="s">
        <v>354</v>
      </c>
      <c r="AM1" t="s">
        <v>355</v>
      </c>
      <c r="AN1" t="s">
        <v>356</v>
      </c>
      <c r="AO1" t="s">
        <v>357</v>
      </c>
      <c r="AP1" t="s">
        <v>358</v>
      </c>
      <c r="AQ1" t="s">
        <v>359</v>
      </c>
      <c r="AR1" t="s">
        <v>360</v>
      </c>
      <c r="AS1" t="s">
        <v>361</v>
      </c>
      <c r="AT1" t="s">
        <v>150</v>
      </c>
      <c r="AU1" t="s">
        <v>362</v>
      </c>
      <c r="AV1" t="s">
        <v>363</v>
      </c>
      <c r="AW1" t="s">
        <v>364</v>
      </c>
    </row>
    <row r="2" spans="1:49" x14ac:dyDescent="0.25">
      <c r="A2" t="s">
        <v>72</v>
      </c>
      <c r="B2" t="s">
        <v>172</v>
      </c>
      <c r="C2" t="s">
        <v>172</v>
      </c>
      <c r="D2" t="s">
        <v>175</v>
      </c>
      <c r="E2" t="s">
        <v>177</v>
      </c>
      <c r="H2" t="s">
        <v>171</v>
      </c>
      <c r="J2" t="s">
        <v>180</v>
      </c>
      <c r="K2" t="s">
        <v>186</v>
      </c>
      <c r="L2" t="s">
        <v>56</v>
      </c>
      <c r="N2" t="s">
        <v>191</v>
      </c>
      <c r="O2" t="s">
        <v>194</v>
      </c>
      <c r="P2" t="s">
        <v>223</v>
      </c>
      <c r="Q2" t="s">
        <v>198</v>
      </c>
      <c r="R2" t="s">
        <v>247</v>
      </c>
      <c r="S2" t="s">
        <v>247</v>
      </c>
      <c r="T2" t="s">
        <v>247</v>
      </c>
      <c r="U2" t="s">
        <v>247</v>
      </c>
      <c r="V2" t="s">
        <v>247</v>
      </c>
      <c r="W2" t="s">
        <v>248</v>
      </c>
      <c r="X2" t="s">
        <v>247</v>
      </c>
      <c r="Y2" t="s">
        <v>249</v>
      </c>
      <c r="Z2" t="s">
        <v>250</v>
      </c>
      <c r="AA2" t="s">
        <v>177</v>
      </c>
      <c r="AB2" t="s">
        <v>247</v>
      </c>
      <c r="AC2" t="s">
        <v>177</v>
      </c>
      <c r="AD2" t="s">
        <v>251</v>
      </c>
      <c r="AE2" t="s">
        <v>177</v>
      </c>
      <c r="AF2" t="s">
        <v>252</v>
      </c>
      <c r="AG2" t="s">
        <v>252</v>
      </c>
      <c r="AH2" t="s">
        <v>252</v>
      </c>
      <c r="AI2" t="s">
        <v>177</v>
      </c>
      <c r="AK2" t="s">
        <v>253</v>
      </c>
      <c r="AO2" t="s">
        <v>254</v>
      </c>
    </row>
    <row r="3" spans="1:49" x14ac:dyDescent="0.25">
      <c r="A3" t="s">
        <v>168</v>
      </c>
      <c r="B3" t="s">
        <v>173</v>
      </c>
      <c r="C3" t="s">
        <v>173</v>
      </c>
      <c r="D3" t="s">
        <v>176</v>
      </c>
      <c r="E3" t="s">
        <v>178</v>
      </c>
      <c r="H3" t="s">
        <v>202</v>
      </c>
      <c r="J3" t="s">
        <v>181</v>
      </c>
      <c r="K3" t="s">
        <v>185</v>
      </c>
      <c r="L3" t="s">
        <v>187</v>
      </c>
      <c r="N3" t="s">
        <v>192</v>
      </c>
      <c r="O3" t="s">
        <v>195</v>
      </c>
      <c r="P3" t="s">
        <v>224</v>
      </c>
      <c r="R3" t="s">
        <v>255</v>
      </c>
      <c r="S3" t="s">
        <v>255</v>
      </c>
      <c r="T3" t="s">
        <v>256</v>
      </c>
      <c r="U3" t="s">
        <v>255</v>
      </c>
      <c r="V3" t="s">
        <v>257</v>
      </c>
      <c r="W3" t="s">
        <v>250</v>
      </c>
      <c r="X3" t="s">
        <v>255</v>
      </c>
      <c r="Y3" t="s">
        <v>250</v>
      </c>
      <c r="AA3" t="s">
        <v>178</v>
      </c>
      <c r="AB3" t="s">
        <v>258</v>
      </c>
      <c r="AC3" t="s">
        <v>178</v>
      </c>
      <c r="AD3" t="s">
        <v>259</v>
      </c>
      <c r="AE3" t="s">
        <v>178</v>
      </c>
      <c r="AF3" t="s">
        <v>247</v>
      </c>
      <c r="AG3" t="s">
        <v>247</v>
      </c>
      <c r="AH3" t="s">
        <v>247</v>
      </c>
      <c r="AI3" t="s">
        <v>178</v>
      </c>
      <c r="AO3" t="s">
        <v>223</v>
      </c>
    </row>
    <row r="4" spans="1:49" x14ac:dyDescent="0.25">
      <c r="A4" t="s">
        <v>71</v>
      </c>
      <c r="C4" t="s">
        <v>206</v>
      </c>
      <c r="D4" t="s">
        <v>210</v>
      </c>
      <c r="E4" t="s">
        <v>34</v>
      </c>
      <c r="H4" t="s">
        <v>203</v>
      </c>
      <c r="K4" t="s">
        <v>184</v>
      </c>
      <c r="L4" t="s">
        <v>188</v>
      </c>
      <c r="O4" t="s">
        <v>196</v>
      </c>
      <c r="R4" t="s">
        <v>260</v>
      </c>
      <c r="S4" t="s">
        <v>253</v>
      </c>
      <c r="T4" t="s">
        <v>255</v>
      </c>
      <c r="U4" t="s">
        <v>253</v>
      </c>
      <c r="V4" t="s">
        <v>261</v>
      </c>
      <c r="X4" t="s">
        <v>253</v>
      </c>
      <c r="Y4" t="s">
        <v>262</v>
      </c>
      <c r="AB4" t="s">
        <v>251</v>
      </c>
      <c r="AD4" t="s">
        <v>263</v>
      </c>
      <c r="AF4" t="s">
        <v>264</v>
      </c>
      <c r="AG4" t="s">
        <v>264</v>
      </c>
      <c r="AH4" t="s">
        <v>264</v>
      </c>
    </row>
    <row r="5" spans="1:49" x14ac:dyDescent="0.25">
      <c r="A5" t="s">
        <v>74</v>
      </c>
      <c r="C5" t="s">
        <v>207</v>
      </c>
      <c r="D5" t="s">
        <v>34</v>
      </c>
      <c r="E5" t="s">
        <v>212</v>
      </c>
      <c r="H5" t="s">
        <v>204</v>
      </c>
      <c r="K5" t="s">
        <v>183</v>
      </c>
      <c r="L5" t="s">
        <v>53</v>
      </c>
      <c r="O5" t="s">
        <v>197</v>
      </c>
      <c r="R5" t="s">
        <v>253</v>
      </c>
      <c r="S5" t="s">
        <v>265</v>
      </c>
      <c r="T5" t="s">
        <v>260</v>
      </c>
      <c r="U5" t="s">
        <v>265</v>
      </c>
      <c r="V5" t="s">
        <v>255</v>
      </c>
      <c r="X5" t="s">
        <v>266</v>
      </c>
      <c r="Y5" t="s">
        <v>267</v>
      </c>
      <c r="AB5" t="s">
        <v>268</v>
      </c>
      <c r="AD5" t="s">
        <v>269</v>
      </c>
      <c r="AF5" t="s">
        <v>270</v>
      </c>
      <c r="AG5" t="s">
        <v>270</v>
      </c>
      <c r="AH5" t="s">
        <v>270</v>
      </c>
    </row>
    <row r="6" spans="1:49" x14ac:dyDescent="0.25">
      <c r="A6" t="s">
        <v>169</v>
      </c>
      <c r="C6" t="s">
        <v>208</v>
      </c>
      <c r="E6" t="s">
        <v>575</v>
      </c>
      <c r="K6" t="s">
        <v>182</v>
      </c>
      <c r="L6" t="s">
        <v>189</v>
      </c>
      <c r="O6" t="s">
        <v>34</v>
      </c>
      <c r="R6" t="s">
        <v>266</v>
      </c>
      <c r="S6" t="s">
        <v>271</v>
      </c>
      <c r="T6" t="s">
        <v>253</v>
      </c>
      <c r="U6" t="s">
        <v>250</v>
      </c>
      <c r="V6" t="s">
        <v>266</v>
      </c>
      <c r="X6" t="s">
        <v>272</v>
      </c>
      <c r="Y6" t="s">
        <v>273</v>
      </c>
      <c r="AB6" t="s">
        <v>274</v>
      </c>
      <c r="AD6" t="s">
        <v>275</v>
      </c>
      <c r="AF6" t="s">
        <v>276</v>
      </c>
      <c r="AG6" t="s">
        <v>276</v>
      </c>
      <c r="AH6" t="s">
        <v>276</v>
      </c>
    </row>
    <row r="7" spans="1:49" x14ac:dyDescent="0.25">
      <c r="A7" t="s">
        <v>170</v>
      </c>
      <c r="C7" t="s">
        <v>174</v>
      </c>
      <c r="K7" t="s">
        <v>34</v>
      </c>
      <c r="L7" t="s">
        <v>137</v>
      </c>
      <c r="R7" t="s">
        <v>277</v>
      </c>
      <c r="S7" t="s">
        <v>250</v>
      </c>
      <c r="T7" t="s">
        <v>266</v>
      </c>
      <c r="U7" t="s">
        <v>278</v>
      </c>
      <c r="V7" t="s">
        <v>279</v>
      </c>
      <c r="X7" t="s">
        <v>250</v>
      </c>
      <c r="Y7" t="s">
        <v>280</v>
      </c>
      <c r="AB7" t="s">
        <v>281</v>
      </c>
      <c r="AD7" t="s">
        <v>252</v>
      </c>
      <c r="AF7" t="s">
        <v>282</v>
      </c>
      <c r="AG7" t="s">
        <v>282</v>
      </c>
      <c r="AH7" t="s">
        <v>282</v>
      </c>
    </row>
    <row r="8" spans="1:49" x14ac:dyDescent="0.25">
      <c r="A8" t="s">
        <v>65</v>
      </c>
      <c r="K8" t="s">
        <v>212</v>
      </c>
      <c r="L8" t="s">
        <v>54</v>
      </c>
      <c r="R8" t="s">
        <v>278</v>
      </c>
      <c r="S8" t="s">
        <v>283</v>
      </c>
      <c r="T8" t="s">
        <v>284</v>
      </c>
      <c r="U8" t="s">
        <v>285</v>
      </c>
      <c r="V8" t="s">
        <v>272</v>
      </c>
      <c r="X8" t="s">
        <v>286</v>
      </c>
      <c r="Y8" t="s">
        <v>287</v>
      </c>
      <c r="AB8" t="s">
        <v>288</v>
      </c>
      <c r="AD8" t="s">
        <v>289</v>
      </c>
      <c r="AF8" t="s">
        <v>256</v>
      </c>
      <c r="AG8" t="s">
        <v>256</v>
      </c>
      <c r="AH8" t="s">
        <v>256</v>
      </c>
    </row>
    <row r="9" spans="1:49" x14ac:dyDescent="0.25">
      <c r="R9" t="s">
        <v>285</v>
      </c>
      <c r="T9" t="s">
        <v>277</v>
      </c>
      <c r="U9" t="s">
        <v>290</v>
      </c>
      <c r="V9" t="s">
        <v>250</v>
      </c>
      <c r="X9" t="s">
        <v>283</v>
      </c>
      <c r="Y9" t="s">
        <v>255</v>
      </c>
      <c r="AB9" t="s">
        <v>291</v>
      </c>
      <c r="AD9" t="s">
        <v>292</v>
      </c>
      <c r="AF9" t="s">
        <v>293</v>
      </c>
      <c r="AG9" t="s">
        <v>293</v>
      </c>
      <c r="AH9" t="s">
        <v>293</v>
      </c>
    </row>
    <row r="10" spans="1:49" x14ac:dyDescent="0.25">
      <c r="R10" t="s">
        <v>290</v>
      </c>
      <c r="T10" t="s">
        <v>279</v>
      </c>
      <c r="V10" t="s">
        <v>283</v>
      </c>
      <c r="X10" t="s">
        <v>294</v>
      </c>
      <c r="Y10" t="s">
        <v>295</v>
      </c>
      <c r="AB10" t="s">
        <v>296</v>
      </c>
      <c r="AD10" t="s">
        <v>297</v>
      </c>
      <c r="AF10" t="s">
        <v>298</v>
      </c>
      <c r="AG10" t="s">
        <v>298</v>
      </c>
      <c r="AH10" t="s">
        <v>298</v>
      </c>
    </row>
    <row r="11" spans="1:49" x14ac:dyDescent="0.25">
      <c r="R11" t="s">
        <v>272</v>
      </c>
      <c r="T11" t="s">
        <v>278</v>
      </c>
      <c r="V11" t="s">
        <v>294</v>
      </c>
      <c r="Y11" t="s">
        <v>299</v>
      </c>
      <c r="AB11" t="s">
        <v>300</v>
      </c>
      <c r="AD11" t="s">
        <v>301</v>
      </c>
      <c r="AF11" t="s">
        <v>302</v>
      </c>
      <c r="AG11" t="s">
        <v>302</v>
      </c>
      <c r="AH11" t="s">
        <v>302</v>
      </c>
    </row>
    <row r="12" spans="1:49" x14ac:dyDescent="0.25">
      <c r="R12" t="s">
        <v>250</v>
      </c>
      <c r="T12" t="s">
        <v>285</v>
      </c>
      <c r="Y12" t="s">
        <v>303</v>
      </c>
      <c r="AB12" t="s">
        <v>304</v>
      </c>
      <c r="AD12" t="s">
        <v>277</v>
      </c>
      <c r="AF12" t="s">
        <v>255</v>
      </c>
      <c r="AG12" t="s">
        <v>255</v>
      </c>
      <c r="AH12" t="s">
        <v>255</v>
      </c>
    </row>
    <row r="13" spans="1:49" x14ac:dyDescent="0.25">
      <c r="R13" t="s">
        <v>286</v>
      </c>
      <c r="T13" t="s">
        <v>290</v>
      </c>
      <c r="Y13" t="s">
        <v>247</v>
      </c>
      <c r="AB13" t="s">
        <v>305</v>
      </c>
      <c r="AD13" t="s">
        <v>306</v>
      </c>
      <c r="AF13" t="s">
        <v>253</v>
      </c>
      <c r="AG13" t="s">
        <v>253</v>
      </c>
      <c r="AH13" t="s">
        <v>253</v>
      </c>
    </row>
    <row r="14" spans="1:49" x14ac:dyDescent="0.25">
      <c r="R14" t="s">
        <v>283</v>
      </c>
      <c r="T14" t="s">
        <v>272</v>
      </c>
      <c r="Y14" t="s">
        <v>307</v>
      </c>
      <c r="AB14" t="s">
        <v>308</v>
      </c>
      <c r="AD14" t="s">
        <v>309</v>
      </c>
      <c r="AF14" t="s">
        <v>249</v>
      </c>
      <c r="AG14" t="s">
        <v>249</v>
      </c>
      <c r="AH14" t="s">
        <v>249</v>
      </c>
    </row>
    <row r="15" spans="1:49" x14ac:dyDescent="0.25">
      <c r="T15" t="s">
        <v>250</v>
      </c>
      <c r="AB15" t="s">
        <v>310</v>
      </c>
      <c r="AD15" t="s">
        <v>311</v>
      </c>
      <c r="AF15" t="s">
        <v>266</v>
      </c>
      <c r="AG15" t="s">
        <v>266</v>
      </c>
      <c r="AH15" t="s">
        <v>266</v>
      </c>
    </row>
    <row r="16" spans="1:49" x14ac:dyDescent="0.25">
      <c r="T16" t="s">
        <v>286</v>
      </c>
      <c r="AB16" t="s">
        <v>312</v>
      </c>
      <c r="AD16" t="s">
        <v>313</v>
      </c>
      <c r="AF16" t="s">
        <v>314</v>
      </c>
      <c r="AG16" t="s">
        <v>314</v>
      </c>
      <c r="AH16" t="s">
        <v>314</v>
      </c>
    </row>
    <row r="17" spans="20:34" x14ac:dyDescent="0.25">
      <c r="T17" t="s">
        <v>283</v>
      </c>
      <c r="AB17" t="s">
        <v>277</v>
      </c>
      <c r="AD17" t="s">
        <v>273</v>
      </c>
      <c r="AF17" t="s">
        <v>306</v>
      </c>
      <c r="AG17" t="s">
        <v>306</v>
      </c>
      <c r="AH17" t="s">
        <v>306</v>
      </c>
    </row>
    <row r="18" spans="20:34" x14ac:dyDescent="0.25">
      <c r="T18" t="s">
        <v>294</v>
      </c>
      <c r="AB18" t="s">
        <v>306</v>
      </c>
      <c r="AD18" t="s">
        <v>315</v>
      </c>
      <c r="AF18" t="s">
        <v>316</v>
      </c>
      <c r="AG18" t="s">
        <v>316</v>
      </c>
      <c r="AH18" t="s">
        <v>316</v>
      </c>
    </row>
    <row r="19" spans="20:34" x14ac:dyDescent="0.25">
      <c r="T19" t="s">
        <v>317</v>
      </c>
      <c r="AB19" t="s">
        <v>318</v>
      </c>
      <c r="AD19" t="s">
        <v>319</v>
      </c>
      <c r="AF19" t="s">
        <v>320</v>
      </c>
      <c r="AG19" t="s">
        <v>320</v>
      </c>
      <c r="AH19" t="s">
        <v>320</v>
      </c>
    </row>
    <row r="20" spans="20:34" x14ac:dyDescent="0.25">
      <c r="AB20" t="s">
        <v>321</v>
      </c>
      <c r="AD20" t="s">
        <v>283</v>
      </c>
      <c r="AF20" t="s">
        <v>322</v>
      </c>
      <c r="AG20" t="s">
        <v>322</v>
      </c>
      <c r="AH20" t="s">
        <v>322</v>
      </c>
    </row>
    <row r="21" spans="20:34" x14ac:dyDescent="0.25">
      <c r="AB21" t="s">
        <v>323</v>
      </c>
      <c r="AD21" t="s">
        <v>324</v>
      </c>
      <c r="AF21" t="s">
        <v>273</v>
      </c>
      <c r="AG21" t="s">
        <v>273</v>
      </c>
      <c r="AH21" t="s">
        <v>273</v>
      </c>
    </row>
    <row r="22" spans="20:34" x14ac:dyDescent="0.25">
      <c r="AB22" t="s">
        <v>325</v>
      </c>
      <c r="AF22" t="s">
        <v>267</v>
      </c>
      <c r="AG22" t="s">
        <v>267</v>
      </c>
      <c r="AH22" t="s">
        <v>267</v>
      </c>
    </row>
    <row r="23" spans="20:34" x14ac:dyDescent="0.25">
      <c r="AB23" t="s">
        <v>326</v>
      </c>
      <c r="AF23" t="s">
        <v>250</v>
      </c>
      <c r="AG23" t="s">
        <v>250</v>
      </c>
      <c r="AH23" t="s">
        <v>250</v>
      </c>
    </row>
    <row r="24" spans="20:34" x14ac:dyDescent="0.25">
      <c r="AB24" t="s">
        <v>327</v>
      </c>
      <c r="AF24" t="s">
        <v>328</v>
      </c>
      <c r="AG24" t="s">
        <v>328</v>
      </c>
      <c r="AH24" t="s">
        <v>328</v>
      </c>
    </row>
    <row r="25" spans="20:34" x14ac:dyDescent="0.25">
      <c r="AB25" t="s">
        <v>329</v>
      </c>
      <c r="AF25" t="s">
        <v>330</v>
      </c>
      <c r="AG25" t="s">
        <v>330</v>
      </c>
      <c r="AH25" t="s">
        <v>330</v>
      </c>
    </row>
    <row r="26" spans="20:34" x14ac:dyDescent="0.25">
      <c r="AB26" t="s">
        <v>331</v>
      </c>
      <c r="AF26" t="s">
        <v>332</v>
      </c>
      <c r="AG26" t="s">
        <v>332</v>
      </c>
      <c r="AH26" t="s">
        <v>332</v>
      </c>
    </row>
    <row r="27" spans="20:34" x14ac:dyDescent="0.25">
      <c r="AB27" t="s">
        <v>333</v>
      </c>
      <c r="AF27" t="s">
        <v>334</v>
      </c>
      <c r="AG27" t="s">
        <v>334</v>
      </c>
      <c r="AH27" t="s">
        <v>334</v>
      </c>
    </row>
    <row r="28" spans="20:34" x14ac:dyDescent="0.25">
      <c r="AF28" t="s">
        <v>286</v>
      </c>
      <c r="AG28" t="s">
        <v>286</v>
      </c>
      <c r="AH28" t="s">
        <v>286</v>
      </c>
    </row>
    <row r="29" spans="20:34" x14ac:dyDescent="0.25">
      <c r="AF29" t="s">
        <v>283</v>
      </c>
      <c r="AG29" t="s">
        <v>283</v>
      </c>
      <c r="AH29" t="s">
        <v>283</v>
      </c>
    </row>
    <row r="30" spans="20:34" x14ac:dyDescent="0.25">
      <c r="AF30" t="s">
        <v>335</v>
      </c>
      <c r="AG30" t="s">
        <v>335</v>
      </c>
      <c r="AH30" t="s">
        <v>335</v>
      </c>
    </row>
    <row r="31" spans="20:34" x14ac:dyDescent="0.25">
      <c r="AF31" t="s">
        <v>336</v>
      </c>
      <c r="AG31" t="s">
        <v>336</v>
      </c>
      <c r="AH31" t="s">
        <v>336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3C878-C02C-4503-A6C7-40A10CD246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PCE Testsheet</vt:lpstr>
      <vt:lpstr>PCE VI</vt:lpstr>
      <vt:lpstr>ASSET_11</vt:lpstr>
      <vt:lpstr>Model</vt:lpstr>
      <vt:lpstr>Brand</vt:lpstr>
      <vt:lpstr>RAW DATA</vt:lpstr>
      <vt:lpstr>vi_library</vt:lpstr>
      <vt:lpstr>substation_library</vt:lpstr>
      <vt:lpstr>equipment_library</vt:lpstr>
      <vt:lpstr>'PCE Testsheet'!Print_Area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2026-10-04T10:37:21Z</dcterms:modified>
</cp:coreProperties>
</file>