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defaultThemeVersion="124226"/>
  <xr:revisionPtr revIDLastSave="0" documentId="13_ncr:1_{DE643148-1173-409F-A279-4688195F3ECD}" xr6:coauthVersionLast="47" xr6:coauthVersionMax="47" xr10:uidLastSave="{00000000-0000-0000-0000-000000000000}"/>
  <bookViews>
    <workbookView xWindow="-120" yWindow="-120" windowWidth="29040" windowHeight="15720" tabRatio="737" xr2:uid="{00000000-000D-0000-FFFF-FFFF00000000}"/>
  </bookViews>
  <sheets>
    <sheet name="PCE Testsheet" sheetId="21" r:id="rId1"/>
    <sheet name="PCE VI" sheetId="20" r:id="rId2"/>
    <sheet name="RAW DATA" sheetId="28" r:id="rId3"/>
    <sheet name="vi_library" sheetId="24" state="hidden" r:id="rId4"/>
    <sheet name="substation_library" sheetId="25" state="hidden" r:id="rId5"/>
    <sheet name="equipment_library" sheetId="26" state="hidden" r:id="rId6"/>
  </sheets>
  <definedNames>
    <definedName name="_xlnm.Print_Area" localSheetId="0">'PCE Testsheet'!$A$1:$Y$71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3" i="21" l="1"/>
  <c r="R49" i="21"/>
  <c r="I50" i="21"/>
  <c r="I51" i="21"/>
  <c r="I52" i="21"/>
  <c r="I53" i="21"/>
  <c r="I54" i="21"/>
  <c r="I55" i="21"/>
  <c r="I56" i="21"/>
  <c r="I57" i="21"/>
  <c r="I58" i="21"/>
  <c r="I59" i="21"/>
  <c r="I60" i="21"/>
  <c r="I61" i="21"/>
  <c r="I62" i="21"/>
  <c r="I63" i="21"/>
  <c r="I64" i="21"/>
  <c r="I65" i="21"/>
  <c r="I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49" i="21"/>
  <c r="I33" i="21"/>
  <c r="H33" i="21"/>
  <c r="I34" i="21"/>
  <c r="I35" i="21"/>
  <c r="I36" i="21"/>
  <c r="I37" i="21"/>
  <c r="I38" i="21"/>
  <c r="I39" i="21"/>
  <c r="I40" i="21"/>
  <c r="I41" i="21"/>
  <c r="I42" i="21"/>
  <c r="H34" i="21"/>
  <c r="H35" i="21"/>
  <c r="H36" i="21"/>
  <c r="H37" i="21"/>
  <c r="H38" i="21"/>
  <c r="H39" i="21"/>
  <c r="H40" i="21"/>
  <c r="H41" i="21"/>
  <c r="H42" i="21"/>
  <c r="B38" i="21"/>
  <c r="T34" i="21"/>
  <c r="T35" i="21"/>
  <c r="T36" i="21"/>
  <c r="T37" i="21"/>
  <c r="T38" i="21"/>
  <c r="T39" i="21"/>
  <c r="T40" i="21"/>
  <c r="T41" i="21"/>
  <c r="T42" i="21"/>
  <c r="T33" i="21"/>
  <c r="S34" i="21"/>
  <c r="S35" i="21"/>
  <c r="S36" i="21"/>
  <c r="S37" i="21"/>
  <c r="S38" i="21"/>
  <c r="S39" i="21"/>
  <c r="S40" i="21"/>
  <c r="S41" i="21"/>
  <c r="S42" i="21"/>
  <c r="S33" i="21"/>
  <c r="U11" i="21"/>
  <c r="U12" i="21"/>
  <c r="U13" i="21"/>
  <c r="U14" i="21"/>
  <c r="U15" i="21"/>
  <c r="U16" i="21"/>
  <c r="U17" i="21"/>
  <c r="U18" i="21"/>
  <c r="U19" i="21"/>
  <c r="U20" i="21"/>
  <c r="U21" i="21"/>
  <c r="U22" i="21"/>
  <c r="U23" i="21"/>
  <c r="U24" i="21"/>
  <c r="U25" i="21"/>
  <c r="U10" i="21"/>
  <c r="C6" i="20"/>
  <c r="K6" i="20"/>
  <c r="N38" i="21"/>
  <c r="N33" i="21"/>
  <c r="B33" i="21"/>
  <c r="N11" i="21"/>
  <c r="N12" i="21"/>
  <c r="N13" i="21"/>
  <c r="N14" i="21"/>
  <c r="N15" i="21"/>
  <c r="N16" i="21"/>
  <c r="N17" i="21"/>
  <c r="N18" i="21"/>
  <c r="N19" i="21"/>
  <c r="N20" i="21"/>
  <c r="N21" i="21"/>
  <c r="N22" i="21"/>
  <c r="N23" i="21"/>
  <c r="N24" i="21"/>
  <c r="N25" i="21"/>
  <c r="N10" i="21"/>
  <c r="M11" i="21"/>
  <c r="M12" i="21"/>
  <c r="M13" i="21"/>
  <c r="M14" i="21"/>
  <c r="M15" i="21"/>
  <c r="M16" i="21"/>
  <c r="M17" i="21"/>
  <c r="M18" i="21"/>
  <c r="M19" i="21"/>
  <c r="M20" i="21"/>
  <c r="M21" i="21"/>
  <c r="M22" i="21"/>
  <c r="M23" i="21"/>
  <c r="M24" i="21"/>
  <c r="M25" i="21"/>
  <c r="M10" i="21"/>
  <c r="C5" i="20"/>
  <c r="I23" i="20"/>
  <c r="I45" i="20"/>
  <c r="I44" i="20"/>
  <c r="I43" i="20"/>
  <c r="I41" i="20"/>
  <c r="I40" i="20"/>
  <c r="I39" i="20"/>
  <c r="I38" i="20"/>
  <c r="I37" i="20"/>
  <c r="I36" i="20"/>
  <c r="I35" i="20"/>
  <c r="I34" i="20"/>
  <c r="I33" i="20"/>
  <c r="I32" i="20"/>
  <c r="I31" i="20"/>
  <c r="I30" i="20"/>
  <c r="I29" i="20"/>
  <c r="I28" i="20"/>
  <c r="I27" i="20"/>
  <c r="I26" i="20"/>
  <c r="I25" i="20"/>
  <c r="I24" i="20"/>
  <c r="O1" i="20"/>
  <c r="C6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tc={82553E5C-51BD-4126-8C45-02F3CBDD3B0E}</author>
    <author>Author</author>
  </authors>
  <commentList>
    <comment ref="P5" authorId="0" shapeId="0" xr:uid="{82553E5C-51BD-4126-8C45-02F3CBDD3B0E}">
      <text>
        <t>[Threaded comment]
Your version of Excel allows you to read this threaded comment; however, any edits to it will get removed if the file is opened in a newer version of Excel. Learn more: https://go.microsoft.com/fwlink/?linkid=870924
Comment:
    24hrs format e.g. 2100</t>
      </text>
    </comment>
    <comment ref="B49" authorId="1" shapeId="0" xr:uid="{00000000-0006-0000-04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Tambahan</t>
        </r>
      </text>
    </comment>
    <comment ref="B50" authorId="1" shapeId="0" xr:uid="{00000000-0006-0000-0400-000002000000}">
      <text>
        <r>
          <rPr>
            <b/>
            <sz val="9"/>
            <color indexed="81"/>
            <rFont val="Tahoma"/>
            <family val="2"/>
          </rPr>
          <t>Tambahan</t>
        </r>
      </text>
    </comment>
    <comment ref="B51" authorId="1" shapeId="0" xr:uid="{00000000-0006-0000-0400-000003000000}">
      <text>
        <r>
          <rPr>
            <b/>
            <sz val="9"/>
            <color indexed="81"/>
            <rFont val="Tahoma"/>
            <family val="2"/>
          </rPr>
          <t>Tambahan</t>
        </r>
      </text>
    </comment>
    <comment ref="B52" authorId="1" shapeId="0" xr:uid="{00000000-0006-0000-0400-000004000000}">
      <text>
        <r>
          <rPr>
            <b/>
            <sz val="9"/>
            <color indexed="81"/>
            <rFont val="Tahoma"/>
            <family val="2"/>
          </rPr>
          <t>Tambahan</t>
        </r>
      </text>
    </comment>
    <comment ref="B53" authorId="1" shapeId="0" xr:uid="{00000000-0006-0000-0400-000005000000}">
      <text>
        <r>
          <rPr>
            <b/>
            <sz val="9"/>
            <color indexed="81"/>
            <rFont val="Tahoma"/>
            <family val="2"/>
          </rPr>
          <t>Tambahan</t>
        </r>
      </text>
    </comment>
    <comment ref="B54" authorId="1" shapeId="0" xr:uid="{00000000-0006-0000-0400-000006000000}">
      <text>
        <r>
          <rPr>
            <b/>
            <sz val="9"/>
            <color indexed="81"/>
            <rFont val="Tahoma"/>
            <family val="2"/>
          </rPr>
          <t>Tambahan</t>
        </r>
      </text>
    </comment>
    <comment ref="B55" authorId="1" shapeId="0" xr:uid="{00000000-0006-0000-0400-000007000000}">
      <text>
        <r>
          <rPr>
            <b/>
            <sz val="9"/>
            <color indexed="81"/>
            <rFont val="Tahoma"/>
            <family val="2"/>
          </rPr>
          <t>Tambahan</t>
        </r>
      </text>
    </comment>
    <comment ref="B58" authorId="1" shapeId="0" xr:uid="{00000000-0006-0000-0400-000008000000}">
      <text>
        <r>
          <rPr>
            <b/>
            <sz val="9"/>
            <color indexed="81"/>
            <rFont val="Tahoma"/>
            <family val="2"/>
          </rPr>
          <t>Tambahan</t>
        </r>
      </text>
    </comment>
    <comment ref="B62" authorId="1" shapeId="0" xr:uid="{00000000-0006-0000-04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Tambahan</t>
        </r>
      </text>
    </comment>
    <comment ref="B63" authorId="1" shapeId="0" xr:uid="{00000000-0006-0000-0400-00000A000000}">
      <text>
        <r>
          <rPr>
            <b/>
            <sz val="9"/>
            <color indexed="81"/>
            <rFont val="Tahoma"/>
            <family val="2"/>
          </rPr>
          <t>Tambahan</t>
        </r>
      </text>
    </comment>
    <comment ref="B65" authorId="1" shapeId="0" xr:uid="{00000000-0006-0000-0400-00000B000000}">
      <text>
        <r>
          <rPr>
            <b/>
            <sz val="9"/>
            <color indexed="81"/>
            <rFont val="Tahoma"/>
            <family val="2"/>
          </rPr>
          <t>Tambahan</t>
        </r>
      </text>
    </comment>
  </commentList>
</comments>
</file>

<file path=xl/sharedStrings.xml><?xml version="1.0" encoding="utf-8"?>
<sst xmlns="http://schemas.openxmlformats.org/spreadsheetml/2006/main" count="449" uniqueCount="247">
  <si>
    <t>ULTRASOUND</t>
  </si>
  <si>
    <t>Remarks</t>
  </si>
  <si>
    <t>DETAILS</t>
  </si>
  <si>
    <t>LVDB / FP</t>
  </si>
  <si>
    <t>Date :</t>
  </si>
  <si>
    <t>TX4</t>
  </si>
  <si>
    <t>SWITCHGEAR</t>
  </si>
  <si>
    <t>TEV</t>
  </si>
  <si>
    <t>Avg (°C)</t>
  </si>
  <si>
    <t>PT</t>
  </si>
  <si>
    <t>LOCAL TRANSFORMER</t>
  </si>
  <si>
    <t>THERMOGRAHY</t>
  </si>
  <si>
    <t>TX ID</t>
  </si>
  <si>
    <t>LV DISTRIBUTION BOARD/FEEDER PILLAR/OTHERS</t>
  </si>
  <si>
    <t>Manufacturer :</t>
  </si>
  <si>
    <t>Serial No. :</t>
  </si>
  <si>
    <t>Rating :</t>
  </si>
  <si>
    <t>INC 1</t>
  </si>
  <si>
    <t>INC 2</t>
  </si>
  <si>
    <t>F1</t>
  </si>
  <si>
    <t>F2</t>
  </si>
  <si>
    <t>F3</t>
  </si>
  <si>
    <t>F4</t>
  </si>
  <si>
    <t>F5</t>
  </si>
  <si>
    <t>F6</t>
  </si>
  <si>
    <t>F7</t>
  </si>
  <si>
    <t>F8</t>
  </si>
  <si>
    <t>Battery Bank</t>
  </si>
  <si>
    <t>Manufacturer:</t>
  </si>
  <si>
    <t>Lightning Arrester</t>
  </si>
  <si>
    <t>Dropout Fuse</t>
  </si>
  <si>
    <t>Black Box 2</t>
  </si>
  <si>
    <t>YES</t>
  </si>
  <si>
    <t>NO</t>
  </si>
  <si>
    <t>N/A</t>
  </si>
  <si>
    <t>VISUAL INSPECTION CHECKLIST FOR 11kV SUBSTATION</t>
  </si>
  <si>
    <t>DATE:</t>
  </si>
  <si>
    <t>Good</t>
  </si>
  <si>
    <t>Not Good</t>
  </si>
  <si>
    <t>Valid</t>
  </si>
  <si>
    <t>Expired</t>
  </si>
  <si>
    <t>1. Signboard:</t>
  </si>
  <si>
    <t>2. Earth connection:</t>
  </si>
  <si>
    <t>3. EFI Functioning:</t>
  </si>
  <si>
    <t>4. Heater Functioning:</t>
  </si>
  <si>
    <t>5. Labelling @Switchgear:</t>
  </si>
  <si>
    <t>6. Labelling @ LVDB:</t>
  </si>
  <si>
    <t>7. Gas Pressure:</t>
  </si>
  <si>
    <t>8. Tx Guard:</t>
  </si>
  <si>
    <t>9. Tx Oil Level (conservator tank):</t>
  </si>
  <si>
    <t>10. Tx Oil Leak:</t>
  </si>
  <si>
    <t>11. Tx Bushing:</t>
  </si>
  <si>
    <t>BREAKER</t>
  </si>
  <si>
    <t>HV CABLE</t>
  </si>
  <si>
    <t>LV CABLE</t>
  </si>
  <si>
    <t>REMARKS</t>
  </si>
  <si>
    <t>OVERVIEW</t>
  </si>
  <si>
    <t>NO.</t>
  </si>
  <si>
    <t>LOAD (A)</t>
  </si>
  <si>
    <t>GPS Coordinate:</t>
  </si>
  <si>
    <t xml:space="preserve">PCE Type: </t>
  </si>
  <si>
    <t>INDOOR</t>
  </si>
  <si>
    <t>OUTDOOR</t>
  </si>
  <si>
    <t>COMPACT</t>
  </si>
  <si>
    <t>ATTACH BUILDING</t>
  </si>
  <si>
    <t>PAT</t>
  </si>
  <si>
    <t>PCE Area</t>
  </si>
  <si>
    <t>NORMAL</t>
  </si>
  <si>
    <t>INDUSTRIAL</t>
  </si>
  <si>
    <t>COASTAL</t>
  </si>
  <si>
    <t>Switcgear Type 1:</t>
  </si>
  <si>
    <t>RMU OIL</t>
  </si>
  <si>
    <t>RMU SF6</t>
  </si>
  <si>
    <t>MRMU</t>
  </si>
  <si>
    <t>VCB</t>
  </si>
  <si>
    <t>OCB</t>
  </si>
  <si>
    <t>Manufacturer/Model:</t>
  </si>
  <si>
    <t>Switchgear Manufactured Date:</t>
  </si>
  <si>
    <t>Switchgear Rating :</t>
  </si>
  <si>
    <t>RMU SF6 / OIL S/N :</t>
  </si>
  <si>
    <t>Switcgear Type 2:</t>
  </si>
  <si>
    <t>Manufacturer/Modal:</t>
  </si>
  <si>
    <t>No. of Transformer:</t>
  </si>
  <si>
    <t>Tx 1:</t>
  </si>
  <si>
    <t xml:space="preserve">Type </t>
  </si>
  <si>
    <t>KVA</t>
  </si>
  <si>
    <t>Construction Yr:</t>
  </si>
  <si>
    <t>S/N :</t>
  </si>
  <si>
    <t>Tx 2:</t>
  </si>
  <si>
    <t>Tx 3:</t>
  </si>
  <si>
    <t>Tx 4:</t>
  </si>
  <si>
    <t>KEJANGGALAN</t>
  </si>
  <si>
    <t>12. Top Demand Indicator (@LVDB):</t>
  </si>
  <si>
    <t>13. Link/fuse Holder:</t>
  </si>
  <si>
    <t>14. LV Termination:</t>
  </si>
  <si>
    <t>15. Rubber Mat:</t>
  </si>
  <si>
    <t>16. Trenching:</t>
  </si>
  <si>
    <t>17. Battery Voltage:</t>
  </si>
  <si>
    <t>18. Lighting:</t>
  </si>
  <si>
    <t>19. Roof Condition:</t>
  </si>
  <si>
    <t>20. Fire Fighting</t>
  </si>
  <si>
    <t>21. Fence/door condition:</t>
  </si>
  <si>
    <t>22. Cleanliness/Bushes:</t>
  </si>
  <si>
    <t>23. Vandalisme</t>
  </si>
  <si>
    <t>DISTRIBUTION SUBSTATION (PCE) CBA TEST SHEET</t>
  </si>
  <si>
    <t>STATE / AREA:</t>
  </si>
  <si>
    <t xml:space="preserve">DATE </t>
  </si>
  <si>
    <t>FUNCTIONAL LOCATION:</t>
  </si>
  <si>
    <t>PE NAME:</t>
  </si>
  <si>
    <t>TIME IN / OUT</t>
  </si>
  <si>
    <t>/</t>
  </si>
  <si>
    <t>V.I REF. NO</t>
  </si>
  <si>
    <t>TEV BACK GROUND / HUMIDITY</t>
  </si>
  <si>
    <t>DETAIL</t>
  </si>
  <si>
    <t>TEMPERATURE</t>
  </si>
  <si>
    <t>REMARK</t>
  </si>
  <si>
    <t>FDR. NO</t>
  </si>
  <si>
    <t xml:space="preserve">                   FEEDER NAME                                            </t>
  </si>
  <si>
    <t>STATUS (TRIP / CLOSE)</t>
  </si>
  <si>
    <t>CABLE TYPE/SIZE</t>
  </si>
  <si>
    <t>HEATER (A)</t>
  </si>
  <si>
    <t>SERIAL NO (ONLY BREAKER &amp; OLU)</t>
  </si>
  <si>
    <t>COMP</t>
  </si>
  <si>
    <t>Tmin(°C)</t>
  </si>
  <si>
    <t>Tmax(°C)</t>
  </si>
  <si>
    <t>ΔT</t>
  </si>
  <si>
    <t>FILE</t>
  </si>
  <si>
    <t>dB</t>
  </si>
  <si>
    <t>TYPE CHAR.</t>
  </si>
  <si>
    <t>PULSE/ CYCLE</t>
  </si>
  <si>
    <t>CABLE</t>
  </si>
  <si>
    <t>SERIAL NO</t>
  </si>
  <si>
    <t>COMP.</t>
  </si>
  <si>
    <t>TX1</t>
  </si>
  <si>
    <t>HT CABLE</t>
  </si>
  <si>
    <t>TX3</t>
  </si>
  <si>
    <t>HT BUSHING</t>
  </si>
  <si>
    <t>LV BUSHING</t>
  </si>
  <si>
    <t>BODY</t>
  </si>
  <si>
    <t>TX2</t>
  </si>
  <si>
    <t>LVDB / FP 1</t>
  </si>
  <si>
    <t>CABLE TYPE / SIZE</t>
  </si>
  <si>
    <t>LVDB / FP 2</t>
  </si>
  <si>
    <t xml:space="preserve">      DEFECTIVE FEEDER NAME                                            </t>
  </si>
  <si>
    <t>Black Box 1</t>
  </si>
  <si>
    <t>24. Other Findings:</t>
  </si>
  <si>
    <t>OTHER</t>
  </si>
  <si>
    <t>TOP PANEL</t>
  </si>
  <si>
    <t>Ver. : 1-2019</t>
  </si>
  <si>
    <t>Auto Recloser</t>
  </si>
  <si>
    <t>LBS</t>
  </si>
  <si>
    <t>TNB Supervisor/Engineer (Name &amp; Signature) :</t>
  </si>
  <si>
    <t>Tested by (Name &amp; Signature) :</t>
  </si>
  <si>
    <t>TNB Supervisor / Engineer (Name &amp; Signature) :</t>
  </si>
  <si>
    <t>Tmin
(°C)</t>
  </si>
  <si>
    <t>Tmax
(°C)</t>
  </si>
  <si>
    <t xml:space="preserve">INC. 1 </t>
  </si>
  <si>
    <t xml:space="preserve">INC. 2 </t>
  </si>
  <si>
    <t>INC. 3</t>
  </si>
  <si>
    <t>F9</t>
  </si>
  <si>
    <t>F10</t>
  </si>
  <si>
    <t>JOHOR / JOHOR BAHRU</t>
  </si>
  <si>
    <t>AREA</t>
  </si>
  <si>
    <t>STATE</t>
  </si>
  <si>
    <t>JOHOR</t>
  </si>
  <si>
    <t>ATTACHED BUILDING</t>
  </si>
  <si>
    <t>INDOOR/COMPACT</t>
  </si>
  <si>
    <t>OUTDOOR/COMPACT</t>
  </si>
  <si>
    <t>MRMU SF6</t>
  </si>
  <si>
    <t>GIS</t>
  </si>
  <si>
    <t>ACB</t>
  </si>
  <si>
    <t>6.6kV</t>
  </si>
  <si>
    <t>CLOSE</t>
  </si>
  <si>
    <t>TRIP</t>
  </si>
  <si>
    <t>RACK OUT</t>
  </si>
  <si>
    <t>MAIN</t>
  </si>
  <si>
    <t>RESERVE</t>
  </si>
  <si>
    <t>XLPE</t>
  </si>
  <si>
    <t>PILC</t>
  </si>
  <si>
    <t>TX_AREA</t>
  </si>
  <si>
    <t>H/S</t>
  </si>
  <si>
    <t>C/T</t>
  </si>
  <si>
    <t>100kVA</t>
  </si>
  <si>
    <t>300kVA</t>
  </si>
  <si>
    <t>500kVA</t>
  </si>
  <si>
    <t>750kVA</t>
  </si>
  <si>
    <t>1000kVA</t>
  </si>
  <si>
    <t>OVERVIEW TOP</t>
  </si>
  <si>
    <t>HV BUSHING</t>
  </si>
  <si>
    <t>HV CABLE SPLIT</t>
  </si>
  <si>
    <t>LV_MODEL</t>
  </si>
  <si>
    <t>DIN TYPE</t>
  </si>
  <si>
    <t>J-SLOTTED</t>
  </si>
  <si>
    <t>LV_RATING</t>
  </si>
  <si>
    <t>1600A</t>
  </si>
  <si>
    <t>1000A</t>
  </si>
  <si>
    <t>800A</t>
  </si>
  <si>
    <t>400A</t>
  </si>
  <si>
    <t>SEB100-30-10</t>
  </si>
  <si>
    <t>JOHOR BAHRU</t>
  </si>
  <si>
    <t>SWITCHGEAR_TYPE</t>
  </si>
  <si>
    <t>SUBSTATION_TYPE</t>
  </si>
  <si>
    <t>12kV</t>
  </si>
  <si>
    <t>24kV</t>
  </si>
  <si>
    <t>36kV</t>
  </si>
  <si>
    <t>CB_POSITION_RMU</t>
  </si>
  <si>
    <t>SERVICE/CLOSE</t>
  </si>
  <si>
    <t>SERVICE/TRIP</t>
  </si>
  <si>
    <t>TEST/TRIP</t>
  </si>
  <si>
    <t>CB_POSITION_VCB</t>
  </si>
  <si>
    <t>MAIN/RESERVE</t>
  </si>
  <si>
    <t>CABLE_TYPE</t>
  </si>
  <si>
    <t>NOT ACCESSIBLE</t>
  </si>
  <si>
    <t>BUSBAR_POSITION</t>
  </si>
  <si>
    <t>SWG_MANUFACTURER</t>
  </si>
  <si>
    <t>SWG_MODEL</t>
  </si>
  <si>
    <t>SWG_RATING</t>
  </si>
  <si>
    <t>TX_MANUFACTURER</t>
  </si>
  <si>
    <t>TX_MODEL</t>
  </si>
  <si>
    <t>TX_RATING</t>
  </si>
  <si>
    <t>LV_MANUFACTURER</t>
  </si>
  <si>
    <t>BATT_MANUFACTURER</t>
  </si>
  <si>
    <t>BATT_MODEL</t>
  </si>
  <si>
    <t>BERKAT INSAF</t>
  </si>
  <si>
    <t>SUNPOWER</t>
  </si>
  <si>
    <t>CBM CONDITION</t>
  </si>
  <si>
    <t>JJBU/PCE/J</t>
  </si>
  <si>
    <t>CHECKMARK</t>
  </si>
  <si>
    <t>✅</t>
  </si>
  <si>
    <t>Expiry Date:</t>
  </si>
  <si>
    <t xml:space="preserve">                                        </t>
  </si>
  <si>
    <t>No. of missing portable :</t>
  </si>
  <si>
    <t>-</t>
  </si>
  <si>
    <t>%</t>
  </si>
  <si>
    <t>LVDB</t>
  </si>
  <si>
    <r>
      <t xml:space="preserve">BACKGROUND TEMP : </t>
    </r>
    <r>
      <rPr>
        <sz val="10"/>
        <color theme="1"/>
        <rFont val="Tahoma"/>
        <family val="2"/>
      </rPr>
      <t>°C</t>
    </r>
  </si>
  <si>
    <t>P/E Name (ERMS):</t>
  </si>
  <si>
    <t>P/E Name (SITE):</t>
  </si>
  <si>
    <t>F/L NO (ERMS):</t>
  </si>
  <si>
    <t>F/L NO (SITE):</t>
  </si>
  <si>
    <t>IR</t>
  </si>
  <si>
    <t>DG</t>
  </si>
  <si>
    <t>START</t>
  </si>
  <si>
    <t>END</t>
  </si>
  <si>
    <t>TYPE</t>
  </si>
  <si>
    <t>{{signvendor}}</t>
  </si>
  <si>
    <t>{{signtnb}}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</si>
</sst>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m/yyyy"/>
  </numFmts>
  <fonts count="18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"/>
      <name val="Arial"/>
      <family val="2"/>
    </font>
    <font>
      <b/>
      <sz val="9"/>
      <color theme="1"/>
      <name val="Tahoma"/>
      <family val="2"/>
    </font>
    <font>
      <sz val="8"/>
      <color theme="1"/>
      <name val="Tahoma"/>
      <family val="2"/>
    </font>
    <font>
      <sz val="11"/>
      <color theme="1"/>
      <name val="Tahoma"/>
      <family val="2"/>
    </font>
    <font>
      <b/>
      <sz val="8"/>
      <color theme="1"/>
      <name val="Tahoma"/>
      <family val="2"/>
    </font>
    <font>
      <b/>
      <sz val="11"/>
      <color theme="1"/>
      <name val="Tahoma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u/>
      <sz val="11"/>
      <color theme="1"/>
      <name val="Calibri"/>
      <family val="2"/>
      <scheme val="minor"/>
    </font>
    <font>
      <sz val="9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 applyFill="0" applyProtection="0"/>
    <xf numFmtId="0" fontId="3" fillId="0" borderId="0" applyFill="0" applyProtection="0"/>
  </cellStyleXfs>
  <cellXfs count="179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5" fillId="0" borderId="9" xfId="0" applyFont="1" applyBorder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center"/>
    </xf>
    <xf numFmtId="49" fontId="11" fillId="0" borderId="0" xfId="0" applyNumberFormat="1" applyFont="1"/>
    <xf numFmtId="0" fontId="11" fillId="0" borderId="0" xfId="0" applyFont="1" applyAlignment="1">
      <alignment horizontal="right"/>
    </xf>
    <xf numFmtId="0" fontId="11" fillId="0" borderId="0" xfId="0" applyFont="1" applyProtection="1">
      <protection locked="0"/>
    </xf>
    <xf numFmtId="0" fontId="11" fillId="0" borderId="9" xfId="0" applyFont="1" applyBorder="1" applyProtection="1">
      <protection locked="0"/>
    </xf>
    <xf numFmtId="0" fontId="11" fillId="0" borderId="3" xfId="0" applyFont="1" applyBorder="1" applyAlignment="1">
      <alignment horizontal="right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10" xfId="0" applyFont="1" applyBorder="1"/>
    <xf numFmtId="0" fontId="11" fillId="2" borderId="0" xfId="0" applyFont="1" applyFill="1"/>
    <xf numFmtId="0" fontId="11" fillId="0" borderId="6" xfId="0" applyFont="1" applyBorder="1"/>
    <xf numFmtId="0" fontId="11" fillId="0" borderId="7" xfId="0" applyFont="1" applyBorder="1"/>
    <xf numFmtId="0" fontId="11" fillId="0" borderId="0" xfId="0" applyFont="1" applyAlignment="1">
      <alignment wrapText="1"/>
    </xf>
    <xf numFmtId="0" fontId="11" fillId="2" borderId="0" xfId="0" applyFont="1" applyFill="1" applyAlignment="1">
      <alignment wrapText="1"/>
    </xf>
    <xf numFmtId="0" fontId="11" fillId="0" borderId="0" xfId="0" applyFont="1" applyAlignment="1">
      <alignment horizontal="left"/>
    </xf>
    <xf numFmtId="0" fontId="0" fillId="0" borderId="0" xfId="0" applyAlignment="1">
      <alignment horizontal="right"/>
    </xf>
    <xf numFmtId="49" fontId="11" fillId="0" borderId="0" xfId="0" applyNumberFormat="1" applyFont="1" applyAlignment="1">
      <alignment horizontal="right"/>
    </xf>
    <xf numFmtId="49" fontId="11" fillId="0" borderId="0" xfId="0" applyNumberFormat="1" applyFont="1" applyProtection="1">
      <protection locked="0"/>
    </xf>
    <xf numFmtId="0" fontId="13" fillId="0" borderId="0" xfId="0" applyFont="1"/>
    <xf numFmtId="49" fontId="0" fillId="0" borderId="0" xfId="0" applyNumberFormat="1"/>
    <xf numFmtId="0" fontId="0" fillId="0" borderId="0" xfId="0" applyProtection="1">
      <protection locked="0"/>
    </xf>
    <xf numFmtId="0" fontId="12" fillId="0" borderId="0" xfId="0" applyFont="1"/>
    <xf numFmtId="0" fontId="10" fillId="0" borderId="0" xfId="0" applyFont="1"/>
    <xf numFmtId="0" fontId="4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9" fillId="0" borderId="0" xfId="0" applyFont="1"/>
    <xf numFmtId="0" fontId="16" fillId="0" borderId="0" xfId="0" applyFont="1"/>
    <xf numFmtId="0" fontId="4" fillId="0" borderId="1" xfId="0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vertical="center"/>
    </xf>
    <xf numFmtId="0" fontId="15" fillId="2" borderId="2" xfId="0" applyFont="1" applyFill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14" fillId="0" borderId="2" xfId="0" applyFont="1" applyBorder="1" applyAlignment="1">
      <alignment vertical="center"/>
    </xf>
    <xf numFmtId="0" fontId="14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right" vertical="center"/>
    </xf>
    <xf numFmtId="0" fontId="15" fillId="0" borderId="4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164" fontId="15" fillId="0" borderId="1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11" fillId="0" borderId="11" xfId="0" applyNumberFormat="1" applyFont="1" applyBorder="1" applyAlignment="1" applyProtection="1">
      <alignment horizontal="center"/>
      <protection locked="0"/>
    </xf>
    <xf numFmtId="164" fontId="15" fillId="0" borderId="4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right" vertical="center"/>
    </xf>
    <xf numFmtId="0" fontId="14" fillId="0" borderId="4" xfId="0" applyFont="1" applyBorder="1" applyAlignment="1">
      <alignment horizontal="right" vertical="center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15" fillId="0" borderId="3" xfId="0" applyFont="1" applyBorder="1" applyAlignment="1">
      <alignment horizontal="center" vertical="center"/>
    </xf>
    <xf numFmtId="0" fontId="14" fillId="0" borderId="1" xfId="0" applyFont="1" applyBorder="1" applyAlignment="1">
      <alignment horizontal="right" vertical="center"/>
    </xf>
    <xf numFmtId="0" fontId="15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3" xfId="0" applyFont="1" applyBorder="1" applyAlignment="1">
      <alignment horizontal="right" vertical="center"/>
    </xf>
    <xf numFmtId="0" fontId="14" fillId="0" borderId="3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4" fillId="0" borderId="8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5" fillId="0" borderId="12" xfId="0" applyFont="1" applyBorder="1" applyAlignment="1">
      <alignment horizontal="left" vertical="center" wrapText="1" indent="1"/>
    </xf>
    <xf numFmtId="0" fontId="15" fillId="0" borderId="13" xfId="0" applyFont="1" applyBorder="1" applyAlignment="1">
      <alignment horizontal="left" vertical="center" wrapText="1" indent="1"/>
    </xf>
    <xf numFmtId="0" fontId="15" fillId="0" borderId="5" xfId="0" applyFont="1" applyBorder="1" applyAlignment="1">
      <alignment horizontal="left" vertical="center" wrapText="1" indent="1"/>
    </xf>
    <xf numFmtId="0" fontId="15" fillId="0" borderId="14" xfId="0" applyFont="1" applyBorder="1" applyAlignment="1">
      <alignment horizontal="left" vertical="center" wrapText="1" indent="1"/>
    </xf>
    <xf numFmtId="0" fontId="15" fillId="0" borderId="8" xfId="0" applyFont="1" applyBorder="1" applyAlignment="1">
      <alignment horizontal="left" vertical="center" wrapText="1" indent="1"/>
    </xf>
    <xf numFmtId="0" fontId="15" fillId="0" borderId="15" xfId="0" applyFont="1" applyBorder="1" applyAlignment="1">
      <alignment horizontal="left" vertical="center" wrapText="1" indent="1"/>
    </xf>
    <xf numFmtId="0" fontId="17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2" xfId="0" applyFont="1" applyBorder="1" applyAlignment="1">
      <alignment horizontal="right" vertical="center"/>
    </xf>
    <xf numFmtId="0" fontId="15" fillId="0" borderId="3" xfId="0" applyFont="1" applyBorder="1" applyAlignment="1">
      <alignment horizontal="right" vertical="center"/>
    </xf>
    <xf numFmtId="0" fontId="14" fillId="0" borderId="10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 indent="1"/>
    </xf>
    <xf numFmtId="165" fontId="15" fillId="0" borderId="8" xfId="0" applyNumberFormat="1" applyFont="1" applyBorder="1" applyAlignment="1">
      <alignment horizontal="center" vertical="center"/>
    </xf>
    <xf numFmtId="165" fontId="15" fillId="0" borderId="9" xfId="0" applyNumberFormat="1" applyFont="1" applyBorder="1" applyAlignment="1">
      <alignment horizontal="center" vertical="center"/>
    </xf>
    <xf numFmtId="165" fontId="15" fillId="0" borderId="15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 inden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 indent="1"/>
    </xf>
    <xf numFmtId="0" fontId="15" fillId="0" borderId="16" xfId="0" applyFont="1" applyBorder="1" applyAlignment="1">
      <alignment horizontal="left" vertical="center" indent="1"/>
    </xf>
    <xf numFmtId="0" fontId="15" fillId="0" borderId="13" xfId="0" applyFont="1" applyBorder="1" applyAlignment="1">
      <alignment horizontal="left" vertical="center" indent="1"/>
    </xf>
    <xf numFmtId="0" fontId="11" fillId="0" borderId="1" xfId="0" applyFont="1" applyBorder="1" applyAlignment="1">
      <alignment horizontal="left"/>
    </xf>
    <xf numFmtId="49" fontId="11" fillId="0" borderId="11" xfId="0" applyNumberFormat="1" applyFont="1" applyBorder="1" applyAlignment="1" applyProtection="1">
      <alignment horizontal="center"/>
      <protection locked="0"/>
    </xf>
    <xf numFmtId="0" fontId="11" fillId="0" borderId="10" xfId="0" applyFont="1" applyBorder="1" applyAlignment="1">
      <alignment horizontal="left"/>
    </xf>
    <xf numFmtId="0" fontId="11" fillId="0" borderId="3" xfId="0" applyFont="1" applyBorder="1" applyAlignment="1">
      <alignment horizontal="center"/>
    </xf>
    <xf numFmtId="0" fontId="11" fillId="0" borderId="5" xfId="0" applyFont="1" applyBorder="1" applyAlignment="1">
      <alignment horizontal="right"/>
    </xf>
    <xf numFmtId="0" fontId="11" fillId="0" borderId="14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165" fontId="11" fillId="0" borderId="6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indent="1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 indent="1"/>
    </xf>
    <xf numFmtId="0" fontId="11" fillId="0" borderId="3" xfId="0" applyFont="1" applyBorder="1" applyAlignment="1">
      <alignment horizontal="left" vertical="center" indent="1"/>
    </xf>
    <xf numFmtId="0" fontId="11" fillId="0" borderId="4" xfId="0" applyFont="1" applyBorder="1" applyAlignment="1">
      <alignment horizontal="left" vertical="center" indent="1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2"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360093</xdr:colOff>
      <xdr:row>2</xdr:row>
      <xdr:rowOff>127775</xdr:rowOff>
    </xdr:from>
    <xdr:to>
      <xdr:col>14</xdr:col>
      <xdr:colOff>17193</xdr:colOff>
      <xdr:row>4</xdr:row>
      <xdr:rowOff>128937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8843" y="313629"/>
          <a:ext cx="1585332" cy="4657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5" dT="2026-07-12T06:13:40.07" personId="{00000000-0000-0000-0000-000000000000}" id="{82553E5C-51BD-4126-8C45-02F3CBDD3B0E}">
    <text>24hrs format e.g. 2100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AB71"/>
  <sheetViews>
    <sheetView tabSelected="1" topLeftCell="M27" zoomScale="76" zoomScaleNormal="70" workbookViewId="0">
      <selection activeCell="V52" sqref="V52:Y52"/>
    </sheetView>
  </sheetViews>
  <sheetFormatPr defaultColWidth="9.140625" defaultRowHeight="14.25" x14ac:dyDescent="0.2"/>
  <cols>
    <col min="1" max="1" width="8" style="1" customWidth="1"/>
    <col min="2" max="2" width="13.85546875" style="1" customWidth="1"/>
    <col min="3" max="3" width="12.28515625" style="1" customWidth="1"/>
    <col min="4" max="4" width="22.7109375" style="1" customWidth="1"/>
    <col min="5" max="5" width="12.85546875" style="1" customWidth="1"/>
    <col min="6" max="6" width="11" style="1" customWidth="1"/>
    <col min="7" max="7" width="13.42578125" style="1" customWidth="1"/>
    <col min="8" max="8" width="10.140625" style="1" customWidth="1"/>
    <col min="9" max="9" width="16.7109375" style="1" customWidth="1"/>
    <col min="10" max="10" width="12" style="1" customWidth="1"/>
    <col min="11" max="11" width="9.5703125" style="1" customWidth="1"/>
    <col min="12" max="12" width="10" style="1" bestFit="1" customWidth="1"/>
    <col min="13" max="13" width="10" style="1" customWidth="1"/>
    <col min="14" max="14" width="12.140625" style="1" customWidth="1"/>
    <col min="15" max="15" width="11.7109375" style="1" customWidth="1"/>
    <col min="16" max="16" width="15.85546875" style="1" customWidth="1"/>
    <col min="17" max="17" width="9.5703125" style="1" bestFit="1" customWidth="1"/>
    <col min="18" max="18" width="9.7109375" style="1" customWidth="1"/>
    <col min="19" max="19" width="8.7109375" style="1" customWidth="1"/>
    <col min="20" max="20" width="8.85546875" style="1" customWidth="1"/>
    <col min="21" max="21" width="8.7109375" style="1" customWidth="1"/>
    <col min="22" max="22" width="9.28515625" style="1" customWidth="1"/>
    <col min="23" max="23" width="6.85546875" style="1" customWidth="1"/>
    <col min="24" max="24" width="7.7109375" style="1" customWidth="1"/>
    <col min="25" max="25" width="21.42578125" style="1" customWidth="1"/>
    <col min="26" max="26" width="9.140625" style="1"/>
    <col min="27" max="28" width="9.140625" style="2"/>
    <col min="29" max="16384" width="9.140625" style="3"/>
  </cols>
  <sheetData>
    <row r="1" spans="1:28" x14ac:dyDescent="0.2">
      <c r="Y1" s="41"/>
    </row>
    <row r="2" spans="1:28" x14ac:dyDescent="0.2">
      <c r="W2" s="1" t="s">
        <v>225</v>
      </c>
      <c r="Y2" s="68" t="s">
        <v>67</v>
      </c>
    </row>
    <row r="3" spans="1:28" ht="18" customHeight="1" x14ac:dyDescent="0.2">
      <c r="A3" s="104" t="s">
        <v>104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</row>
    <row r="4" spans="1:28" ht="19.5" customHeight="1" x14ac:dyDescent="0.2">
      <c r="A4" s="146" t="s">
        <v>105</v>
      </c>
      <c r="B4" s="146"/>
      <c r="C4" s="147" t="s">
        <v>161</v>
      </c>
      <c r="D4" s="147"/>
      <c r="E4" s="147"/>
      <c r="F4" s="147"/>
      <c r="G4" s="147"/>
      <c r="H4" s="147"/>
      <c r="I4" s="147"/>
      <c r="J4" s="82" t="s">
        <v>106</v>
      </c>
      <c r="K4" s="98"/>
      <c r="L4" s="98"/>
      <c r="M4" s="98"/>
      <c r="N4" s="98"/>
      <c r="O4" s="83"/>
      <c r="P4" s="148"/>
      <c r="Q4" s="149"/>
      <c r="R4" s="149"/>
      <c r="S4" s="149"/>
      <c r="T4" s="149"/>
      <c r="U4" s="149"/>
      <c r="V4" s="150"/>
      <c r="W4" s="100" t="s">
        <v>107</v>
      </c>
      <c r="X4" s="99"/>
      <c r="Y4" s="101"/>
    </row>
    <row r="5" spans="1:28" ht="21.75" customHeight="1" x14ac:dyDescent="0.2">
      <c r="A5" s="151" t="s">
        <v>108</v>
      </c>
      <c r="B5" s="151"/>
      <c r="C5" s="152"/>
      <c r="D5" s="152"/>
      <c r="E5" s="152"/>
      <c r="F5" s="152"/>
      <c r="G5" s="152"/>
      <c r="H5" s="152"/>
      <c r="I5" s="152"/>
      <c r="J5" s="82" t="s">
        <v>109</v>
      </c>
      <c r="K5" s="98"/>
      <c r="L5" s="98"/>
      <c r="M5" s="98"/>
      <c r="N5" s="98"/>
      <c r="O5" s="83"/>
      <c r="P5" s="96"/>
      <c r="Q5" s="96"/>
      <c r="R5" s="41" t="s">
        <v>110</v>
      </c>
      <c r="S5" s="84"/>
      <c r="T5" s="94"/>
      <c r="U5" s="94"/>
      <c r="V5" s="85"/>
      <c r="W5" s="96" t="s">
        <v>226</v>
      </c>
      <c r="X5" s="96"/>
      <c r="Y5" s="96"/>
    </row>
    <row r="6" spans="1:28" ht="18" customHeight="1" x14ac:dyDescent="0.2">
      <c r="A6" s="156" t="s">
        <v>111</v>
      </c>
      <c r="B6" s="156"/>
      <c r="C6" s="157">
        <f>Y1</f>
        <v>0</v>
      </c>
      <c r="D6" s="158"/>
      <c r="E6" s="158"/>
      <c r="F6" s="158"/>
      <c r="G6" s="158"/>
      <c r="H6" s="158"/>
      <c r="I6" s="159"/>
      <c r="J6" s="82" t="s">
        <v>112</v>
      </c>
      <c r="K6" s="98"/>
      <c r="L6" s="98"/>
      <c r="M6" s="98"/>
      <c r="N6" s="98"/>
      <c r="O6" s="83"/>
      <c r="P6" s="70"/>
      <c r="Q6" s="71" t="s">
        <v>127</v>
      </c>
      <c r="R6" s="45" t="s">
        <v>110</v>
      </c>
      <c r="S6" s="144"/>
      <c r="T6" s="145"/>
      <c r="U6" s="91" t="s">
        <v>233</v>
      </c>
      <c r="V6" s="92"/>
      <c r="W6" s="100" t="s">
        <v>235</v>
      </c>
      <c r="X6" s="99"/>
      <c r="Y6" s="101"/>
    </row>
    <row r="7" spans="1:28" ht="15" customHeight="1" x14ac:dyDescent="0.2">
      <c r="A7" s="104" t="s">
        <v>6</v>
      </c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</row>
    <row r="8" spans="1:28" ht="17.25" customHeight="1" x14ac:dyDescent="0.2">
      <c r="A8" s="86" t="s">
        <v>113</v>
      </c>
      <c r="B8" s="89"/>
      <c r="C8" s="89"/>
      <c r="D8" s="89"/>
      <c r="E8" s="89"/>
      <c r="F8" s="89"/>
      <c r="G8" s="89"/>
      <c r="H8" s="89"/>
      <c r="I8" s="89"/>
      <c r="J8" s="153" t="s">
        <v>114</v>
      </c>
      <c r="K8" s="154"/>
      <c r="L8" s="154"/>
      <c r="M8" s="154"/>
      <c r="N8" s="154"/>
      <c r="O8" s="154"/>
      <c r="P8" s="155"/>
      <c r="Q8" s="86" t="s">
        <v>0</v>
      </c>
      <c r="R8" s="89"/>
      <c r="S8" s="85"/>
      <c r="T8" s="86" t="s">
        <v>7</v>
      </c>
      <c r="U8" s="89"/>
      <c r="V8" s="87"/>
      <c r="W8" s="97" t="s">
        <v>115</v>
      </c>
      <c r="X8" s="97"/>
      <c r="Y8" s="97"/>
    </row>
    <row r="9" spans="1:28" s="33" customFormat="1" ht="48.75" customHeight="1" x14ac:dyDescent="0.2">
      <c r="A9" s="49" t="s">
        <v>57</v>
      </c>
      <c r="B9" s="49" t="s">
        <v>116</v>
      </c>
      <c r="C9" s="86" t="s">
        <v>117</v>
      </c>
      <c r="D9" s="87"/>
      <c r="E9" s="50" t="s">
        <v>118</v>
      </c>
      <c r="F9" s="50" t="s">
        <v>58</v>
      </c>
      <c r="G9" s="50" t="s">
        <v>119</v>
      </c>
      <c r="H9" s="63" t="s">
        <v>120</v>
      </c>
      <c r="I9" s="47" t="s">
        <v>121</v>
      </c>
      <c r="J9" s="48" t="s">
        <v>122</v>
      </c>
      <c r="K9" s="46" t="s">
        <v>154</v>
      </c>
      <c r="L9" s="46" t="s">
        <v>155</v>
      </c>
      <c r="M9" s="50" t="s">
        <v>125</v>
      </c>
      <c r="N9" s="47" t="s">
        <v>8</v>
      </c>
      <c r="O9" s="50" t="s">
        <v>126</v>
      </c>
      <c r="P9" s="47" t="s">
        <v>55</v>
      </c>
      <c r="Q9" s="50" t="s">
        <v>127</v>
      </c>
      <c r="R9" s="50" t="s">
        <v>126</v>
      </c>
      <c r="S9" s="50" t="s">
        <v>128</v>
      </c>
      <c r="T9" s="49" t="s">
        <v>127</v>
      </c>
      <c r="U9" s="72" t="s">
        <v>129</v>
      </c>
      <c r="V9" s="50" t="s">
        <v>128</v>
      </c>
      <c r="W9" s="97"/>
      <c r="X9" s="97"/>
      <c r="Y9" s="97"/>
      <c r="Z9" s="31"/>
      <c r="AA9" s="32"/>
      <c r="AB9" s="32"/>
    </row>
    <row r="10" spans="1:28" ht="18" customHeight="1" x14ac:dyDescent="0.2">
      <c r="A10" s="110">
        <v>1</v>
      </c>
      <c r="B10" s="107"/>
      <c r="C10" s="132"/>
      <c r="D10" s="133"/>
      <c r="E10" s="138"/>
      <c r="F10" s="107"/>
      <c r="G10" s="107"/>
      <c r="H10" s="107"/>
      <c r="I10" s="107"/>
      <c r="J10" s="43" t="s">
        <v>130</v>
      </c>
      <c r="K10" s="73"/>
      <c r="L10" s="73"/>
      <c r="M10" s="73" t="str">
        <f>IF(L10="","",L10-K10)</f>
        <v/>
      </c>
      <c r="N10" s="73" t="str">
        <f>IF(L10="","",((L10+K10)/2))</f>
        <v/>
      </c>
      <c r="O10" s="41"/>
      <c r="P10" s="41"/>
      <c r="Q10" s="41"/>
      <c r="R10" s="41"/>
      <c r="S10" s="41"/>
      <c r="T10" s="41"/>
      <c r="U10" s="41" t="str">
        <f>IF(T10&lt;&gt;"", 0, "")</f>
        <v/>
      </c>
      <c r="V10" s="41"/>
      <c r="W10" s="129"/>
      <c r="X10" s="129"/>
      <c r="Y10" s="129"/>
    </row>
    <row r="11" spans="1:28" ht="18" customHeight="1" x14ac:dyDescent="0.2">
      <c r="A11" s="131"/>
      <c r="B11" s="108"/>
      <c r="C11" s="134"/>
      <c r="D11" s="135"/>
      <c r="E11" s="139"/>
      <c r="F11" s="108"/>
      <c r="G11" s="108"/>
      <c r="H11" s="108"/>
      <c r="I11" s="108"/>
      <c r="J11" s="43" t="s">
        <v>52</v>
      </c>
      <c r="K11" s="73"/>
      <c r="L11" s="73"/>
      <c r="M11" s="73" t="str">
        <f t="shared" ref="M11:M25" si="0">IF(L11="","",L11-K11)</f>
        <v/>
      </c>
      <c r="N11" s="73" t="str">
        <f t="shared" ref="N11:N25" si="1">IF(L11="","",((L11+K11)/2))</f>
        <v/>
      </c>
      <c r="O11" s="41"/>
      <c r="P11" s="41"/>
      <c r="Q11" s="41"/>
      <c r="R11" s="41"/>
      <c r="S11" s="41"/>
      <c r="T11" s="41"/>
      <c r="U11" s="41" t="str">
        <f t="shared" ref="U11:U25" si="2">IF(T11&lt;&gt;"", 0, "")</f>
        <v/>
      </c>
      <c r="V11" s="41"/>
      <c r="W11" s="129"/>
      <c r="X11" s="129"/>
      <c r="Y11" s="129"/>
    </row>
    <row r="12" spans="1:28" ht="18" customHeight="1" x14ac:dyDescent="0.2">
      <c r="A12" s="131"/>
      <c r="B12" s="108"/>
      <c r="C12" s="134"/>
      <c r="D12" s="135"/>
      <c r="E12" s="139"/>
      <c r="F12" s="108"/>
      <c r="G12" s="108"/>
      <c r="H12" s="108"/>
      <c r="I12" s="108"/>
      <c r="J12" s="43" t="s">
        <v>147</v>
      </c>
      <c r="K12" s="73"/>
      <c r="L12" s="73"/>
      <c r="M12" s="73" t="str">
        <f t="shared" si="0"/>
        <v/>
      </c>
      <c r="N12" s="73" t="str">
        <f t="shared" si="1"/>
        <v/>
      </c>
      <c r="O12" s="41"/>
      <c r="P12" s="41"/>
      <c r="Q12" s="41"/>
      <c r="R12" s="41"/>
      <c r="S12" s="41"/>
      <c r="T12" s="41"/>
      <c r="U12" s="41" t="str">
        <f t="shared" si="2"/>
        <v/>
      </c>
      <c r="V12" s="41"/>
      <c r="W12" s="129"/>
      <c r="X12" s="129"/>
      <c r="Y12" s="129"/>
    </row>
    <row r="13" spans="1:28" ht="18" customHeight="1" x14ac:dyDescent="0.2">
      <c r="A13" s="111"/>
      <c r="B13" s="109"/>
      <c r="C13" s="136"/>
      <c r="D13" s="137"/>
      <c r="E13" s="140"/>
      <c r="F13" s="109"/>
      <c r="G13" s="109"/>
      <c r="H13" s="109"/>
      <c r="I13" s="109"/>
      <c r="J13" s="43" t="s">
        <v>9</v>
      </c>
      <c r="K13" s="73"/>
      <c r="L13" s="73"/>
      <c r="M13" s="73" t="str">
        <f t="shared" si="0"/>
        <v/>
      </c>
      <c r="N13" s="73" t="str">
        <f t="shared" si="1"/>
        <v/>
      </c>
      <c r="O13" s="41"/>
      <c r="P13" s="41"/>
      <c r="Q13" s="41"/>
      <c r="R13" s="41"/>
      <c r="S13" s="41"/>
      <c r="T13" s="41"/>
      <c r="U13" s="41" t="str">
        <f t="shared" si="2"/>
        <v/>
      </c>
      <c r="V13" s="41"/>
      <c r="W13" s="129"/>
      <c r="X13" s="129"/>
      <c r="Y13" s="129"/>
    </row>
    <row r="14" spans="1:28" ht="18" customHeight="1" x14ac:dyDescent="0.2">
      <c r="A14" s="110">
        <v>2</v>
      </c>
      <c r="B14" s="107"/>
      <c r="C14" s="132"/>
      <c r="D14" s="133"/>
      <c r="E14" s="138"/>
      <c r="F14" s="107"/>
      <c r="G14" s="107"/>
      <c r="H14" s="107"/>
      <c r="I14" s="107"/>
      <c r="J14" s="43" t="s">
        <v>130</v>
      </c>
      <c r="K14" s="73"/>
      <c r="L14" s="73"/>
      <c r="M14" s="73" t="str">
        <f t="shared" si="0"/>
        <v/>
      </c>
      <c r="N14" s="73" t="str">
        <f t="shared" si="1"/>
        <v/>
      </c>
      <c r="O14" s="41"/>
      <c r="P14" s="41"/>
      <c r="Q14" s="41"/>
      <c r="R14" s="41"/>
      <c r="S14" s="41"/>
      <c r="T14" s="41"/>
      <c r="U14" s="41" t="str">
        <f t="shared" si="2"/>
        <v/>
      </c>
      <c r="V14" s="41"/>
      <c r="W14" s="129"/>
      <c r="X14" s="129"/>
      <c r="Y14" s="129"/>
    </row>
    <row r="15" spans="1:28" ht="18" customHeight="1" x14ac:dyDescent="0.2">
      <c r="A15" s="131"/>
      <c r="B15" s="108"/>
      <c r="C15" s="134"/>
      <c r="D15" s="135"/>
      <c r="E15" s="139"/>
      <c r="F15" s="108"/>
      <c r="G15" s="108"/>
      <c r="H15" s="108"/>
      <c r="I15" s="108"/>
      <c r="J15" s="43" t="s">
        <v>52</v>
      </c>
      <c r="K15" s="73"/>
      <c r="L15" s="73"/>
      <c r="M15" s="73" t="str">
        <f t="shared" si="0"/>
        <v/>
      </c>
      <c r="N15" s="73" t="str">
        <f t="shared" si="1"/>
        <v/>
      </c>
      <c r="O15" s="41"/>
      <c r="P15" s="41"/>
      <c r="Q15" s="41"/>
      <c r="R15" s="41"/>
      <c r="S15" s="41"/>
      <c r="T15" s="41"/>
      <c r="U15" s="41" t="str">
        <f t="shared" si="2"/>
        <v/>
      </c>
      <c r="V15" s="41"/>
      <c r="W15" s="129"/>
      <c r="X15" s="129"/>
      <c r="Y15" s="129"/>
    </row>
    <row r="16" spans="1:28" ht="18" customHeight="1" x14ac:dyDescent="0.2">
      <c r="A16" s="131"/>
      <c r="B16" s="108"/>
      <c r="C16" s="134"/>
      <c r="D16" s="135"/>
      <c r="E16" s="139"/>
      <c r="F16" s="108"/>
      <c r="G16" s="108"/>
      <c r="H16" s="108"/>
      <c r="I16" s="108"/>
      <c r="J16" s="43" t="s">
        <v>147</v>
      </c>
      <c r="K16" s="73"/>
      <c r="L16" s="73"/>
      <c r="M16" s="73" t="str">
        <f t="shared" si="0"/>
        <v/>
      </c>
      <c r="N16" s="73" t="str">
        <f t="shared" si="1"/>
        <v/>
      </c>
      <c r="O16" s="41"/>
      <c r="P16" s="41"/>
      <c r="Q16" s="41"/>
      <c r="R16" s="41"/>
      <c r="S16" s="41"/>
      <c r="T16" s="41"/>
      <c r="U16" s="41" t="str">
        <f t="shared" si="2"/>
        <v/>
      </c>
      <c r="V16" s="41"/>
      <c r="W16" s="129"/>
      <c r="X16" s="129"/>
      <c r="Y16" s="129"/>
    </row>
    <row r="17" spans="1:28" ht="18" customHeight="1" x14ac:dyDescent="0.2">
      <c r="A17" s="111"/>
      <c r="B17" s="109"/>
      <c r="C17" s="136"/>
      <c r="D17" s="137"/>
      <c r="E17" s="140"/>
      <c r="F17" s="109"/>
      <c r="G17" s="109"/>
      <c r="H17" s="109"/>
      <c r="I17" s="109"/>
      <c r="J17" s="43" t="s">
        <v>9</v>
      </c>
      <c r="K17" s="73"/>
      <c r="L17" s="73"/>
      <c r="M17" s="73" t="str">
        <f t="shared" si="0"/>
        <v/>
      </c>
      <c r="N17" s="73" t="str">
        <f t="shared" si="1"/>
        <v/>
      </c>
      <c r="O17" s="41"/>
      <c r="P17" s="41"/>
      <c r="Q17" s="41"/>
      <c r="R17" s="41"/>
      <c r="S17" s="42"/>
      <c r="T17" s="42"/>
      <c r="U17" s="41" t="str">
        <f t="shared" si="2"/>
        <v/>
      </c>
      <c r="V17" s="41"/>
      <c r="W17" s="129"/>
      <c r="X17" s="129"/>
      <c r="Y17" s="129"/>
    </row>
    <row r="18" spans="1:28" ht="18" customHeight="1" x14ac:dyDescent="0.2">
      <c r="A18" s="110">
        <v>3</v>
      </c>
      <c r="B18" s="107"/>
      <c r="C18" s="132"/>
      <c r="D18" s="133"/>
      <c r="E18" s="138"/>
      <c r="F18" s="107"/>
      <c r="G18" s="107"/>
      <c r="H18" s="107"/>
      <c r="I18" s="107"/>
      <c r="J18" s="43" t="s">
        <v>130</v>
      </c>
      <c r="K18" s="73"/>
      <c r="L18" s="73"/>
      <c r="M18" s="73" t="str">
        <f t="shared" si="0"/>
        <v/>
      </c>
      <c r="N18" s="73" t="str">
        <f t="shared" si="1"/>
        <v/>
      </c>
      <c r="O18" s="41"/>
      <c r="P18" s="41"/>
      <c r="Q18" s="41"/>
      <c r="R18" s="41"/>
      <c r="S18" s="42"/>
      <c r="T18" s="42"/>
      <c r="U18" s="41" t="str">
        <f t="shared" si="2"/>
        <v/>
      </c>
      <c r="V18" s="41"/>
      <c r="W18" s="129"/>
      <c r="X18" s="129"/>
      <c r="Y18" s="129"/>
    </row>
    <row r="19" spans="1:28" ht="18" customHeight="1" x14ac:dyDescent="0.2">
      <c r="A19" s="131"/>
      <c r="B19" s="108"/>
      <c r="C19" s="134"/>
      <c r="D19" s="135"/>
      <c r="E19" s="139"/>
      <c r="F19" s="108"/>
      <c r="G19" s="108"/>
      <c r="H19" s="108"/>
      <c r="I19" s="108"/>
      <c r="J19" s="43" t="s">
        <v>52</v>
      </c>
      <c r="K19" s="73"/>
      <c r="L19" s="73"/>
      <c r="M19" s="73" t="str">
        <f t="shared" si="0"/>
        <v/>
      </c>
      <c r="N19" s="73" t="str">
        <f t="shared" si="1"/>
        <v/>
      </c>
      <c r="O19" s="41"/>
      <c r="P19" s="41"/>
      <c r="Q19" s="41"/>
      <c r="R19" s="41"/>
      <c r="S19" s="42"/>
      <c r="T19" s="42"/>
      <c r="U19" s="41" t="str">
        <f t="shared" si="2"/>
        <v/>
      </c>
      <c r="V19" s="41"/>
      <c r="W19" s="129"/>
      <c r="X19" s="129"/>
      <c r="Y19" s="129"/>
    </row>
    <row r="20" spans="1:28" ht="18" customHeight="1" x14ac:dyDescent="0.2">
      <c r="A20" s="131"/>
      <c r="B20" s="108"/>
      <c r="C20" s="134"/>
      <c r="D20" s="135"/>
      <c r="E20" s="139"/>
      <c r="F20" s="108"/>
      <c r="G20" s="108"/>
      <c r="H20" s="108"/>
      <c r="I20" s="108"/>
      <c r="J20" s="43" t="s">
        <v>147</v>
      </c>
      <c r="K20" s="73"/>
      <c r="L20" s="73"/>
      <c r="M20" s="73" t="str">
        <f t="shared" si="0"/>
        <v/>
      </c>
      <c r="N20" s="73" t="str">
        <f t="shared" si="1"/>
        <v/>
      </c>
      <c r="O20" s="41"/>
      <c r="P20" s="41"/>
      <c r="Q20" s="41"/>
      <c r="R20" s="41"/>
      <c r="S20" s="42"/>
      <c r="T20" s="42"/>
      <c r="U20" s="41" t="str">
        <f t="shared" si="2"/>
        <v/>
      </c>
      <c r="V20" s="41"/>
      <c r="W20" s="129"/>
      <c r="X20" s="129"/>
      <c r="Y20" s="129"/>
    </row>
    <row r="21" spans="1:28" ht="18" customHeight="1" x14ac:dyDescent="0.2">
      <c r="A21" s="111"/>
      <c r="B21" s="109"/>
      <c r="C21" s="136"/>
      <c r="D21" s="137"/>
      <c r="E21" s="140"/>
      <c r="F21" s="109"/>
      <c r="G21" s="109"/>
      <c r="H21" s="109"/>
      <c r="I21" s="109"/>
      <c r="J21" s="43" t="s">
        <v>9</v>
      </c>
      <c r="K21" s="73"/>
      <c r="L21" s="73"/>
      <c r="M21" s="73" t="str">
        <f t="shared" si="0"/>
        <v/>
      </c>
      <c r="N21" s="73" t="str">
        <f t="shared" si="1"/>
        <v/>
      </c>
      <c r="O21" s="41"/>
      <c r="P21" s="41"/>
      <c r="Q21" s="41"/>
      <c r="R21" s="41"/>
      <c r="S21" s="42"/>
      <c r="T21" s="42"/>
      <c r="U21" s="41" t="str">
        <f t="shared" si="2"/>
        <v/>
      </c>
      <c r="V21" s="41"/>
      <c r="W21" s="129"/>
      <c r="X21" s="129"/>
      <c r="Y21" s="129"/>
    </row>
    <row r="22" spans="1:28" ht="18" customHeight="1" x14ac:dyDescent="0.2">
      <c r="A22" s="110">
        <v>4</v>
      </c>
      <c r="B22" s="107"/>
      <c r="C22" s="132"/>
      <c r="D22" s="133"/>
      <c r="E22" s="138"/>
      <c r="F22" s="107"/>
      <c r="G22" s="107"/>
      <c r="H22" s="107"/>
      <c r="I22" s="107"/>
      <c r="J22" s="43" t="s">
        <v>130</v>
      </c>
      <c r="K22" s="73"/>
      <c r="L22" s="73"/>
      <c r="M22" s="73" t="str">
        <f t="shared" si="0"/>
        <v/>
      </c>
      <c r="N22" s="73" t="str">
        <f t="shared" si="1"/>
        <v/>
      </c>
      <c r="O22" s="41"/>
      <c r="P22" s="41"/>
      <c r="Q22" s="41"/>
      <c r="R22" s="41"/>
      <c r="S22" s="42"/>
      <c r="T22" s="42"/>
      <c r="U22" s="41" t="str">
        <f t="shared" si="2"/>
        <v/>
      </c>
      <c r="V22" s="41"/>
      <c r="W22" s="129"/>
      <c r="X22" s="129"/>
      <c r="Y22" s="129"/>
    </row>
    <row r="23" spans="1:28" ht="18" customHeight="1" x14ac:dyDescent="0.2">
      <c r="A23" s="131"/>
      <c r="B23" s="108"/>
      <c r="C23" s="134"/>
      <c r="D23" s="135"/>
      <c r="E23" s="139"/>
      <c r="F23" s="108"/>
      <c r="G23" s="108"/>
      <c r="H23" s="108"/>
      <c r="I23" s="108"/>
      <c r="J23" s="43" t="s">
        <v>52</v>
      </c>
      <c r="K23" s="73"/>
      <c r="L23" s="73"/>
      <c r="M23" s="73" t="str">
        <f t="shared" si="0"/>
        <v/>
      </c>
      <c r="N23" s="73" t="str">
        <f t="shared" si="1"/>
        <v/>
      </c>
      <c r="O23" s="41"/>
      <c r="P23" s="41"/>
      <c r="Q23" s="41"/>
      <c r="R23" s="41"/>
      <c r="S23" s="42"/>
      <c r="T23" s="42"/>
      <c r="U23" s="41" t="str">
        <f t="shared" si="2"/>
        <v/>
      </c>
      <c r="V23" s="41"/>
      <c r="W23" s="129"/>
      <c r="X23" s="129"/>
      <c r="Y23" s="129"/>
    </row>
    <row r="24" spans="1:28" ht="18" customHeight="1" x14ac:dyDescent="0.2">
      <c r="A24" s="131"/>
      <c r="B24" s="108"/>
      <c r="C24" s="134"/>
      <c r="D24" s="135"/>
      <c r="E24" s="139"/>
      <c r="F24" s="108"/>
      <c r="G24" s="108"/>
      <c r="H24" s="108"/>
      <c r="I24" s="108"/>
      <c r="J24" s="43" t="s">
        <v>147</v>
      </c>
      <c r="K24" s="73"/>
      <c r="L24" s="73"/>
      <c r="M24" s="73" t="str">
        <f t="shared" si="0"/>
        <v/>
      </c>
      <c r="N24" s="73" t="str">
        <f t="shared" si="1"/>
        <v/>
      </c>
      <c r="O24" s="41"/>
      <c r="P24" s="41"/>
      <c r="Q24" s="41"/>
      <c r="R24" s="41"/>
      <c r="S24" s="42"/>
      <c r="T24" s="42"/>
      <c r="U24" s="41" t="str">
        <f t="shared" si="2"/>
        <v/>
      </c>
      <c r="V24" s="41"/>
      <c r="W24" s="129"/>
      <c r="X24" s="129"/>
      <c r="Y24" s="129"/>
    </row>
    <row r="25" spans="1:28" ht="18" customHeight="1" x14ac:dyDescent="0.2">
      <c r="A25" s="111"/>
      <c r="B25" s="109"/>
      <c r="C25" s="136"/>
      <c r="D25" s="137"/>
      <c r="E25" s="140"/>
      <c r="F25" s="109"/>
      <c r="G25" s="109"/>
      <c r="H25" s="109"/>
      <c r="I25" s="109"/>
      <c r="J25" s="43" t="s">
        <v>9</v>
      </c>
      <c r="K25" s="73"/>
      <c r="L25" s="73"/>
      <c r="M25" s="73" t="str">
        <f t="shared" si="0"/>
        <v/>
      </c>
      <c r="N25" s="73" t="str">
        <f t="shared" si="1"/>
        <v/>
      </c>
      <c r="O25" s="41"/>
      <c r="P25" s="41"/>
      <c r="Q25" s="41"/>
      <c r="R25" s="41"/>
      <c r="S25" s="42"/>
      <c r="T25" s="42"/>
      <c r="U25" s="41" t="str">
        <f t="shared" si="2"/>
        <v/>
      </c>
      <c r="V25" s="41"/>
      <c r="W25" s="130"/>
      <c r="X25" s="130"/>
      <c r="Y25" s="130"/>
    </row>
    <row r="26" spans="1:28" ht="18" customHeight="1" x14ac:dyDescent="0.2">
      <c r="A26" s="105" t="s">
        <v>56</v>
      </c>
      <c r="B26" s="116"/>
      <c r="C26" s="116"/>
      <c r="D26" s="116"/>
      <c r="E26" s="116"/>
      <c r="F26" s="116"/>
      <c r="G26" s="116"/>
      <c r="H26" s="116"/>
      <c r="I26" s="117"/>
      <c r="J26" s="43" t="s">
        <v>130</v>
      </c>
      <c r="K26" s="51"/>
      <c r="L26" s="52"/>
      <c r="M26" s="52"/>
      <c r="N26" s="73"/>
      <c r="O26" s="41"/>
      <c r="P26" s="141"/>
      <c r="Q26" s="53"/>
      <c r="R26" s="53"/>
      <c r="S26" s="54"/>
      <c r="T26" s="54"/>
      <c r="U26" s="55"/>
      <c r="V26" s="56"/>
      <c r="W26" s="120"/>
      <c r="X26" s="121"/>
      <c r="Y26" s="122"/>
    </row>
    <row r="27" spans="1:28" ht="18" customHeight="1" x14ac:dyDescent="0.2">
      <c r="A27" s="106"/>
      <c r="B27" s="88"/>
      <c r="C27" s="88"/>
      <c r="D27" s="88"/>
      <c r="E27" s="88"/>
      <c r="F27" s="88"/>
      <c r="G27" s="88"/>
      <c r="H27" s="88"/>
      <c r="I27" s="118"/>
      <c r="J27" s="43" t="s">
        <v>52</v>
      </c>
      <c r="K27" s="51"/>
      <c r="L27" s="52"/>
      <c r="M27" s="52"/>
      <c r="N27" s="73"/>
      <c r="O27" s="41"/>
      <c r="P27" s="142"/>
      <c r="Q27" s="53"/>
      <c r="R27" s="53"/>
      <c r="S27" s="54"/>
      <c r="T27" s="54"/>
      <c r="U27" s="55"/>
      <c r="V27" s="56"/>
      <c r="W27" s="123"/>
      <c r="X27" s="124"/>
      <c r="Y27" s="125"/>
    </row>
    <row r="28" spans="1:28" ht="18" customHeight="1" x14ac:dyDescent="0.2">
      <c r="A28" s="106"/>
      <c r="B28" s="88"/>
      <c r="C28" s="88"/>
      <c r="D28" s="88"/>
      <c r="E28" s="88"/>
      <c r="F28" s="88"/>
      <c r="G28" s="88"/>
      <c r="H28" s="88"/>
      <c r="I28" s="118"/>
      <c r="J28" s="43" t="s">
        <v>147</v>
      </c>
      <c r="K28" s="51"/>
      <c r="L28" s="52"/>
      <c r="M28" s="52"/>
      <c r="N28" s="73"/>
      <c r="O28" s="41"/>
      <c r="P28" s="142"/>
      <c r="Q28" s="53"/>
      <c r="R28" s="53"/>
      <c r="S28" s="54"/>
      <c r="T28" s="54"/>
      <c r="U28" s="55"/>
      <c r="V28" s="56"/>
      <c r="W28" s="123"/>
      <c r="X28" s="124"/>
      <c r="Y28" s="125"/>
    </row>
    <row r="29" spans="1:28" ht="18" customHeight="1" x14ac:dyDescent="0.2">
      <c r="A29" s="102"/>
      <c r="B29" s="119"/>
      <c r="C29" s="119"/>
      <c r="D29" s="119"/>
      <c r="E29" s="119"/>
      <c r="F29" s="119"/>
      <c r="G29" s="119"/>
      <c r="H29" s="119"/>
      <c r="I29" s="103"/>
      <c r="J29" s="43" t="s">
        <v>9</v>
      </c>
      <c r="K29" s="51"/>
      <c r="L29" s="52"/>
      <c r="M29" s="52"/>
      <c r="N29" s="73"/>
      <c r="O29" s="41"/>
      <c r="P29" s="143"/>
      <c r="Q29" s="53"/>
      <c r="R29" s="53"/>
      <c r="S29" s="54"/>
      <c r="T29" s="54"/>
      <c r="U29" s="55"/>
      <c r="V29" s="56"/>
      <c r="W29" s="126"/>
      <c r="X29" s="127"/>
      <c r="Y29" s="128"/>
    </row>
    <row r="30" spans="1:28" ht="15" customHeight="1" x14ac:dyDescent="0.2">
      <c r="A30" s="104" t="s">
        <v>10</v>
      </c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13"/>
      <c r="X30" s="113"/>
      <c r="Y30" s="113"/>
    </row>
    <row r="31" spans="1:28" ht="15" customHeight="1" x14ac:dyDescent="0.2">
      <c r="A31" s="104" t="s">
        <v>2</v>
      </c>
      <c r="B31" s="104"/>
      <c r="C31" s="104"/>
      <c r="D31" s="104"/>
      <c r="E31" s="104"/>
      <c r="F31" s="104" t="s">
        <v>11</v>
      </c>
      <c r="G31" s="104"/>
      <c r="H31" s="104"/>
      <c r="I31" s="104"/>
      <c r="J31" s="104"/>
      <c r="K31" s="114" t="s">
        <v>0</v>
      </c>
      <c r="L31" s="115"/>
      <c r="M31" s="104" t="s">
        <v>2</v>
      </c>
      <c r="N31" s="104"/>
      <c r="O31" s="104"/>
      <c r="P31" s="104"/>
      <c r="Q31" s="104" t="s">
        <v>11</v>
      </c>
      <c r="R31" s="104"/>
      <c r="S31" s="104"/>
      <c r="T31" s="104"/>
      <c r="U31" s="104"/>
      <c r="V31" s="104"/>
      <c r="W31" s="114" t="s">
        <v>0</v>
      </c>
      <c r="X31" s="115"/>
      <c r="Y31" s="38"/>
    </row>
    <row r="32" spans="1:28" s="33" customFormat="1" ht="38.25" customHeight="1" x14ac:dyDescent="0.2">
      <c r="A32" s="58" t="s">
        <v>12</v>
      </c>
      <c r="B32" s="58" t="s">
        <v>131</v>
      </c>
      <c r="C32" s="79" t="s">
        <v>119</v>
      </c>
      <c r="D32" s="60" t="s">
        <v>115</v>
      </c>
      <c r="E32" s="57" t="s">
        <v>132</v>
      </c>
      <c r="F32" s="58" t="s">
        <v>123</v>
      </c>
      <c r="G32" s="58" t="s">
        <v>124</v>
      </c>
      <c r="H32" s="59" t="s">
        <v>125</v>
      </c>
      <c r="I32" s="59" t="s">
        <v>8</v>
      </c>
      <c r="J32" s="57" t="s">
        <v>126</v>
      </c>
      <c r="K32" s="59" t="s">
        <v>127</v>
      </c>
      <c r="L32" s="59" t="s">
        <v>128</v>
      </c>
      <c r="M32" s="58" t="s">
        <v>12</v>
      </c>
      <c r="N32" s="58" t="s">
        <v>131</v>
      </c>
      <c r="O32" s="79" t="s">
        <v>119</v>
      </c>
      <c r="P32" s="57" t="s">
        <v>132</v>
      </c>
      <c r="Q32" s="58" t="s">
        <v>123</v>
      </c>
      <c r="R32" s="58" t="s">
        <v>124</v>
      </c>
      <c r="S32" s="59" t="s">
        <v>125</v>
      </c>
      <c r="T32" s="59" t="s">
        <v>8</v>
      </c>
      <c r="U32" s="59" t="s">
        <v>126</v>
      </c>
      <c r="V32" s="57" t="s">
        <v>127</v>
      </c>
      <c r="W32" s="59" t="s">
        <v>126</v>
      </c>
      <c r="X32" s="64" t="s">
        <v>128</v>
      </c>
      <c r="Y32" s="49" t="s">
        <v>55</v>
      </c>
      <c r="Z32" s="31"/>
      <c r="AA32" s="32"/>
      <c r="AB32" s="32"/>
    </row>
    <row r="33" spans="1:25" ht="22.5" customHeight="1" x14ac:dyDescent="0.2">
      <c r="A33" s="97" t="s">
        <v>133</v>
      </c>
      <c r="B33" s="107" t="str">
        <f>IF('PCE VI'!O18="","",'PCE VI'!O18)</f>
        <v/>
      </c>
      <c r="C33" s="110"/>
      <c r="D33" s="49"/>
      <c r="E33" s="37" t="s">
        <v>134</v>
      </c>
      <c r="F33" s="73"/>
      <c r="G33" s="73"/>
      <c r="H33" s="73" t="str">
        <f t="shared" ref="H33:H42" si="3">IF(G33="","",G33-F33)</f>
        <v/>
      </c>
      <c r="I33" s="73" t="str">
        <f t="shared" ref="I33:I42" si="4">IF(G33="","",((G33+F33)/2))</f>
        <v/>
      </c>
      <c r="J33" s="43"/>
      <c r="K33" s="41"/>
      <c r="L33" s="41"/>
      <c r="M33" s="97" t="s">
        <v>135</v>
      </c>
      <c r="N33" s="107" t="str">
        <f>IF('PCE VI'!O20="","",'PCE VI'!O20)</f>
        <v/>
      </c>
      <c r="O33" s="110"/>
      <c r="P33" s="37" t="s">
        <v>134</v>
      </c>
      <c r="Q33" s="73"/>
      <c r="R33" s="73"/>
      <c r="S33" s="73" t="str">
        <f>IF(R33="","",R33-Q33)</f>
        <v/>
      </c>
      <c r="T33" s="73" t="str">
        <f>IF(R33="","",((R33+Q33)/2))</f>
        <v/>
      </c>
      <c r="U33" s="41"/>
      <c r="V33" s="43"/>
      <c r="W33" s="41"/>
      <c r="X33" s="49"/>
      <c r="Y33" s="41"/>
    </row>
    <row r="34" spans="1:25" ht="22.5" customHeight="1" x14ac:dyDescent="0.2">
      <c r="A34" s="97"/>
      <c r="B34" s="108"/>
      <c r="C34" s="111"/>
      <c r="D34" s="49"/>
      <c r="E34" s="37" t="s">
        <v>136</v>
      </c>
      <c r="F34" s="73"/>
      <c r="G34" s="73"/>
      <c r="H34" s="73" t="str">
        <f t="shared" si="3"/>
        <v/>
      </c>
      <c r="I34" s="73" t="str">
        <f t="shared" si="4"/>
        <v/>
      </c>
      <c r="J34" s="43"/>
      <c r="K34" s="41"/>
      <c r="L34" s="41"/>
      <c r="M34" s="97"/>
      <c r="N34" s="108"/>
      <c r="O34" s="111"/>
      <c r="P34" s="37" t="s">
        <v>136</v>
      </c>
      <c r="Q34" s="73"/>
      <c r="R34" s="73"/>
      <c r="S34" s="73" t="str">
        <f t="shared" ref="S34:S42" si="5">IF(R34="","",R34-Q34)</f>
        <v/>
      </c>
      <c r="T34" s="73" t="str">
        <f t="shared" ref="T34:T42" si="6">IF(R34="","",((R34+Q34)/2))</f>
        <v/>
      </c>
      <c r="U34" s="41"/>
      <c r="V34" s="43"/>
      <c r="W34" s="41"/>
      <c r="X34" s="49"/>
      <c r="Y34" s="41"/>
    </row>
    <row r="35" spans="1:25" ht="22.5" customHeight="1" x14ac:dyDescent="0.2">
      <c r="A35" s="97"/>
      <c r="B35" s="108"/>
      <c r="C35" s="110"/>
      <c r="D35" s="49"/>
      <c r="E35" s="37" t="s">
        <v>54</v>
      </c>
      <c r="F35" s="73"/>
      <c r="G35" s="73"/>
      <c r="H35" s="73" t="str">
        <f t="shared" si="3"/>
        <v/>
      </c>
      <c r="I35" s="73" t="str">
        <f t="shared" si="4"/>
        <v/>
      </c>
      <c r="J35" s="43"/>
      <c r="K35" s="41"/>
      <c r="L35" s="41"/>
      <c r="M35" s="97"/>
      <c r="N35" s="108"/>
      <c r="O35" s="110"/>
      <c r="P35" s="37" t="s">
        <v>54</v>
      </c>
      <c r="Q35" s="73"/>
      <c r="R35" s="73"/>
      <c r="S35" s="73" t="str">
        <f t="shared" si="5"/>
        <v/>
      </c>
      <c r="T35" s="73" t="str">
        <f t="shared" si="6"/>
        <v/>
      </c>
      <c r="U35" s="41"/>
      <c r="V35" s="43"/>
      <c r="W35" s="41"/>
      <c r="X35" s="49"/>
      <c r="Y35" s="41"/>
    </row>
    <row r="36" spans="1:25" ht="22.5" customHeight="1" x14ac:dyDescent="0.2">
      <c r="A36" s="97"/>
      <c r="B36" s="108"/>
      <c r="C36" s="111"/>
      <c r="D36" s="49"/>
      <c r="E36" s="37" t="s">
        <v>137</v>
      </c>
      <c r="F36" s="73"/>
      <c r="G36" s="73"/>
      <c r="H36" s="73" t="str">
        <f t="shared" si="3"/>
        <v/>
      </c>
      <c r="I36" s="73" t="str">
        <f t="shared" si="4"/>
        <v/>
      </c>
      <c r="J36" s="43"/>
      <c r="K36" s="41"/>
      <c r="L36" s="41"/>
      <c r="M36" s="97"/>
      <c r="N36" s="108"/>
      <c r="O36" s="111"/>
      <c r="P36" s="37" t="s">
        <v>137</v>
      </c>
      <c r="Q36" s="73"/>
      <c r="R36" s="73"/>
      <c r="S36" s="73" t="str">
        <f t="shared" si="5"/>
        <v/>
      </c>
      <c r="T36" s="73" t="str">
        <f t="shared" si="6"/>
        <v/>
      </c>
      <c r="U36" s="41"/>
      <c r="V36" s="43"/>
      <c r="W36" s="41"/>
      <c r="X36" s="49"/>
      <c r="Y36" s="41"/>
    </row>
    <row r="37" spans="1:25" ht="22.5" customHeight="1" x14ac:dyDescent="0.2">
      <c r="A37" s="97"/>
      <c r="B37" s="109"/>
      <c r="C37" s="54"/>
      <c r="D37" s="49"/>
      <c r="E37" s="37" t="s">
        <v>138</v>
      </c>
      <c r="F37" s="73"/>
      <c r="G37" s="73"/>
      <c r="H37" s="73" t="str">
        <f t="shared" si="3"/>
        <v/>
      </c>
      <c r="I37" s="73" t="str">
        <f t="shared" si="4"/>
        <v/>
      </c>
      <c r="J37" s="43"/>
      <c r="K37" s="41"/>
      <c r="L37" s="41"/>
      <c r="M37" s="97"/>
      <c r="N37" s="109"/>
      <c r="O37" s="54"/>
      <c r="P37" s="37" t="s">
        <v>138</v>
      </c>
      <c r="Q37" s="73"/>
      <c r="R37" s="73"/>
      <c r="S37" s="73" t="str">
        <f t="shared" si="5"/>
        <v/>
      </c>
      <c r="T37" s="73" t="str">
        <f t="shared" si="6"/>
        <v/>
      </c>
      <c r="U37" s="41"/>
      <c r="V37" s="43"/>
      <c r="W37" s="41"/>
      <c r="X37" s="49"/>
      <c r="Y37" s="41"/>
    </row>
    <row r="38" spans="1:25" ht="22.5" customHeight="1" x14ac:dyDescent="0.2">
      <c r="A38" s="105" t="s">
        <v>139</v>
      </c>
      <c r="B38" s="107" t="str">
        <f>IF('PCE VI'!O19="","",'PCE VI'!O19)</f>
        <v/>
      </c>
      <c r="C38" s="110"/>
      <c r="D38" s="49"/>
      <c r="E38" s="37" t="s">
        <v>134</v>
      </c>
      <c r="F38" s="73"/>
      <c r="G38" s="73"/>
      <c r="H38" s="73" t="str">
        <f t="shared" si="3"/>
        <v/>
      </c>
      <c r="I38" s="73" t="str">
        <f t="shared" si="4"/>
        <v/>
      </c>
      <c r="J38" s="43"/>
      <c r="K38" s="41"/>
      <c r="L38" s="41"/>
      <c r="M38" s="105" t="s">
        <v>5</v>
      </c>
      <c r="N38" s="112" t="str">
        <f>IF('PCE VI'!O20="","",'PCE VI'!O20)</f>
        <v/>
      </c>
      <c r="O38" s="110"/>
      <c r="P38" s="37" t="s">
        <v>134</v>
      </c>
      <c r="Q38" s="73"/>
      <c r="R38" s="73"/>
      <c r="S38" s="73" t="str">
        <f t="shared" si="5"/>
        <v/>
      </c>
      <c r="T38" s="73" t="str">
        <f t="shared" si="6"/>
        <v/>
      </c>
      <c r="U38" s="41"/>
      <c r="V38" s="43"/>
      <c r="W38" s="41"/>
      <c r="X38" s="49"/>
      <c r="Y38" s="41"/>
    </row>
    <row r="39" spans="1:25" ht="22.5" customHeight="1" x14ac:dyDescent="0.2">
      <c r="A39" s="106"/>
      <c r="B39" s="108"/>
      <c r="C39" s="111"/>
      <c r="D39" s="49"/>
      <c r="E39" s="37" t="s">
        <v>136</v>
      </c>
      <c r="F39" s="73"/>
      <c r="G39" s="73"/>
      <c r="H39" s="73" t="str">
        <f t="shared" si="3"/>
        <v/>
      </c>
      <c r="I39" s="73" t="str">
        <f t="shared" si="4"/>
        <v/>
      </c>
      <c r="J39" s="43"/>
      <c r="K39" s="41"/>
      <c r="L39" s="41"/>
      <c r="M39" s="106"/>
      <c r="N39" s="112"/>
      <c r="O39" s="111"/>
      <c r="P39" s="37" t="s">
        <v>136</v>
      </c>
      <c r="Q39" s="73"/>
      <c r="R39" s="73"/>
      <c r="S39" s="73" t="str">
        <f t="shared" si="5"/>
        <v/>
      </c>
      <c r="T39" s="73" t="str">
        <f t="shared" si="6"/>
        <v/>
      </c>
      <c r="U39" s="41"/>
      <c r="V39" s="43"/>
      <c r="W39" s="41"/>
      <c r="X39" s="49"/>
      <c r="Y39" s="41"/>
    </row>
    <row r="40" spans="1:25" ht="22.5" customHeight="1" x14ac:dyDescent="0.2">
      <c r="A40" s="106"/>
      <c r="B40" s="108"/>
      <c r="C40" s="110"/>
      <c r="D40" s="49"/>
      <c r="E40" s="37" t="s">
        <v>54</v>
      </c>
      <c r="F40" s="73"/>
      <c r="G40" s="73"/>
      <c r="H40" s="73" t="str">
        <f t="shared" si="3"/>
        <v/>
      </c>
      <c r="I40" s="73" t="str">
        <f t="shared" si="4"/>
        <v/>
      </c>
      <c r="J40" s="44"/>
      <c r="K40" s="41"/>
      <c r="L40" s="41"/>
      <c r="M40" s="106"/>
      <c r="N40" s="112"/>
      <c r="O40" s="110"/>
      <c r="P40" s="37" t="s">
        <v>54</v>
      </c>
      <c r="Q40" s="73"/>
      <c r="R40" s="73"/>
      <c r="S40" s="73" t="str">
        <f t="shared" si="5"/>
        <v/>
      </c>
      <c r="T40" s="73" t="str">
        <f t="shared" si="6"/>
        <v/>
      </c>
      <c r="U40" s="41"/>
      <c r="V40" s="44"/>
      <c r="W40" s="41"/>
      <c r="X40" s="49"/>
      <c r="Y40" s="41"/>
    </row>
    <row r="41" spans="1:25" ht="22.5" customHeight="1" x14ac:dyDescent="0.2">
      <c r="A41" s="106"/>
      <c r="B41" s="108"/>
      <c r="C41" s="111"/>
      <c r="D41" s="49"/>
      <c r="E41" s="37" t="s">
        <v>137</v>
      </c>
      <c r="F41" s="73"/>
      <c r="G41" s="73"/>
      <c r="H41" s="73" t="str">
        <f t="shared" si="3"/>
        <v/>
      </c>
      <c r="I41" s="73" t="str">
        <f t="shared" si="4"/>
        <v/>
      </c>
      <c r="J41" s="44"/>
      <c r="K41" s="41"/>
      <c r="L41" s="41"/>
      <c r="M41" s="106"/>
      <c r="N41" s="112"/>
      <c r="O41" s="111"/>
      <c r="P41" s="37" t="s">
        <v>137</v>
      </c>
      <c r="Q41" s="73"/>
      <c r="R41" s="73"/>
      <c r="S41" s="73" t="str">
        <f t="shared" si="5"/>
        <v/>
      </c>
      <c r="T41" s="73" t="str">
        <f t="shared" si="6"/>
        <v/>
      </c>
      <c r="U41" s="41"/>
      <c r="V41" s="44"/>
      <c r="W41" s="41"/>
      <c r="X41" s="49"/>
      <c r="Y41" s="41"/>
    </row>
    <row r="42" spans="1:25" ht="22.5" customHeight="1" x14ac:dyDescent="0.2">
      <c r="A42" s="102"/>
      <c r="B42" s="109"/>
      <c r="C42" s="54"/>
      <c r="D42" s="49"/>
      <c r="E42" s="37" t="s">
        <v>138</v>
      </c>
      <c r="F42" s="73"/>
      <c r="G42" s="73"/>
      <c r="H42" s="73" t="str">
        <f t="shared" si="3"/>
        <v/>
      </c>
      <c r="I42" s="73" t="str">
        <f t="shared" si="4"/>
        <v/>
      </c>
      <c r="J42" s="44"/>
      <c r="K42" s="41"/>
      <c r="L42" s="41"/>
      <c r="M42" s="102"/>
      <c r="N42" s="112"/>
      <c r="O42" s="54"/>
      <c r="P42" s="37" t="s">
        <v>138</v>
      </c>
      <c r="Q42" s="73"/>
      <c r="R42" s="73"/>
      <c r="S42" s="73" t="str">
        <f t="shared" si="5"/>
        <v/>
      </c>
      <c r="T42" s="73" t="str">
        <f t="shared" si="6"/>
        <v/>
      </c>
      <c r="U42" s="41"/>
      <c r="V42" s="44"/>
      <c r="W42" s="41"/>
      <c r="X42" s="49"/>
      <c r="Y42" s="41"/>
    </row>
    <row r="43" spans="1:25" ht="15" customHeight="1" x14ac:dyDescent="0.2">
      <c r="A43" s="104" t="s">
        <v>13</v>
      </c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</row>
    <row r="44" spans="1:25" ht="20.25" customHeight="1" x14ac:dyDescent="0.2">
      <c r="A44" s="39">
        <v>1</v>
      </c>
      <c r="B44" s="102" t="s">
        <v>140</v>
      </c>
      <c r="C44" s="103"/>
      <c r="D44" s="49" t="s">
        <v>156</v>
      </c>
      <c r="E44" s="86" t="s">
        <v>157</v>
      </c>
      <c r="F44" s="87"/>
      <c r="G44" s="89" t="s">
        <v>158</v>
      </c>
      <c r="H44" s="87"/>
      <c r="I44" s="49" t="s">
        <v>19</v>
      </c>
      <c r="J44" s="49" t="s">
        <v>20</v>
      </c>
      <c r="K44" s="49" t="s">
        <v>21</v>
      </c>
      <c r="L44" s="49" t="s">
        <v>22</v>
      </c>
      <c r="M44" s="49" t="s">
        <v>23</v>
      </c>
      <c r="N44" s="49" t="s">
        <v>24</v>
      </c>
      <c r="O44" s="49" t="s">
        <v>25</v>
      </c>
      <c r="P44" s="49" t="s">
        <v>26</v>
      </c>
      <c r="Q44" s="49" t="s">
        <v>159</v>
      </c>
      <c r="R44" s="49" t="s">
        <v>160</v>
      </c>
      <c r="S44" s="49"/>
      <c r="T44" s="49"/>
      <c r="U44" s="49"/>
      <c r="V44" s="49"/>
      <c r="W44" s="49"/>
      <c r="X44" s="49"/>
      <c r="Y44" s="48"/>
    </row>
    <row r="45" spans="1:25" ht="20.25" customHeight="1" x14ac:dyDescent="0.2">
      <c r="A45" s="41"/>
      <c r="B45" s="86" t="s">
        <v>141</v>
      </c>
      <c r="C45" s="87"/>
      <c r="D45" s="41"/>
      <c r="E45" s="96"/>
      <c r="F45" s="96"/>
      <c r="G45" s="96"/>
      <c r="H45" s="96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65"/>
      <c r="T45" s="65"/>
      <c r="U45" s="65"/>
      <c r="V45" s="65"/>
      <c r="W45" s="65"/>
      <c r="X45" s="65"/>
      <c r="Y45" s="65"/>
    </row>
    <row r="46" spans="1:25" ht="20.25" customHeight="1" x14ac:dyDescent="0.2">
      <c r="A46" s="39">
        <v>2</v>
      </c>
      <c r="B46" s="102" t="s">
        <v>142</v>
      </c>
      <c r="C46" s="103"/>
      <c r="D46" s="49" t="s">
        <v>156</v>
      </c>
      <c r="E46" s="86" t="s">
        <v>157</v>
      </c>
      <c r="F46" s="87"/>
      <c r="G46" s="89" t="s">
        <v>158</v>
      </c>
      <c r="H46" s="87"/>
      <c r="I46" s="49" t="s">
        <v>19</v>
      </c>
      <c r="J46" s="49" t="s">
        <v>20</v>
      </c>
      <c r="K46" s="49" t="s">
        <v>21</v>
      </c>
      <c r="L46" s="49" t="s">
        <v>22</v>
      </c>
      <c r="M46" s="49" t="s">
        <v>23</v>
      </c>
      <c r="N46" s="49" t="s">
        <v>24</v>
      </c>
      <c r="O46" s="49" t="s">
        <v>25</v>
      </c>
      <c r="P46" s="49" t="s">
        <v>26</v>
      </c>
      <c r="Q46" s="49" t="s">
        <v>159</v>
      </c>
      <c r="R46" s="49" t="s">
        <v>160</v>
      </c>
      <c r="S46" s="49"/>
      <c r="T46" s="49"/>
      <c r="U46" s="49"/>
      <c r="V46" s="49"/>
      <c r="W46" s="49"/>
      <c r="X46" s="49"/>
      <c r="Y46" s="48"/>
    </row>
    <row r="47" spans="1:25" ht="20.25" customHeight="1" x14ac:dyDescent="0.2">
      <c r="A47" s="41"/>
      <c r="B47" s="86" t="s">
        <v>141</v>
      </c>
      <c r="C47" s="87"/>
      <c r="D47" s="41"/>
      <c r="E47" s="96"/>
      <c r="F47" s="96"/>
      <c r="G47" s="96"/>
      <c r="H47" s="96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65"/>
      <c r="T47" s="65"/>
      <c r="U47" s="65"/>
      <c r="V47" s="65"/>
      <c r="W47" s="65"/>
      <c r="X47" s="65"/>
      <c r="Y47" s="65"/>
    </row>
    <row r="48" spans="1:25" ht="15" customHeight="1" x14ac:dyDescent="0.2">
      <c r="A48" s="49" t="s">
        <v>33</v>
      </c>
      <c r="B48" s="40" t="s">
        <v>3</v>
      </c>
      <c r="C48" s="100" t="s">
        <v>143</v>
      </c>
      <c r="D48" s="101"/>
      <c r="E48" s="49" t="s">
        <v>123</v>
      </c>
      <c r="F48" s="49" t="s">
        <v>124</v>
      </c>
      <c r="G48" s="50" t="s">
        <v>125</v>
      </c>
      <c r="H48" s="46" t="s">
        <v>126</v>
      </c>
      <c r="I48" s="49" t="s">
        <v>8</v>
      </c>
      <c r="J48" s="89" t="s">
        <v>115</v>
      </c>
      <c r="K48" s="89"/>
      <c r="L48" s="89"/>
      <c r="M48" s="89"/>
      <c r="N48" s="89"/>
      <c r="O48" s="89"/>
      <c r="P48" s="89"/>
      <c r="Q48" s="87"/>
      <c r="R48" s="82" t="s">
        <v>234</v>
      </c>
      <c r="S48" s="98"/>
      <c r="T48" s="99" t="s">
        <v>133</v>
      </c>
      <c r="U48" s="99"/>
      <c r="V48" s="89"/>
      <c r="W48" s="89"/>
      <c r="X48" s="89"/>
      <c r="Y48" s="87"/>
    </row>
    <row r="49" spans="1:28" ht="20.100000000000001" customHeight="1" x14ac:dyDescent="0.2">
      <c r="A49" s="49"/>
      <c r="B49" s="49" t="s">
        <v>17</v>
      </c>
      <c r="C49" s="90"/>
      <c r="D49" s="92"/>
      <c r="E49" s="78"/>
      <c r="F49" s="73"/>
      <c r="G49" s="73" t="str">
        <f t="shared" ref="G49:G65" si="7">IF(F49="","",F49-E49)</f>
        <v/>
      </c>
      <c r="H49" s="73"/>
      <c r="I49" s="73" t="str">
        <f>IF(F49="","",((F49+E49)/2))</f>
        <v/>
      </c>
      <c r="J49" s="90"/>
      <c r="K49" s="91"/>
      <c r="L49" s="91"/>
      <c r="M49" s="91"/>
      <c r="N49" s="91"/>
      <c r="O49" s="91"/>
      <c r="P49" s="91"/>
      <c r="Q49" s="92"/>
      <c r="R49" s="42" t="str">
        <f>IF(S49="","","IR")</f>
        <v/>
      </c>
      <c r="S49" s="81"/>
      <c r="T49" s="89" t="s">
        <v>14</v>
      </c>
      <c r="U49" s="87"/>
      <c r="V49" s="96"/>
      <c r="W49" s="96"/>
      <c r="X49" s="96"/>
      <c r="Y49" s="96"/>
    </row>
    <row r="50" spans="1:28" ht="20.100000000000001" customHeight="1" x14ac:dyDescent="0.2">
      <c r="A50" s="49"/>
      <c r="B50" s="49" t="s">
        <v>18</v>
      </c>
      <c r="C50" s="90"/>
      <c r="D50" s="92"/>
      <c r="E50" s="78"/>
      <c r="F50" s="73"/>
      <c r="G50" s="73" t="str">
        <f t="shared" si="7"/>
        <v/>
      </c>
      <c r="H50" s="80"/>
      <c r="I50" s="73" t="str">
        <f t="shared" ref="I50:I65" si="8">IF(F50="","",((F50+E50)/2))</f>
        <v/>
      </c>
      <c r="J50" s="90"/>
      <c r="K50" s="91"/>
      <c r="L50" s="91"/>
      <c r="M50" s="91"/>
      <c r="N50" s="91"/>
      <c r="O50" s="91"/>
      <c r="P50" s="91"/>
      <c r="Q50" s="92"/>
      <c r="R50" s="84"/>
      <c r="S50" s="94"/>
      <c r="T50" s="98" t="s">
        <v>15</v>
      </c>
      <c r="U50" s="83"/>
      <c r="V50" s="96"/>
      <c r="W50" s="96"/>
      <c r="X50" s="96"/>
      <c r="Y50" s="96"/>
    </row>
    <row r="51" spans="1:28" ht="20.100000000000001" customHeight="1" x14ac:dyDescent="0.2">
      <c r="A51" s="49"/>
      <c r="B51" s="49" t="s">
        <v>19</v>
      </c>
      <c r="C51" s="90"/>
      <c r="D51" s="92"/>
      <c r="E51" s="78"/>
      <c r="F51" s="73"/>
      <c r="G51" s="73" t="str">
        <f t="shared" si="7"/>
        <v/>
      </c>
      <c r="H51" s="80"/>
      <c r="I51" s="73" t="str">
        <f t="shared" si="8"/>
        <v/>
      </c>
      <c r="J51" s="90"/>
      <c r="K51" s="91"/>
      <c r="L51" s="91"/>
      <c r="M51" s="91"/>
      <c r="N51" s="91"/>
      <c r="O51" s="91"/>
      <c r="P51" s="91"/>
      <c r="Q51" s="92"/>
      <c r="R51" s="95" t="s">
        <v>16</v>
      </c>
      <c r="S51" s="95"/>
      <c r="T51" s="95"/>
      <c r="U51" s="95"/>
      <c r="V51" s="96"/>
      <c r="W51" s="97"/>
      <c r="X51" s="97"/>
      <c r="Y51" s="97"/>
    </row>
    <row r="52" spans="1:28" ht="20.100000000000001" customHeight="1" x14ac:dyDescent="0.2">
      <c r="A52" s="49"/>
      <c r="B52" s="49" t="s">
        <v>20</v>
      </c>
      <c r="C52" s="90"/>
      <c r="D52" s="92"/>
      <c r="E52" s="78"/>
      <c r="F52" s="73"/>
      <c r="G52" s="73" t="str">
        <f t="shared" si="7"/>
        <v/>
      </c>
      <c r="H52" s="80"/>
      <c r="I52" s="73" t="str">
        <f t="shared" si="8"/>
        <v/>
      </c>
      <c r="J52" s="90"/>
      <c r="K52" s="91"/>
      <c r="L52" s="91"/>
      <c r="M52" s="91"/>
      <c r="N52" s="91"/>
      <c r="O52" s="91"/>
      <c r="P52" s="91"/>
      <c r="Q52" s="92"/>
      <c r="R52" s="82" t="s">
        <v>234</v>
      </c>
      <c r="S52" s="98"/>
      <c r="T52" s="99" t="s">
        <v>139</v>
      </c>
      <c r="U52" s="99"/>
      <c r="V52" s="89"/>
      <c r="W52" s="89"/>
      <c r="X52" s="89"/>
      <c r="Y52" s="87"/>
    </row>
    <row r="53" spans="1:28" ht="20.100000000000001" customHeight="1" x14ac:dyDescent="0.2">
      <c r="A53" s="49"/>
      <c r="B53" s="49" t="s">
        <v>21</v>
      </c>
      <c r="C53" s="90"/>
      <c r="D53" s="92"/>
      <c r="E53" s="78"/>
      <c r="F53" s="73"/>
      <c r="G53" s="73" t="str">
        <f t="shared" si="7"/>
        <v/>
      </c>
      <c r="H53" s="80"/>
      <c r="I53" s="73" t="str">
        <f t="shared" si="8"/>
        <v/>
      </c>
      <c r="J53" s="90"/>
      <c r="K53" s="91"/>
      <c r="L53" s="91"/>
      <c r="M53" s="91"/>
      <c r="N53" s="91"/>
      <c r="O53" s="91"/>
      <c r="P53" s="91"/>
      <c r="Q53" s="92"/>
      <c r="R53" s="42" t="str">
        <f>IF(S53="","","IR")</f>
        <v/>
      </c>
      <c r="S53" s="81"/>
      <c r="T53" s="89" t="s">
        <v>14</v>
      </c>
      <c r="U53" s="87"/>
      <c r="V53" s="84"/>
      <c r="W53" s="94"/>
      <c r="X53" s="94"/>
      <c r="Y53" s="85"/>
    </row>
    <row r="54" spans="1:28" ht="20.100000000000001" customHeight="1" x14ac:dyDescent="0.2">
      <c r="A54" s="49"/>
      <c r="B54" s="49" t="s">
        <v>22</v>
      </c>
      <c r="C54" s="90"/>
      <c r="D54" s="92"/>
      <c r="E54" s="78"/>
      <c r="F54" s="73"/>
      <c r="G54" s="73" t="str">
        <f t="shared" si="7"/>
        <v/>
      </c>
      <c r="H54" s="80"/>
      <c r="I54" s="73" t="str">
        <f t="shared" si="8"/>
        <v/>
      </c>
      <c r="J54" s="90"/>
      <c r="K54" s="91"/>
      <c r="L54" s="91"/>
      <c r="M54" s="91"/>
      <c r="N54" s="91"/>
      <c r="O54" s="91"/>
      <c r="P54" s="91"/>
      <c r="Q54" s="92"/>
      <c r="R54" s="95" t="s">
        <v>15</v>
      </c>
      <c r="S54" s="95"/>
      <c r="T54" s="95"/>
      <c r="U54" s="95"/>
      <c r="V54" s="84"/>
      <c r="W54" s="94"/>
      <c r="X54" s="94"/>
      <c r="Y54" s="85"/>
    </row>
    <row r="55" spans="1:28" s="1" customFormat="1" ht="20.100000000000001" customHeight="1" x14ac:dyDescent="0.15">
      <c r="A55" s="49"/>
      <c r="B55" s="49" t="s">
        <v>23</v>
      </c>
      <c r="C55" s="90"/>
      <c r="D55" s="92"/>
      <c r="E55" s="78"/>
      <c r="F55" s="73"/>
      <c r="G55" s="73" t="str">
        <f t="shared" si="7"/>
        <v/>
      </c>
      <c r="H55" s="80"/>
      <c r="I55" s="73" t="str">
        <f t="shared" si="8"/>
        <v/>
      </c>
      <c r="J55" s="90"/>
      <c r="K55" s="91"/>
      <c r="L55" s="91"/>
      <c r="M55" s="91"/>
      <c r="N55" s="91"/>
      <c r="O55" s="91"/>
      <c r="P55" s="91"/>
      <c r="Q55" s="92"/>
      <c r="R55" s="95" t="s">
        <v>16</v>
      </c>
      <c r="S55" s="95"/>
      <c r="T55" s="95"/>
      <c r="U55" s="95"/>
      <c r="V55" s="96"/>
      <c r="W55" s="97"/>
      <c r="X55" s="97"/>
      <c r="Y55" s="97"/>
      <c r="AA55" s="2"/>
      <c r="AB55" s="2"/>
    </row>
    <row r="56" spans="1:28" s="1" customFormat="1" ht="20.100000000000001" customHeight="1" x14ac:dyDescent="0.15">
      <c r="A56" s="49"/>
      <c r="B56" s="49" t="s">
        <v>24</v>
      </c>
      <c r="C56" s="90"/>
      <c r="D56" s="92"/>
      <c r="E56" s="78"/>
      <c r="F56" s="73"/>
      <c r="G56" s="73" t="str">
        <f t="shared" si="7"/>
        <v/>
      </c>
      <c r="H56" s="80"/>
      <c r="I56" s="73" t="str">
        <f t="shared" si="8"/>
        <v/>
      </c>
      <c r="J56" s="90"/>
      <c r="K56" s="91"/>
      <c r="L56" s="91"/>
      <c r="M56" s="91"/>
      <c r="N56" s="91"/>
      <c r="O56" s="91"/>
      <c r="P56" s="91"/>
      <c r="Q56" s="92"/>
      <c r="R56" s="93"/>
      <c r="S56" s="93"/>
      <c r="T56" s="93"/>
      <c r="U56" s="93"/>
      <c r="V56" s="88"/>
      <c r="W56" s="88"/>
      <c r="X56" s="88"/>
      <c r="Y56" s="88"/>
      <c r="AA56" s="2"/>
      <c r="AB56" s="2"/>
    </row>
    <row r="57" spans="1:28" s="1" customFormat="1" ht="20.100000000000001" customHeight="1" x14ac:dyDescent="0.15">
      <c r="A57" s="49"/>
      <c r="B57" s="49" t="s">
        <v>25</v>
      </c>
      <c r="C57" s="90"/>
      <c r="D57" s="92"/>
      <c r="E57" s="78"/>
      <c r="F57" s="73"/>
      <c r="G57" s="73" t="str">
        <f t="shared" si="7"/>
        <v/>
      </c>
      <c r="H57" s="80"/>
      <c r="I57" s="73" t="str">
        <f t="shared" si="8"/>
        <v/>
      </c>
      <c r="J57" s="90"/>
      <c r="K57" s="91"/>
      <c r="L57" s="91"/>
      <c r="M57" s="91"/>
      <c r="N57" s="91"/>
      <c r="O57" s="91"/>
      <c r="P57" s="91"/>
      <c r="Q57" s="92"/>
      <c r="R57" s="93"/>
      <c r="S57" s="93"/>
      <c r="T57" s="93"/>
      <c r="U57" s="93"/>
      <c r="V57" s="88"/>
      <c r="W57" s="88"/>
      <c r="X57" s="88"/>
      <c r="Y57" s="88"/>
      <c r="AA57" s="2"/>
      <c r="AB57" s="2"/>
    </row>
    <row r="58" spans="1:28" s="1" customFormat="1" ht="20.100000000000001" customHeight="1" x14ac:dyDescent="0.15">
      <c r="A58" s="49"/>
      <c r="B58" s="49" t="s">
        <v>26</v>
      </c>
      <c r="C58" s="90"/>
      <c r="D58" s="92"/>
      <c r="E58" s="78"/>
      <c r="F58" s="73"/>
      <c r="G58" s="73" t="str">
        <f t="shared" si="7"/>
        <v/>
      </c>
      <c r="H58" s="80"/>
      <c r="I58" s="73" t="str">
        <f t="shared" si="8"/>
        <v/>
      </c>
      <c r="J58" s="90"/>
      <c r="K58" s="91"/>
      <c r="L58" s="91"/>
      <c r="M58" s="91"/>
      <c r="N58" s="91"/>
      <c r="O58" s="91"/>
      <c r="P58" s="91"/>
      <c r="Q58" s="92"/>
      <c r="R58" s="93"/>
      <c r="S58" s="93"/>
      <c r="T58" s="93"/>
      <c r="U58" s="93"/>
      <c r="V58" s="88"/>
      <c r="W58" s="88"/>
      <c r="X58" s="88"/>
      <c r="Y58" s="88"/>
      <c r="AA58" s="2"/>
      <c r="AB58" s="2"/>
    </row>
    <row r="59" spans="1:28" s="1" customFormat="1" ht="20.100000000000001" customHeight="1" x14ac:dyDescent="0.15">
      <c r="A59" s="61"/>
      <c r="B59" s="86" t="s">
        <v>27</v>
      </c>
      <c r="C59" s="89"/>
      <c r="D59" s="87"/>
      <c r="E59" s="78"/>
      <c r="F59" s="73"/>
      <c r="G59" s="73" t="str">
        <f t="shared" si="7"/>
        <v/>
      </c>
      <c r="H59" s="80"/>
      <c r="I59" s="73" t="str">
        <f t="shared" si="8"/>
        <v/>
      </c>
      <c r="J59" s="90"/>
      <c r="K59" s="91"/>
      <c r="L59" s="91"/>
      <c r="M59" s="91"/>
      <c r="N59" s="91"/>
      <c r="O59" s="91"/>
      <c r="P59" s="91"/>
      <c r="Q59" s="92"/>
      <c r="R59" s="93"/>
      <c r="S59" s="93"/>
      <c r="T59" s="93"/>
      <c r="U59" s="93"/>
      <c r="V59" s="88"/>
      <c r="W59" s="88"/>
      <c r="X59" s="88"/>
      <c r="Y59" s="88"/>
      <c r="AA59" s="2"/>
      <c r="AB59" s="2"/>
    </row>
    <row r="60" spans="1:28" s="1" customFormat="1" ht="20.100000000000001" customHeight="1" x14ac:dyDescent="0.15">
      <c r="A60" s="61"/>
      <c r="B60" s="86" t="s">
        <v>144</v>
      </c>
      <c r="C60" s="89"/>
      <c r="D60" s="87"/>
      <c r="E60" s="78"/>
      <c r="F60" s="73"/>
      <c r="G60" s="73" t="str">
        <f t="shared" si="7"/>
        <v/>
      </c>
      <c r="H60" s="80"/>
      <c r="I60" s="73" t="str">
        <f t="shared" si="8"/>
        <v/>
      </c>
      <c r="J60" s="90"/>
      <c r="K60" s="91"/>
      <c r="L60" s="91"/>
      <c r="M60" s="91"/>
      <c r="N60" s="91"/>
      <c r="O60" s="91"/>
      <c r="P60" s="91"/>
      <c r="Q60" s="92"/>
      <c r="R60" s="93"/>
      <c r="S60" s="93"/>
      <c r="T60" s="93"/>
      <c r="U60" s="93"/>
      <c r="V60" s="88"/>
      <c r="W60" s="88"/>
      <c r="X60" s="88"/>
      <c r="Y60" s="88"/>
      <c r="AA60" s="2"/>
      <c r="AB60" s="2"/>
    </row>
    <row r="61" spans="1:28" s="1" customFormat="1" ht="20.100000000000001" customHeight="1" x14ac:dyDescent="0.15">
      <c r="A61" s="61"/>
      <c r="B61" s="86" t="s">
        <v>31</v>
      </c>
      <c r="C61" s="89"/>
      <c r="D61" s="87"/>
      <c r="E61" s="78"/>
      <c r="F61" s="73"/>
      <c r="G61" s="73" t="str">
        <f t="shared" si="7"/>
        <v/>
      </c>
      <c r="H61" s="80"/>
      <c r="I61" s="73" t="str">
        <f t="shared" si="8"/>
        <v/>
      </c>
      <c r="J61" s="90"/>
      <c r="K61" s="91"/>
      <c r="L61" s="91"/>
      <c r="M61" s="91"/>
      <c r="N61" s="91"/>
      <c r="O61" s="91"/>
      <c r="P61" s="91"/>
      <c r="Q61" s="92"/>
      <c r="R61" s="93"/>
      <c r="S61" s="93"/>
      <c r="T61" s="93"/>
      <c r="U61" s="93"/>
      <c r="V61" s="88"/>
      <c r="W61" s="88"/>
      <c r="X61" s="88"/>
      <c r="Y61" s="88"/>
      <c r="AA61" s="2"/>
      <c r="AB61" s="2"/>
    </row>
    <row r="62" spans="1:28" s="1" customFormat="1" ht="20.100000000000001" customHeight="1" x14ac:dyDescent="0.15">
      <c r="A62" s="61"/>
      <c r="B62" s="86" t="s">
        <v>29</v>
      </c>
      <c r="C62" s="89"/>
      <c r="D62" s="87"/>
      <c r="E62" s="78"/>
      <c r="F62" s="73"/>
      <c r="G62" s="73" t="str">
        <f t="shared" si="7"/>
        <v/>
      </c>
      <c r="H62" s="80"/>
      <c r="I62" s="73" t="str">
        <f t="shared" si="8"/>
        <v/>
      </c>
      <c r="J62" s="90"/>
      <c r="K62" s="91"/>
      <c r="L62" s="91"/>
      <c r="M62" s="91"/>
      <c r="N62" s="91"/>
      <c r="O62" s="91"/>
      <c r="P62" s="91"/>
      <c r="Q62" s="92"/>
      <c r="R62" s="93"/>
      <c r="S62" s="93"/>
      <c r="T62" s="93"/>
      <c r="U62" s="93"/>
      <c r="V62" s="88"/>
      <c r="W62" s="88"/>
      <c r="X62" s="88"/>
      <c r="Y62" s="88"/>
      <c r="AA62" s="2"/>
      <c r="AB62" s="2"/>
    </row>
    <row r="63" spans="1:28" s="1" customFormat="1" ht="20.100000000000001" customHeight="1" x14ac:dyDescent="0.15">
      <c r="A63" s="61"/>
      <c r="B63" s="86" t="s">
        <v>30</v>
      </c>
      <c r="C63" s="89"/>
      <c r="D63" s="87"/>
      <c r="E63" s="78"/>
      <c r="F63" s="73"/>
      <c r="G63" s="73" t="str">
        <f t="shared" si="7"/>
        <v/>
      </c>
      <c r="H63" s="80"/>
      <c r="I63" s="73" t="str">
        <f t="shared" si="8"/>
        <v/>
      </c>
      <c r="J63" s="90"/>
      <c r="K63" s="91"/>
      <c r="L63" s="91"/>
      <c r="M63" s="91"/>
      <c r="N63" s="91"/>
      <c r="O63" s="91"/>
      <c r="P63" s="91"/>
      <c r="Q63" s="92"/>
      <c r="R63" s="62"/>
      <c r="S63" s="62"/>
      <c r="T63" s="62"/>
      <c r="U63" s="62"/>
      <c r="V63" s="57"/>
      <c r="W63" s="57"/>
      <c r="X63" s="57"/>
      <c r="Y63" s="57"/>
      <c r="AA63" s="2"/>
      <c r="AB63" s="2"/>
    </row>
    <row r="64" spans="1:28" s="1" customFormat="1" ht="20.100000000000001" customHeight="1" x14ac:dyDescent="0.15">
      <c r="A64" s="61"/>
      <c r="B64" s="86" t="s">
        <v>149</v>
      </c>
      <c r="C64" s="89"/>
      <c r="D64" s="87"/>
      <c r="E64" s="78"/>
      <c r="F64" s="73"/>
      <c r="G64" s="73" t="str">
        <f t="shared" si="7"/>
        <v/>
      </c>
      <c r="H64" s="80"/>
      <c r="I64" s="73" t="str">
        <f t="shared" si="8"/>
        <v/>
      </c>
      <c r="J64" s="90"/>
      <c r="K64" s="91"/>
      <c r="L64" s="91"/>
      <c r="M64" s="91"/>
      <c r="N64" s="91"/>
      <c r="O64" s="91"/>
      <c r="P64" s="91"/>
      <c r="Q64" s="92"/>
      <c r="R64" s="62"/>
      <c r="S64" s="62"/>
      <c r="T64" s="62"/>
      <c r="U64" s="62"/>
      <c r="V64" s="57"/>
      <c r="W64" s="57"/>
      <c r="X64" s="57"/>
      <c r="Y64" s="57"/>
      <c r="AA64" s="2"/>
      <c r="AB64" s="2"/>
    </row>
    <row r="65" spans="1:28" s="1" customFormat="1" ht="20.100000000000001" customHeight="1" x14ac:dyDescent="0.15">
      <c r="A65" s="61"/>
      <c r="B65" s="86" t="s">
        <v>150</v>
      </c>
      <c r="C65" s="89"/>
      <c r="D65" s="87"/>
      <c r="E65" s="78"/>
      <c r="F65" s="73"/>
      <c r="G65" s="73" t="str">
        <f t="shared" si="7"/>
        <v/>
      </c>
      <c r="H65" s="80"/>
      <c r="I65" s="73" t="str">
        <f t="shared" si="8"/>
        <v/>
      </c>
      <c r="J65" s="90"/>
      <c r="K65" s="91"/>
      <c r="L65" s="91"/>
      <c r="M65" s="91"/>
      <c r="N65" s="91"/>
      <c r="O65" s="91"/>
      <c r="P65" s="91"/>
      <c r="Q65" s="92"/>
      <c r="R65" s="93"/>
      <c r="S65" s="93"/>
      <c r="T65" s="93"/>
      <c r="U65" s="93"/>
      <c r="V65" s="88"/>
      <c r="W65" s="88"/>
      <c r="X65" s="88"/>
      <c r="Y65" s="88"/>
      <c r="AA65" s="2"/>
      <c r="AB65" s="2"/>
    </row>
    <row r="66" spans="1:28" s="1" customFormat="1" ht="15" customHeight="1" x14ac:dyDescent="0.15">
      <c r="A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AA66" s="2"/>
      <c r="AB66" s="2"/>
    </row>
    <row r="68" spans="1:28" x14ac:dyDescent="0.2">
      <c r="B68" s="30" t="s">
        <v>152</v>
      </c>
      <c r="E68" s="4"/>
      <c r="F68" s="4" t="s">
        <v>245</v>
      </c>
      <c r="G68" s="4"/>
      <c r="P68" s="30" t="s">
        <v>151</v>
      </c>
      <c r="R68" s="3"/>
      <c r="U68" s="4"/>
      <c r="V68" s="4" t="s">
        <v>246</v>
      </c>
      <c r="W68" s="4"/>
      <c r="X68" s="4"/>
    </row>
    <row r="70" spans="1:28" x14ac:dyDescent="0.2">
      <c r="B70" s="30"/>
      <c r="P70" s="30"/>
    </row>
    <row r="71" spans="1:28" x14ac:dyDescent="0.2">
      <c r="Y71" s="34" t="s">
        <v>148</v>
      </c>
    </row>
  </sheetData>
  <mergeCells count="183">
    <mergeCell ref="W4:Y4"/>
    <mergeCell ref="V52:Y52"/>
    <mergeCell ref="A3:Y3"/>
    <mergeCell ref="A4:B4"/>
    <mergeCell ref="C4:I4"/>
    <mergeCell ref="J4:O4"/>
    <mergeCell ref="P4:V4"/>
    <mergeCell ref="A5:B5"/>
    <mergeCell ref="C5:I5"/>
    <mergeCell ref="J5:O5"/>
    <mergeCell ref="P5:Q5"/>
    <mergeCell ref="S5:V5"/>
    <mergeCell ref="A7:Y7"/>
    <mergeCell ref="A8:I8"/>
    <mergeCell ref="J8:P8"/>
    <mergeCell ref="Q8:S8"/>
    <mergeCell ref="T8:V8"/>
    <mergeCell ref="W8:Y9"/>
    <mergeCell ref="C9:D9"/>
    <mergeCell ref="W5:Y5"/>
    <mergeCell ref="A6:B6"/>
    <mergeCell ref="C6:I6"/>
    <mergeCell ref="J6:O6"/>
    <mergeCell ref="W6:Y6"/>
    <mergeCell ref="S6:T6"/>
    <mergeCell ref="U6:V6"/>
    <mergeCell ref="H10:H13"/>
    <mergeCell ref="I10:I13"/>
    <mergeCell ref="W10:Y10"/>
    <mergeCell ref="W11:Y11"/>
    <mergeCell ref="W12:Y12"/>
    <mergeCell ref="W13:Y13"/>
    <mergeCell ref="A10:A13"/>
    <mergeCell ref="B10:B13"/>
    <mergeCell ref="C10:D13"/>
    <mergeCell ref="E10:E13"/>
    <mergeCell ref="F10:F13"/>
    <mergeCell ref="G10:G13"/>
    <mergeCell ref="H14:H17"/>
    <mergeCell ref="I14:I17"/>
    <mergeCell ref="W14:Y14"/>
    <mergeCell ref="W15:Y15"/>
    <mergeCell ref="W16:Y16"/>
    <mergeCell ref="W17:Y17"/>
    <mergeCell ref="A14:A17"/>
    <mergeCell ref="B14:B17"/>
    <mergeCell ref="C14:D17"/>
    <mergeCell ref="E14:E17"/>
    <mergeCell ref="F14:F17"/>
    <mergeCell ref="G14:G17"/>
    <mergeCell ref="H18:H21"/>
    <mergeCell ref="I18:I21"/>
    <mergeCell ref="W18:Y18"/>
    <mergeCell ref="W19:Y19"/>
    <mergeCell ref="W20:Y20"/>
    <mergeCell ref="W21:Y21"/>
    <mergeCell ref="A18:A21"/>
    <mergeCell ref="B18:B21"/>
    <mergeCell ref="C18:D21"/>
    <mergeCell ref="E18:E21"/>
    <mergeCell ref="F18:F21"/>
    <mergeCell ref="G18:G21"/>
    <mergeCell ref="A26:I29"/>
    <mergeCell ref="W26:Y29"/>
    <mergeCell ref="H22:H25"/>
    <mergeCell ref="I22:I25"/>
    <mergeCell ref="W22:Y22"/>
    <mergeCell ref="W23:Y23"/>
    <mergeCell ref="W24:Y24"/>
    <mergeCell ref="W25:Y25"/>
    <mergeCell ref="A22:A25"/>
    <mergeCell ref="B22:B25"/>
    <mergeCell ref="C22:D25"/>
    <mergeCell ref="E22:E25"/>
    <mergeCell ref="F22:F25"/>
    <mergeCell ref="G22:G25"/>
    <mergeCell ref="P26:P29"/>
    <mergeCell ref="A33:A37"/>
    <mergeCell ref="B33:B37"/>
    <mergeCell ref="C33:C34"/>
    <mergeCell ref="M33:M37"/>
    <mergeCell ref="N33:N37"/>
    <mergeCell ref="O33:O34"/>
    <mergeCell ref="C35:C36"/>
    <mergeCell ref="O35:O36"/>
    <mergeCell ref="A30:Y30"/>
    <mergeCell ref="A31:E31"/>
    <mergeCell ref="F31:J31"/>
    <mergeCell ref="K31:L31"/>
    <mergeCell ref="M31:P31"/>
    <mergeCell ref="Q31:V31"/>
    <mergeCell ref="W31:X31"/>
    <mergeCell ref="A43:Y43"/>
    <mergeCell ref="B44:C44"/>
    <mergeCell ref="B45:C45"/>
    <mergeCell ref="A38:A42"/>
    <mergeCell ref="B38:B42"/>
    <mergeCell ref="C38:C39"/>
    <mergeCell ref="M38:M42"/>
    <mergeCell ref="N38:N42"/>
    <mergeCell ref="O38:O39"/>
    <mergeCell ref="C40:C41"/>
    <mergeCell ref="O40:O41"/>
    <mergeCell ref="E44:F44"/>
    <mergeCell ref="G44:H44"/>
    <mergeCell ref="E45:F45"/>
    <mergeCell ref="G45:H45"/>
    <mergeCell ref="C48:D48"/>
    <mergeCell ref="J48:Q48"/>
    <mergeCell ref="C49:D49"/>
    <mergeCell ref="J49:Q49"/>
    <mergeCell ref="V49:Y49"/>
    <mergeCell ref="B46:C46"/>
    <mergeCell ref="B47:C47"/>
    <mergeCell ref="E46:F46"/>
    <mergeCell ref="G46:H46"/>
    <mergeCell ref="E47:F47"/>
    <mergeCell ref="G47:H47"/>
    <mergeCell ref="R48:S48"/>
    <mergeCell ref="T48:U48"/>
    <mergeCell ref="V48:Y48"/>
    <mergeCell ref="C54:D54"/>
    <mergeCell ref="J54:Q54"/>
    <mergeCell ref="C55:D55"/>
    <mergeCell ref="C50:D50"/>
    <mergeCell ref="J50:Q50"/>
    <mergeCell ref="V50:Y50"/>
    <mergeCell ref="C51:D51"/>
    <mergeCell ref="J51:Q51"/>
    <mergeCell ref="R51:U51"/>
    <mergeCell ref="V51:Y51"/>
    <mergeCell ref="J55:Q55"/>
    <mergeCell ref="R55:U55"/>
    <mergeCell ref="V55:Y55"/>
    <mergeCell ref="C52:D52"/>
    <mergeCell ref="J52:Q52"/>
    <mergeCell ref="C53:D53"/>
    <mergeCell ref="J53:Q53"/>
    <mergeCell ref="R52:S52"/>
    <mergeCell ref="T52:U52"/>
    <mergeCell ref="B65:D65"/>
    <mergeCell ref="J65:Q65"/>
    <mergeCell ref="R65:U65"/>
    <mergeCell ref="V65:Y65"/>
    <mergeCell ref="C58:D58"/>
    <mergeCell ref="J58:Q58"/>
    <mergeCell ref="R58:U58"/>
    <mergeCell ref="V58:Y58"/>
    <mergeCell ref="B59:D59"/>
    <mergeCell ref="J59:Q59"/>
    <mergeCell ref="R59:U59"/>
    <mergeCell ref="V59:Y59"/>
    <mergeCell ref="V60:Y60"/>
    <mergeCell ref="V61:Y61"/>
    <mergeCell ref="V62:Y62"/>
    <mergeCell ref="J63:Q63"/>
    <mergeCell ref="J64:Q64"/>
    <mergeCell ref="B63:D63"/>
    <mergeCell ref="B64:D64"/>
    <mergeCell ref="T50:U50"/>
    <mergeCell ref="R50:S50"/>
    <mergeCell ref="T49:U49"/>
    <mergeCell ref="T53:U53"/>
    <mergeCell ref="V56:Y56"/>
    <mergeCell ref="V57:Y57"/>
    <mergeCell ref="B60:D60"/>
    <mergeCell ref="B61:D61"/>
    <mergeCell ref="B62:D62"/>
    <mergeCell ref="J60:Q60"/>
    <mergeCell ref="J61:Q61"/>
    <mergeCell ref="J62:Q62"/>
    <mergeCell ref="R60:U60"/>
    <mergeCell ref="R61:U61"/>
    <mergeCell ref="J56:Q56"/>
    <mergeCell ref="J57:Q57"/>
    <mergeCell ref="R56:U56"/>
    <mergeCell ref="R57:U57"/>
    <mergeCell ref="R62:U62"/>
    <mergeCell ref="C56:D56"/>
    <mergeCell ref="C57:D57"/>
    <mergeCell ref="V53:Y53"/>
    <mergeCell ref="R54:U54"/>
    <mergeCell ref="V54:Y54"/>
  </mergeCells>
  <conditionalFormatting sqref="Y2">
    <cfRule type="cellIs" dxfId="1" priority="1" operator="equal">
      <formula>"MONITOR"</formula>
    </cfRule>
    <cfRule type="cellIs" dxfId="0" priority="2" operator="equal">
      <formula>"DEFECT"</formula>
    </cfRule>
  </conditionalFormatting>
  <dataValidations count="7">
    <dataValidation type="list" allowBlank="1" showInputMessage="1" sqref="E10:E25" xr:uid="{782D4547-A330-4CCE-9E32-6EFBEFD18435}">
      <formula1>"OPEN,CLOSE"</formula1>
    </dataValidation>
    <dataValidation type="list" allowBlank="1" showInputMessage="1" showErrorMessage="1" sqref="C33:C36 C38:C41 O33:O36 O38:O41" xr:uid="{9D13D708-3021-4E6A-9242-95C0C6B2148F}">
      <formula1>"XLPE,PILC"</formula1>
    </dataValidation>
    <dataValidation type="list" allowBlank="1" showInputMessage="1" showErrorMessage="1" sqref="Y2" xr:uid="{37F34F9A-821B-48DF-93A8-9DCB328E48C2}">
      <formula1>"NORMAL,DEFECT,MONITOR"</formula1>
    </dataValidation>
    <dataValidation type="list" allowBlank="1" showInputMessage="1" sqref="R48:S48 R52:S52" xr:uid="{4B09C5B3-7664-4D57-9FE5-501D3CA87563}">
      <formula1>"LVDB,FP"</formula1>
    </dataValidation>
    <dataValidation type="list" allowBlank="1" showInputMessage="1" showErrorMessage="1" sqref="T48:U48 T52:U52" xr:uid="{0DDB4221-D1BD-4466-A5D9-CC9A294EF20F}">
      <formula1>"TX1,TX2,TX3,TX4"</formula1>
    </dataValidation>
    <dataValidation type="list" allowBlank="1" showInputMessage="1" showErrorMessage="1" sqref="V48:Y48 V52:Y52" xr:uid="{4058432A-107F-4627-B6C7-F35C5CFAAF58}">
      <formula1>"J-SLOTTED,DIN TYPE"</formula1>
    </dataValidation>
    <dataValidation type="list" allowBlank="1" showInputMessage="1" sqref="G10:G25" xr:uid="{C2837FE6-BEF7-469B-BDD0-FC12CB8023B1}">
      <formula1>"XLPE,PILC,N/A,NOT ACCESSIBLE"</formula1>
    </dataValidation>
  </dataValidations>
  <printOptions horizontalCentered="1" verticalCentered="1"/>
  <pageMargins left="0" right="0" top="0" bottom="0" header="0" footer="0"/>
  <pageSetup scale="45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xr:uid="{B34E2075-F53F-4BB0-9584-6E98F16D6578}">
          <x14:formula1>
            <xm:f>equipment_library!$O$2:$O$6</xm:f>
          </x14:formula1>
          <xm:sqref>V51:Y51 V55:Y55</xm:sqref>
        </x14:dataValidation>
        <x14:dataValidation type="list" allowBlank="1" showInputMessage="1" xr:uid="{E495163F-647B-4C77-8F3F-6D6A3E227A00}">
          <x14:formula1>
            <xm:f>equipment_library!$E$2:$E$5</xm:f>
          </x14:formula1>
          <xm:sqref>D45:R45 D47:R47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  <pageSetUpPr fitToPage="1"/>
  </sheetPr>
  <dimension ref="B1:P53"/>
  <sheetViews>
    <sheetView showGridLines="0" topLeftCell="A23" zoomScale="82" zoomScaleNormal="82" workbookViewId="0">
      <selection activeCell="H17" sqref="H17"/>
    </sheetView>
  </sheetViews>
  <sheetFormatPr defaultRowHeight="15" x14ac:dyDescent="0.25"/>
  <cols>
    <col min="2" max="2" width="31.28515625" customWidth="1"/>
    <col min="6" max="6" width="11.42578125" customWidth="1"/>
    <col min="8" max="8" width="11.28515625" customWidth="1"/>
    <col min="10" max="10" width="18.140625" customWidth="1"/>
    <col min="11" max="13" width="9.140625" customWidth="1"/>
    <col min="14" max="14" width="10.85546875" customWidth="1"/>
    <col min="15" max="15" width="20.85546875" customWidth="1"/>
    <col min="258" max="258" width="31.28515625" customWidth="1"/>
    <col min="262" max="262" width="11.42578125" customWidth="1"/>
    <col min="264" max="264" width="11.28515625" customWidth="1"/>
    <col min="266" max="266" width="18.140625" customWidth="1"/>
    <col min="267" max="269" width="9.140625" customWidth="1"/>
    <col min="270" max="270" width="10.85546875" customWidth="1"/>
    <col min="271" max="271" width="20.85546875" customWidth="1"/>
    <col min="514" max="514" width="31.28515625" customWidth="1"/>
    <col min="518" max="518" width="11.42578125" customWidth="1"/>
    <col min="520" max="520" width="11.28515625" customWidth="1"/>
    <col min="522" max="522" width="18.140625" customWidth="1"/>
    <col min="523" max="525" width="9.140625" customWidth="1"/>
    <col min="526" max="526" width="10.85546875" customWidth="1"/>
    <col min="527" max="527" width="20.85546875" customWidth="1"/>
    <col min="770" max="770" width="31.28515625" customWidth="1"/>
    <col min="774" max="774" width="11.42578125" customWidth="1"/>
    <col min="776" max="776" width="11.28515625" customWidth="1"/>
    <col min="778" max="778" width="18.140625" customWidth="1"/>
    <col min="779" max="781" width="9.140625" customWidth="1"/>
    <col min="782" max="782" width="10.85546875" customWidth="1"/>
    <col min="783" max="783" width="20.85546875" customWidth="1"/>
    <col min="1026" max="1026" width="31.28515625" customWidth="1"/>
    <col min="1030" max="1030" width="11.42578125" customWidth="1"/>
    <col min="1032" max="1032" width="11.28515625" customWidth="1"/>
    <col min="1034" max="1034" width="18.140625" customWidth="1"/>
    <col min="1035" max="1037" width="9.140625" customWidth="1"/>
    <col min="1038" max="1038" width="10.85546875" customWidth="1"/>
    <col min="1039" max="1039" width="20.85546875" customWidth="1"/>
    <col min="1282" max="1282" width="31.28515625" customWidth="1"/>
    <col min="1286" max="1286" width="11.42578125" customWidth="1"/>
    <col min="1288" max="1288" width="11.28515625" customWidth="1"/>
    <col min="1290" max="1290" width="18.140625" customWidth="1"/>
    <col min="1291" max="1293" width="9.140625" customWidth="1"/>
    <col min="1294" max="1294" width="10.85546875" customWidth="1"/>
    <col min="1295" max="1295" width="20.85546875" customWidth="1"/>
    <col min="1538" max="1538" width="31.28515625" customWidth="1"/>
    <col min="1542" max="1542" width="11.42578125" customWidth="1"/>
    <col min="1544" max="1544" width="11.28515625" customWidth="1"/>
    <col min="1546" max="1546" width="18.140625" customWidth="1"/>
    <col min="1547" max="1549" width="9.140625" customWidth="1"/>
    <col min="1550" max="1550" width="10.85546875" customWidth="1"/>
    <col min="1551" max="1551" width="20.85546875" customWidth="1"/>
    <col min="1794" max="1794" width="31.28515625" customWidth="1"/>
    <col min="1798" max="1798" width="11.42578125" customWidth="1"/>
    <col min="1800" max="1800" width="11.28515625" customWidth="1"/>
    <col min="1802" max="1802" width="18.140625" customWidth="1"/>
    <col min="1803" max="1805" width="9.140625" customWidth="1"/>
    <col min="1806" max="1806" width="10.85546875" customWidth="1"/>
    <col min="1807" max="1807" width="20.85546875" customWidth="1"/>
    <col min="2050" max="2050" width="31.28515625" customWidth="1"/>
    <col min="2054" max="2054" width="11.42578125" customWidth="1"/>
    <col min="2056" max="2056" width="11.28515625" customWidth="1"/>
    <col min="2058" max="2058" width="18.140625" customWidth="1"/>
    <col min="2059" max="2061" width="9.140625" customWidth="1"/>
    <col min="2062" max="2062" width="10.85546875" customWidth="1"/>
    <col min="2063" max="2063" width="20.85546875" customWidth="1"/>
    <col min="2306" max="2306" width="31.28515625" customWidth="1"/>
    <col min="2310" max="2310" width="11.42578125" customWidth="1"/>
    <col min="2312" max="2312" width="11.28515625" customWidth="1"/>
    <col min="2314" max="2314" width="18.140625" customWidth="1"/>
    <col min="2315" max="2317" width="9.140625" customWidth="1"/>
    <col min="2318" max="2318" width="10.85546875" customWidth="1"/>
    <col min="2319" max="2319" width="20.85546875" customWidth="1"/>
    <col min="2562" max="2562" width="31.28515625" customWidth="1"/>
    <col min="2566" max="2566" width="11.42578125" customWidth="1"/>
    <col min="2568" max="2568" width="11.28515625" customWidth="1"/>
    <col min="2570" max="2570" width="18.140625" customWidth="1"/>
    <col min="2571" max="2573" width="9.140625" customWidth="1"/>
    <col min="2574" max="2574" width="10.85546875" customWidth="1"/>
    <col min="2575" max="2575" width="20.85546875" customWidth="1"/>
    <col min="2818" max="2818" width="31.28515625" customWidth="1"/>
    <col min="2822" max="2822" width="11.42578125" customWidth="1"/>
    <col min="2824" max="2824" width="11.28515625" customWidth="1"/>
    <col min="2826" max="2826" width="18.140625" customWidth="1"/>
    <col min="2827" max="2829" width="9.140625" customWidth="1"/>
    <col min="2830" max="2830" width="10.85546875" customWidth="1"/>
    <col min="2831" max="2831" width="20.85546875" customWidth="1"/>
    <col min="3074" max="3074" width="31.28515625" customWidth="1"/>
    <col min="3078" max="3078" width="11.42578125" customWidth="1"/>
    <col min="3080" max="3080" width="11.28515625" customWidth="1"/>
    <col min="3082" max="3082" width="18.140625" customWidth="1"/>
    <col min="3083" max="3085" width="9.140625" customWidth="1"/>
    <col min="3086" max="3086" width="10.85546875" customWidth="1"/>
    <col min="3087" max="3087" width="20.85546875" customWidth="1"/>
    <col min="3330" max="3330" width="31.28515625" customWidth="1"/>
    <col min="3334" max="3334" width="11.42578125" customWidth="1"/>
    <col min="3336" max="3336" width="11.28515625" customWidth="1"/>
    <col min="3338" max="3338" width="18.140625" customWidth="1"/>
    <col min="3339" max="3341" width="9.140625" customWidth="1"/>
    <col min="3342" max="3342" width="10.85546875" customWidth="1"/>
    <col min="3343" max="3343" width="20.85546875" customWidth="1"/>
    <col min="3586" max="3586" width="31.28515625" customWidth="1"/>
    <col min="3590" max="3590" width="11.42578125" customWidth="1"/>
    <col min="3592" max="3592" width="11.28515625" customWidth="1"/>
    <col min="3594" max="3594" width="18.140625" customWidth="1"/>
    <col min="3595" max="3597" width="9.140625" customWidth="1"/>
    <col min="3598" max="3598" width="10.85546875" customWidth="1"/>
    <col min="3599" max="3599" width="20.85546875" customWidth="1"/>
    <col min="3842" max="3842" width="31.28515625" customWidth="1"/>
    <col min="3846" max="3846" width="11.42578125" customWidth="1"/>
    <col min="3848" max="3848" width="11.28515625" customWidth="1"/>
    <col min="3850" max="3850" width="18.140625" customWidth="1"/>
    <col min="3851" max="3853" width="9.140625" customWidth="1"/>
    <col min="3854" max="3854" width="10.85546875" customWidth="1"/>
    <col min="3855" max="3855" width="20.85546875" customWidth="1"/>
    <col min="4098" max="4098" width="31.28515625" customWidth="1"/>
    <col min="4102" max="4102" width="11.42578125" customWidth="1"/>
    <col min="4104" max="4104" width="11.28515625" customWidth="1"/>
    <col min="4106" max="4106" width="18.140625" customWidth="1"/>
    <col min="4107" max="4109" width="9.140625" customWidth="1"/>
    <col min="4110" max="4110" width="10.85546875" customWidth="1"/>
    <col min="4111" max="4111" width="20.85546875" customWidth="1"/>
    <col min="4354" max="4354" width="31.28515625" customWidth="1"/>
    <col min="4358" max="4358" width="11.42578125" customWidth="1"/>
    <col min="4360" max="4360" width="11.28515625" customWidth="1"/>
    <col min="4362" max="4362" width="18.140625" customWidth="1"/>
    <col min="4363" max="4365" width="9.140625" customWidth="1"/>
    <col min="4366" max="4366" width="10.85546875" customWidth="1"/>
    <col min="4367" max="4367" width="20.85546875" customWidth="1"/>
    <col min="4610" max="4610" width="31.28515625" customWidth="1"/>
    <col min="4614" max="4614" width="11.42578125" customWidth="1"/>
    <col min="4616" max="4616" width="11.28515625" customWidth="1"/>
    <col min="4618" max="4618" width="18.140625" customWidth="1"/>
    <col min="4619" max="4621" width="9.140625" customWidth="1"/>
    <col min="4622" max="4622" width="10.85546875" customWidth="1"/>
    <col min="4623" max="4623" width="20.85546875" customWidth="1"/>
    <col min="4866" max="4866" width="31.28515625" customWidth="1"/>
    <col min="4870" max="4870" width="11.42578125" customWidth="1"/>
    <col min="4872" max="4872" width="11.28515625" customWidth="1"/>
    <col min="4874" max="4874" width="18.140625" customWidth="1"/>
    <col min="4875" max="4877" width="9.140625" customWidth="1"/>
    <col min="4878" max="4878" width="10.85546875" customWidth="1"/>
    <col min="4879" max="4879" width="20.85546875" customWidth="1"/>
    <col min="5122" max="5122" width="31.28515625" customWidth="1"/>
    <col min="5126" max="5126" width="11.42578125" customWidth="1"/>
    <col min="5128" max="5128" width="11.28515625" customWidth="1"/>
    <col min="5130" max="5130" width="18.140625" customWidth="1"/>
    <col min="5131" max="5133" width="9.140625" customWidth="1"/>
    <col min="5134" max="5134" width="10.85546875" customWidth="1"/>
    <col min="5135" max="5135" width="20.85546875" customWidth="1"/>
    <col min="5378" max="5378" width="31.28515625" customWidth="1"/>
    <col min="5382" max="5382" width="11.42578125" customWidth="1"/>
    <col min="5384" max="5384" width="11.28515625" customWidth="1"/>
    <col min="5386" max="5386" width="18.140625" customWidth="1"/>
    <col min="5387" max="5389" width="9.140625" customWidth="1"/>
    <col min="5390" max="5390" width="10.85546875" customWidth="1"/>
    <col min="5391" max="5391" width="20.85546875" customWidth="1"/>
    <col min="5634" max="5634" width="31.28515625" customWidth="1"/>
    <col min="5638" max="5638" width="11.42578125" customWidth="1"/>
    <col min="5640" max="5640" width="11.28515625" customWidth="1"/>
    <col min="5642" max="5642" width="18.140625" customWidth="1"/>
    <col min="5643" max="5645" width="9.140625" customWidth="1"/>
    <col min="5646" max="5646" width="10.85546875" customWidth="1"/>
    <col min="5647" max="5647" width="20.85546875" customWidth="1"/>
    <col min="5890" max="5890" width="31.28515625" customWidth="1"/>
    <col min="5894" max="5894" width="11.42578125" customWidth="1"/>
    <col min="5896" max="5896" width="11.28515625" customWidth="1"/>
    <col min="5898" max="5898" width="18.140625" customWidth="1"/>
    <col min="5899" max="5901" width="9.140625" customWidth="1"/>
    <col min="5902" max="5902" width="10.85546875" customWidth="1"/>
    <col min="5903" max="5903" width="20.85546875" customWidth="1"/>
    <col min="6146" max="6146" width="31.28515625" customWidth="1"/>
    <col min="6150" max="6150" width="11.42578125" customWidth="1"/>
    <col min="6152" max="6152" width="11.28515625" customWidth="1"/>
    <col min="6154" max="6154" width="18.140625" customWidth="1"/>
    <col min="6155" max="6157" width="9.140625" customWidth="1"/>
    <col min="6158" max="6158" width="10.85546875" customWidth="1"/>
    <col min="6159" max="6159" width="20.85546875" customWidth="1"/>
    <col min="6402" max="6402" width="31.28515625" customWidth="1"/>
    <col min="6406" max="6406" width="11.42578125" customWidth="1"/>
    <col min="6408" max="6408" width="11.28515625" customWidth="1"/>
    <col min="6410" max="6410" width="18.140625" customWidth="1"/>
    <col min="6411" max="6413" width="9.140625" customWidth="1"/>
    <col min="6414" max="6414" width="10.85546875" customWidth="1"/>
    <col min="6415" max="6415" width="20.85546875" customWidth="1"/>
    <col min="6658" max="6658" width="31.28515625" customWidth="1"/>
    <col min="6662" max="6662" width="11.42578125" customWidth="1"/>
    <col min="6664" max="6664" width="11.28515625" customWidth="1"/>
    <col min="6666" max="6666" width="18.140625" customWidth="1"/>
    <col min="6667" max="6669" width="9.140625" customWidth="1"/>
    <col min="6670" max="6670" width="10.85546875" customWidth="1"/>
    <col min="6671" max="6671" width="20.85546875" customWidth="1"/>
    <col min="6914" max="6914" width="31.28515625" customWidth="1"/>
    <col min="6918" max="6918" width="11.42578125" customWidth="1"/>
    <col min="6920" max="6920" width="11.28515625" customWidth="1"/>
    <col min="6922" max="6922" width="18.140625" customWidth="1"/>
    <col min="6923" max="6925" width="9.140625" customWidth="1"/>
    <col min="6926" max="6926" width="10.85546875" customWidth="1"/>
    <col min="6927" max="6927" width="20.85546875" customWidth="1"/>
    <col min="7170" max="7170" width="31.28515625" customWidth="1"/>
    <col min="7174" max="7174" width="11.42578125" customWidth="1"/>
    <col min="7176" max="7176" width="11.28515625" customWidth="1"/>
    <col min="7178" max="7178" width="18.140625" customWidth="1"/>
    <col min="7179" max="7181" width="9.140625" customWidth="1"/>
    <col min="7182" max="7182" width="10.85546875" customWidth="1"/>
    <col min="7183" max="7183" width="20.85546875" customWidth="1"/>
    <col min="7426" max="7426" width="31.28515625" customWidth="1"/>
    <col min="7430" max="7430" width="11.42578125" customWidth="1"/>
    <col min="7432" max="7432" width="11.28515625" customWidth="1"/>
    <col min="7434" max="7434" width="18.140625" customWidth="1"/>
    <col min="7435" max="7437" width="9.140625" customWidth="1"/>
    <col min="7438" max="7438" width="10.85546875" customWidth="1"/>
    <col min="7439" max="7439" width="20.85546875" customWidth="1"/>
    <col min="7682" max="7682" width="31.28515625" customWidth="1"/>
    <col min="7686" max="7686" width="11.42578125" customWidth="1"/>
    <col min="7688" max="7688" width="11.28515625" customWidth="1"/>
    <col min="7690" max="7690" width="18.140625" customWidth="1"/>
    <col min="7691" max="7693" width="9.140625" customWidth="1"/>
    <col min="7694" max="7694" width="10.85546875" customWidth="1"/>
    <col min="7695" max="7695" width="20.85546875" customWidth="1"/>
    <col min="7938" max="7938" width="31.28515625" customWidth="1"/>
    <col min="7942" max="7942" width="11.42578125" customWidth="1"/>
    <col min="7944" max="7944" width="11.28515625" customWidth="1"/>
    <col min="7946" max="7946" width="18.140625" customWidth="1"/>
    <col min="7947" max="7949" width="9.140625" customWidth="1"/>
    <col min="7950" max="7950" width="10.85546875" customWidth="1"/>
    <col min="7951" max="7951" width="20.85546875" customWidth="1"/>
    <col min="8194" max="8194" width="31.28515625" customWidth="1"/>
    <col min="8198" max="8198" width="11.42578125" customWidth="1"/>
    <col min="8200" max="8200" width="11.28515625" customWidth="1"/>
    <col min="8202" max="8202" width="18.140625" customWidth="1"/>
    <col min="8203" max="8205" width="9.140625" customWidth="1"/>
    <col min="8206" max="8206" width="10.85546875" customWidth="1"/>
    <col min="8207" max="8207" width="20.85546875" customWidth="1"/>
    <col min="8450" max="8450" width="31.28515625" customWidth="1"/>
    <col min="8454" max="8454" width="11.42578125" customWidth="1"/>
    <col min="8456" max="8456" width="11.28515625" customWidth="1"/>
    <col min="8458" max="8458" width="18.140625" customWidth="1"/>
    <col min="8459" max="8461" width="9.140625" customWidth="1"/>
    <col min="8462" max="8462" width="10.85546875" customWidth="1"/>
    <col min="8463" max="8463" width="20.85546875" customWidth="1"/>
    <col min="8706" max="8706" width="31.28515625" customWidth="1"/>
    <col min="8710" max="8710" width="11.42578125" customWidth="1"/>
    <col min="8712" max="8712" width="11.28515625" customWidth="1"/>
    <col min="8714" max="8714" width="18.140625" customWidth="1"/>
    <col min="8715" max="8717" width="9.140625" customWidth="1"/>
    <col min="8718" max="8718" width="10.85546875" customWidth="1"/>
    <col min="8719" max="8719" width="20.85546875" customWidth="1"/>
    <col min="8962" max="8962" width="31.28515625" customWidth="1"/>
    <col min="8966" max="8966" width="11.42578125" customWidth="1"/>
    <col min="8968" max="8968" width="11.28515625" customWidth="1"/>
    <col min="8970" max="8970" width="18.140625" customWidth="1"/>
    <col min="8971" max="8973" width="9.140625" customWidth="1"/>
    <col min="8974" max="8974" width="10.85546875" customWidth="1"/>
    <col min="8975" max="8975" width="20.85546875" customWidth="1"/>
    <col min="9218" max="9218" width="31.28515625" customWidth="1"/>
    <col min="9222" max="9222" width="11.42578125" customWidth="1"/>
    <col min="9224" max="9224" width="11.28515625" customWidth="1"/>
    <col min="9226" max="9226" width="18.140625" customWidth="1"/>
    <col min="9227" max="9229" width="9.140625" customWidth="1"/>
    <col min="9230" max="9230" width="10.85546875" customWidth="1"/>
    <col min="9231" max="9231" width="20.85546875" customWidth="1"/>
    <col min="9474" max="9474" width="31.28515625" customWidth="1"/>
    <col min="9478" max="9478" width="11.42578125" customWidth="1"/>
    <col min="9480" max="9480" width="11.28515625" customWidth="1"/>
    <col min="9482" max="9482" width="18.140625" customWidth="1"/>
    <col min="9483" max="9485" width="9.140625" customWidth="1"/>
    <col min="9486" max="9486" width="10.85546875" customWidth="1"/>
    <col min="9487" max="9487" width="20.85546875" customWidth="1"/>
    <col min="9730" max="9730" width="31.28515625" customWidth="1"/>
    <col min="9734" max="9734" width="11.42578125" customWidth="1"/>
    <col min="9736" max="9736" width="11.28515625" customWidth="1"/>
    <col min="9738" max="9738" width="18.140625" customWidth="1"/>
    <col min="9739" max="9741" width="9.140625" customWidth="1"/>
    <col min="9742" max="9742" width="10.85546875" customWidth="1"/>
    <col min="9743" max="9743" width="20.85546875" customWidth="1"/>
    <col min="9986" max="9986" width="31.28515625" customWidth="1"/>
    <col min="9990" max="9990" width="11.42578125" customWidth="1"/>
    <col min="9992" max="9992" width="11.28515625" customWidth="1"/>
    <col min="9994" max="9994" width="18.140625" customWidth="1"/>
    <col min="9995" max="9997" width="9.140625" customWidth="1"/>
    <col min="9998" max="9998" width="10.85546875" customWidth="1"/>
    <col min="9999" max="9999" width="20.85546875" customWidth="1"/>
    <col min="10242" max="10242" width="31.28515625" customWidth="1"/>
    <col min="10246" max="10246" width="11.42578125" customWidth="1"/>
    <col min="10248" max="10248" width="11.28515625" customWidth="1"/>
    <col min="10250" max="10250" width="18.140625" customWidth="1"/>
    <col min="10251" max="10253" width="9.140625" customWidth="1"/>
    <col min="10254" max="10254" width="10.85546875" customWidth="1"/>
    <col min="10255" max="10255" width="20.85546875" customWidth="1"/>
    <col min="10498" max="10498" width="31.28515625" customWidth="1"/>
    <col min="10502" max="10502" width="11.42578125" customWidth="1"/>
    <col min="10504" max="10504" width="11.28515625" customWidth="1"/>
    <col min="10506" max="10506" width="18.140625" customWidth="1"/>
    <col min="10507" max="10509" width="9.140625" customWidth="1"/>
    <col min="10510" max="10510" width="10.85546875" customWidth="1"/>
    <col min="10511" max="10511" width="20.85546875" customWidth="1"/>
    <col min="10754" max="10754" width="31.28515625" customWidth="1"/>
    <col min="10758" max="10758" width="11.42578125" customWidth="1"/>
    <col min="10760" max="10760" width="11.28515625" customWidth="1"/>
    <col min="10762" max="10762" width="18.140625" customWidth="1"/>
    <col min="10763" max="10765" width="9.140625" customWidth="1"/>
    <col min="10766" max="10766" width="10.85546875" customWidth="1"/>
    <col min="10767" max="10767" width="20.85546875" customWidth="1"/>
    <col min="11010" max="11010" width="31.28515625" customWidth="1"/>
    <col min="11014" max="11014" width="11.42578125" customWidth="1"/>
    <col min="11016" max="11016" width="11.28515625" customWidth="1"/>
    <col min="11018" max="11018" width="18.140625" customWidth="1"/>
    <col min="11019" max="11021" width="9.140625" customWidth="1"/>
    <col min="11022" max="11022" width="10.85546875" customWidth="1"/>
    <col min="11023" max="11023" width="20.85546875" customWidth="1"/>
    <col min="11266" max="11266" width="31.28515625" customWidth="1"/>
    <col min="11270" max="11270" width="11.42578125" customWidth="1"/>
    <col min="11272" max="11272" width="11.28515625" customWidth="1"/>
    <col min="11274" max="11274" width="18.140625" customWidth="1"/>
    <col min="11275" max="11277" width="9.140625" customWidth="1"/>
    <col min="11278" max="11278" width="10.85546875" customWidth="1"/>
    <col min="11279" max="11279" width="20.85546875" customWidth="1"/>
    <col min="11522" max="11522" width="31.28515625" customWidth="1"/>
    <col min="11526" max="11526" width="11.42578125" customWidth="1"/>
    <col min="11528" max="11528" width="11.28515625" customWidth="1"/>
    <col min="11530" max="11530" width="18.140625" customWidth="1"/>
    <col min="11531" max="11533" width="9.140625" customWidth="1"/>
    <col min="11534" max="11534" width="10.85546875" customWidth="1"/>
    <col min="11535" max="11535" width="20.85546875" customWidth="1"/>
    <col min="11778" max="11778" width="31.28515625" customWidth="1"/>
    <col min="11782" max="11782" width="11.42578125" customWidth="1"/>
    <col min="11784" max="11784" width="11.28515625" customWidth="1"/>
    <col min="11786" max="11786" width="18.140625" customWidth="1"/>
    <col min="11787" max="11789" width="9.140625" customWidth="1"/>
    <col min="11790" max="11790" width="10.85546875" customWidth="1"/>
    <col min="11791" max="11791" width="20.85546875" customWidth="1"/>
    <col min="12034" max="12034" width="31.28515625" customWidth="1"/>
    <col min="12038" max="12038" width="11.42578125" customWidth="1"/>
    <col min="12040" max="12040" width="11.28515625" customWidth="1"/>
    <col min="12042" max="12042" width="18.140625" customWidth="1"/>
    <col min="12043" max="12045" width="9.140625" customWidth="1"/>
    <col min="12046" max="12046" width="10.85546875" customWidth="1"/>
    <col min="12047" max="12047" width="20.85546875" customWidth="1"/>
    <col min="12290" max="12290" width="31.28515625" customWidth="1"/>
    <col min="12294" max="12294" width="11.42578125" customWidth="1"/>
    <col min="12296" max="12296" width="11.28515625" customWidth="1"/>
    <col min="12298" max="12298" width="18.140625" customWidth="1"/>
    <col min="12299" max="12301" width="9.140625" customWidth="1"/>
    <col min="12302" max="12302" width="10.85546875" customWidth="1"/>
    <col min="12303" max="12303" width="20.85546875" customWidth="1"/>
    <col min="12546" max="12546" width="31.28515625" customWidth="1"/>
    <col min="12550" max="12550" width="11.42578125" customWidth="1"/>
    <col min="12552" max="12552" width="11.28515625" customWidth="1"/>
    <col min="12554" max="12554" width="18.140625" customWidth="1"/>
    <col min="12555" max="12557" width="9.140625" customWidth="1"/>
    <col min="12558" max="12558" width="10.85546875" customWidth="1"/>
    <col min="12559" max="12559" width="20.85546875" customWidth="1"/>
    <col min="12802" max="12802" width="31.28515625" customWidth="1"/>
    <col min="12806" max="12806" width="11.42578125" customWidth="1"/>
    <col min="12808" max="12808" width="11.28515625" customWidth="1"/>
    <col min="12810" max="12810" width="18.140625" customWidth="1"/>
    <col min="12811" max="12813" width="9.140625" customWidth="1"/>
    <col min="12814" max="12814" width="10.85546875" customWidth="1"/>
    <col min="12815" max="12815" width="20.85546875" customWidth="1"/>
    <col min="13058" max="13058" width="31.28515625" customWidth="1"/>
    <col min="13062" max="13062" width="11.42578125" customWidth="1"/>
    <col min="13064" max="13064" width="11.28515625" customWidth="1"/>
    <col min="13066" max="13066" width="18.140625" customWidth="1"/>
    <col min="13067" max="13069" width="9.140625" customWidth="1"/>
    <col min="13070" max="13070" width="10.85546875" customWidth="1"/>
    <col min="13071" max="13071" width="20.85546875" customWidth="1"/>
    <col min="13314" max="13314" width="31.28515625" customWidth="1"/>
    <col min="13318" max="13318" width="11.42578125" customWidth="1"/>
    <col min="13320" max="13320" width="11.28515625" customWidth="1"/>
    <col min="13322" max="13322" width="18.140625" customWidth="1"/>
    <col min="13323" max="13325" width="9.140625" customWidth="1"/>
    <col min="13326" max="13326" width="10.85546875" customWidth="1"/>
    <col min="13327" max="13327" width="20.85546875" customWidth="1"/>
    <col min="13570" max="13570" width="31.28515625" customWidth="1"/>
    <col min="13574" max="13574" width="11.42578125" customWidth="1"/>
    <col min="13576" max="13576" width="11.28515625" customWidth="1"/>
    <col min="13578" max="13578" width="18.140625" customWidth="1"/>
    <col min="13579" max="13581" width="9.140625" customWidth="1"/>
    <col min="13582" max="13582" width="10.85546875" customWidth="1"/>
    <col min="13583" max="13583" width="20.85546875" customWidth="1"/>
    <col min="13826" max="13826" width="31.28515625" customWidth="1"/>
    <col min="13830" max="13830" width="11.42578125" customWidth="1"/>
    <col min="13832" max="13832" width="11.28515625" customWidth="1"/>
    <col min="13834" max="13834" width="18.140625" customWidth="1"/>
    <col min="13835" max="13837" width="9.140625" customWidth="1"/>
    <col min="13838" max="13838" width="10.85546875" customWidth="1"/>
    <col min="13839" max="13839" width="20.85546875" customWidth="1"/>
    <col min="14082" max="14082" width="31.28515625" customWidth="1"/>
    <col min="14086" max="14086" width="11.42578125" customWidth="1"/>
    <col min="14088" max="14088" width="11.28515625" customWidth="1"/>
    <col min="14090" max="14090" width="18.140625" customWidth="1"/>
    <col min="14091" max="14093" width="9.140625" customWidth="1"/>
    <col min="14094" max="14094" width="10.85546875" customWidth="1"/>
    <col min="14095" max="14095" width="20.85546875" customWidth="1"/>
    <col min="14338" max="14338" width="31.28515625" customWidth="1"/>
    <col min="14342" max="14342" width="11.42578125" customWidth="1"/>
    <col min="14344" max="14344" width="11.28515625" customWidth="1"/>
    <col min="14346" max="14346" width="18.140625" customWidth="1"/>
    <col min="14347" max="14349" width="9.140625" customWidth="1"/>
    <col min="14350" max="14350" width="10.85546875" customWidth="1"/>
    <col min="14351" max="14351" width="20.85546875" customWidth="1"/>
    <col min="14594" max="14594" width="31.28515625" customWidth="1"/>
    <col min="14598" max="14598" width="11.42578125" customWidth="1"/>
    <col min="14600" max="14600" width="11.28515625" customWidth="1"/>
    <col min="14602" max="14602" width="18.140625" customWidth="1"/>
    <col min="14603" max="14605" width="9.140625" customWidth="1"/>
    <col min="14606" max="14606" width="10.85546875" customWidth="1"/>
    <col min="14607" max="14607" width="20.85546875" customWidth="1"/>
    <col min="14850" max="14850" width="31.28515625" customWidth="1"/>
    <col min="14854" max="14854" width="11.42578125" customWidth="1"/>
    <col min="14856" max="14856" width="11.28515625" customWidth="1"/>
    <col min="14858" max="14858" width="18.140625" customWidth="1"/>
    <col min="14859" max="14861" width="9.140625" customWidth="1"/>
    <col min="14862" max="14862" width="10.85546875" customWidth="1"/>
    <col min="14863" max="14863" width="20.85546875" customWidth="1"/>
    <col min="15106" max="15106" width="31.28515625" customWidth="1"/>
    <col min="15110" max="15110" width="11.42578125" customWidth="1"/>
    <col min="15112" max="15112" width="11.28515625" customWidth="1"/>
    <col min="15114" max="15114" width="18.140625" customWidth="1"/>
    <col min="15115" max="15117" width="9.140625" customWidth="1"/>
    <col min="15118" max="15118" width="10.85546875" customWidth="1"/>
    <col min="15119" max="15119" width="20.85546875" customWidth="1"/>
    <col min="15362" max="15362" width="31.28515625" customWidth="1"/>
    <col min="15366" max="15366" width="11.42578125" customWidth="1"/>
    <col min="15368" max="15368" width="11.28515625" customWidth="1"/>
    <col min="15370" max="15370" width="18.140625" customWidth="1"/>
    <col min="15371" max="15373" width="9.140625" customWidth="1"/>
    <col min="15374" max="15374" width="10.85546875" customWidth="1"/>
    <col min="15375" max="15375" width="20.85546875" customWidth="1"/>
    <col min="15618" max="15618" width="31.28515625" customWidth="1"/>
    <col min="15622" max="15622" width="11.42578125" customWidth="1"/>
    <col min="15624" max="15624" width="11.28515625" customWidth="1"/>
    <col min="15626" max="15626" width="18.140625" customWidth="1"/>
    <col min="15627" max="15629" width="9.140625" customWidth="1"/>
    <col min="15630" max="15630" width="10.85546875" customWidth="1"/>
    <col min="15631" max="15631" width="20.85546875" customWidth="1"/>
    <col min="15874" max="15874" width="31.28515625" customWidth="1"/>
    <col min="15878" max="15878" width="11.42578125" customWidth="1"/>
    <col min="15880" max="15880" width="11.28515625" customWidth="1"/>
    <col min="15882" max="15882" width="18.140625" customWidth="1"/>
    <col min="15883" max="15885" width="9.140625" customWidth="1"/>
    <col min="15886" max="15886" width="10.85546875" customWidth="1"/>
    <col min="15887" max="15887" width="20.85546875" customWidth="1"/>
    <col min="16130" max="16130" width="31.28515625" customWidth="1"/>
    <col min="16134" max="16134" width="11.42578125" customWidth="1"/>
    <col min="16136" max="16136" width="11.28515625" customWidth="1"/>
    <col min="16138" max="16138" width="18.140625" customWidth="1"/>
    <col min="16139" max="16141" width="9.140625" customWidth="1"/>
    <col min="16142" max="16142" width="10.85546875" customWidth="1"/>
    <col min="16143" max="16143" width="20.85546875" customWidth="1"/>
  </cols>
  <sheetData>
    <row r="1" spans="2:15" x14ac:dyDescent="0.25">
      <c r="M1" t="s">
        <v>244</v>
      </c>
      <c r="O1" s="67">
        <f>'PCE Testsheet'!Y1</f>
        <v>0</v>
      </c>
    </row>
    <row r="3" spans="2:15" ht="18" customHeight="1" x14ac:dyDescent="0.25">
      <c r="B3" s="36" t="s">
        <v>35</v>
      </c>
      <c r="C3" s="35"/>
      <c r="D3" s="35"/>
      <c r="E3" s="28"/>
    </row>
    <row r="4" spans="2:15" ht="18" customHeight="1" x14ac:dyDescent="0.25"/>
    <row r="5" spans="2:15" ht="18" customHeight="1" x14ac:dyDescent="0.25">
      <c r="B5" s="5" t="s">
        <v>36</v>
      </c>
      <c r="C5" s="170">
        <f>'PCE Testsheet'!P4</f>
        <v>0</v>
      </c>
      <c r="D5" s="170"/>
      <c r="E5" s="170"/>
      <c r="F5" s="170"/>
      <c r="G5" s="5"/>
      <c r="H5" s="5"/>
      <c r="I5" s="5"/>
      <c r="J5" s="5"/>
      <c r="K5" s="5"/>
      <c r="L5" s="5"/>
      <c r="M5" s="5"/>
      <c r="N5" s="5"/>
    </row>
    <row r="6" spans="2:15" ht="18" customHeight="1" x14ac:dyDescent="0.25">
      <c r="B6" s="5" t="s">
        <v>236</v>
      </c>
      <c r="C6" s="171" t="str">
        <f>IF('PCE Testsheet'!C5="","",'PCE Testsheet'!C5)</f>
        <v/>
      </c>
      <c r="D6" s="171"/>
      <c r="E6" s="171"/>
      <c r="F6" s="171"/>
      <c r="G6" s="171"/>
      <c r="H6" s="171"/>
      <c r="I6" s="5"/>
      <c r="J6" s="5" t="s">
        <v>238</v>
      </c>
      <c r="K6" s="176" t="str">
        <f>IF('PCE Testsheet'!W5="","",'PCE Testsheet'!W5)</f>
        <v>JJBU/PCE/J</v>
      </c>
      <c r="L6" s="177"/>
      <c r="M6" s="177"/>
      <c r="N6" s="178"/>
    </row>
    <row r="7" spans="2:15" ht="18" customHeight="1" x14ac:dyDescent="0.25">
      <c r="B7" s="5" t="s">
        <v>237</v>
      </c>
      <c r="C7" s="171"/>
      <c r="D7" s="171"/>
      <c r="E7" s="171"/>
      <c r="F7" s="171"/>
      <c r="G7" s="171"/>
      <c r="H7" s="171"/>
      <c r="I7" s="5"/>
      <c r="J7" s="5" t="s">
        <v>239</v>
      </c>
      <c r="K7" s="176"/>
      <c r="L7" s="177"/>
      <c r="M7" s="177"/>
      <c r="N7" s="178"/>
    </row>
    <row r="8" spans="2:15" ht="18" customHeight="1" x14ac:dyDescent="0.25">
      <c r="B8" s="5" t="s">
        <v>59</v>
      </c>
      <c r="C8" s="172"/>
      <c r="D8" s="173"/>
      <c r="E8" s="173"/>
      <c r="F8" s="174"/>
      <c r="G8" s="5"/>
      <c r="H8" s="5"/>
      <c r="I8" s="5"/>
      <c r="J8" s="5"/>
      <c r="K8" s="5"/>
      <c r="L8" s="5"/>
      <c r="M8" s="5"/>
      <c r="N8" s="5"/>
    </row>
    <row r="9" spans="2:15" ht="18" customHeight="1" x14ac:dyDescent="0.25">
      <c r="B9" s="5" t="s">
        <v>60</v>
      </c>
      <c r="C9" s="14" t="s">
        <v>61</v>
      </c>
      <c r="D9" s="69"/>
      <c r="E9" s="15"/>
      <c r="F9" s="14" t="s">
        <v>62</v>
      </c>
      <c r="G9" s="69"/>
      <c r="H9" s="8" t="s">
        <v>63</v>
      </c>
      <c r="I9" s="69"/>
      <c r="J9" s="8" t="s">
        <v>64</v>
      </c>
      <c r="K9" s="69"/>
      <c r="L9" s="8" t="s">
        <v>65</v>
      </c>
      <c r="M9" s="69"/>
      <c r="N9" s="8" t="s">
        <v>146</v>
      </c>
      <c r="O9" s="69"/>
    </row>
    <row r="10" spans="2:15" ht="18" customHeight="1" x14ac:dyDescent="0.25">
      <c r="B10" s="5" t="s">
        <v>66</v>
      </c>
      <c r="C10" s="17" t="s">
        <v>67</v>
      </c>
      <c r="D10" s="69"/>
      <c r="E10" s="15"/>
      <c r="F10" s="17" t="s">
        <v>68</v>
      </c>
      <c r="G10" s="69"/>
      <c r="H10" s="8" t="s">
        <v>69</v>
      </c>
      <c r="I10" s="69"/>
      <c r="J10" s="8"/>
      <c r="K10" s="5"/>
      <c r="L10" s="8"/>
      <c r="M10" s="18"/>
      <c r="N10" s="5"/>
    </row>
    <row r="11" spans="2:15" ht="18" customHeight="1" x14ac:dyDescent="0.25">
      <c r="B11" s="5" t="s">
        <v>70</v>
      </c>
      <c r="C11" s="16" t="s">
        <v>71</v>
      </c>
      <c r="D11" s="69"/>
      <c r="E11" s="19"/>
      <c r="F11" s="16" t="s">
        <v>72</v>
      </c>
      <c r="G11" s="69"/>
      <c r="H11" s="8" t="s">
        <v>73</v>
      </c>
      <c r="I11" s="69"/>
      <c r="J11" s="8" t="s">
        <v>74</v>
      </c>
      <c r="K11" s="69"/>
      <c r="L11" s="8" t="s">
        <v>75</v>
      </c>
      <c r="M11" s="69"/>
      <c r="N11" s="8" t="s">
        <v>146</v>
      </c>
      <c r="O11" s="69"/>
    </row>
    <row r="12" spans="2:15" ht="18" customHeight="1" x14ac:dyDescent="0.25">
      <c r="B12" s="5" t="s">
        <v>76</v>
      </c>
      <c r="C12" s="166"/>
      <c r="D12" s="166"/>
      <c r="E12" s="166"/>
      <c r="F12" s="172"/>
      <c r="G12" s="173"/>
      <c r="H12" s="174"/>
      <c r="I12" s="5"/>
      <c r="J12" s="5"/>
      <c r="K12" s="5"/>
      <c r="L12" s="5"/>
      <c r="M12" s="5"/>
      <c r="N12" s="5"/>
    </row>
    <row r="13" spans="2:15" ht="18" customHeight="1" x14ac:dyDescent="0.25">
      <c r="B13" s="5" t="s">
        <v>77</v>
      </c>
      <c r="C13" s="175"/>
      <c r="D13" s="175"/>
      <c r="E13" s="175"/>
      <c r="F13" s="175"/>
      <c r="G13" s="5"/>
      <c r="H13" s="5" t="s">
        <v>78</v>
      </c>
      <c r="I13" s="5"/>
      <c r="J13" s="166"/>
      <c r="K13" s="166"/>
      <c r="L13" s="5"/>
      <c r="M13" s="20" t="s">
        <v>79</v>
      </c>
      <c r="N13" s="5"/>
      <c r="O13" s="76"/>
    </row>
    <row r="14" spans="2:15" ht="18" customHeight="1" x14ac:dyDescent="0.25">
      <c r="B14" s="5" t="s">
        <v>80</v>
      </c>
      <c r="C14" s="16" t="s">
        <v>71</v>
      </c>
      <c r="D14" s="69"/>
      <c r="E14" s="19"/>
      <c r="F14" s="16" t="s">
        <v>72</v>
      </c>
      <c r="G14" s="69"/>
      <c r="H14" s="8" t="s">
        <v>73</v>
      </c>
      <c r="I14" s="69"/>
      <c r="J14" s="8" t="s">
        <v>74</v>
      </c>
      <c r="K14" s="69"/>
      <c r="L14" s="8" t="s">
        <v>75</v>
      </c>
      <c r="M14" s="69"/>
      <c r="N14" s="5"/>
      <c r="O14" s="24"/>
    </row>
    <row r="15" spans="2:15" ht="18" customHeight="1" x14ac:dyDescent="0.25">
      <c r="B15" s="5" t="s">
        <v>81</v>
      </c>
      <c r="C15" s="172"/>
      <c r="D15" s="173"/>
      <c r="E15" s="173"/>
      <c r="F15" s="173"/>
      <c r="G15" s="173"/>
      <c r="H15" s="174"/>
      <c r="I15" s="5"/>
      <c r="J15" s="5"/>
      <c r="K15" s="5"/>
      <c r="L15" s="5"/>
      <c r="M15" s="5"/>
      <c r="N15" s="5"/>
    </row>
    <row r="16" spans="2:15" ht="18" customHeight="1" x14ac:dyDescent="0.25">
      <c r="B16" s="5" t="s">
        <v>77</v>
      </c>
      <c r="C16" s="175"/>
      <c r="D16" s="175"/>
      <c r="E16" s="175"/>
      <c r="F16" s="175"/>
      <c r="G16" s="5"/>
      <c r="H16" s="5" t="s">
        <v>78</v>
      </c>
      <c r="I16" s="5"/>
      <c r="J16" s="166"/>
      <c r="K16" s="166"/>
      <c r="L16" s="5"/>
      <c r="M16" s="20" t="s">
        <v>79</v>
      </c>
      <c r="N16" s="5"/>
      <c r="O16" s="76"/>
    </row>
    <row r="17" spans="2:15" ht="18" customHeight="1" x14ac:dyDescent="0.25">
      <c r="B17" s="5" t="s">
        <v>82</v>
      </c>
      <c r="C17" s="166"/>
      <c r="D17" s="166"/>
      <c r="E17" s="166"/>
      <c r="F17" s="166"/>
      <c r="G17" s="5"/>
      <c r="H17" s="5"/>
      <c r="I17" s="5"/>
      <c r="J17" s="5"/>
      <c r="K17" s="5"/>
      <c r="L17" s="5"/>
      <c r="M17" s="5"/>
      <c r="N17" s="5"/>
    </row>
    <row r="18" spans="2:15" ht="18" customHeight="1" x14ac:dyDescent="0.25">
      <c r="B18" s="5" t="s">
        <v>83</v>
      </c>
      <c r="C18" s="8" t="s">
        <v>84</v>
      </c>
      <c r="D18" s="74"/>
      <c r="E18" s="8" t="s">
        <v>85</v>
      </c>
      <c r="F18" s="74"/>
      <c r="G18" s="164" t="s">
        <v>86</v>
      </c>
      <c r="H18" s="165"/>
      <c r="I18" s="69"/>
      <c r="J18" s="8" t="s">
        <v>28</v>
      </c>
      <c r="K18" s="166"/>
      <c r="L18" s="166"/>
      <c r="M18" s="5"/>
      <c r="N18" s="21" t="s">
        <v>87</v>
      </c>
      <c r="O18" s="75"/>
    </row>
    <row r="19" spans="2:15" ht="18" customHeight="1" x14ac:dyDescent="0.25">
      <c r="B19" s="5" t="s">
        <v>88</v>
      </c>
      <c r="C19" s="8" t="s">
        <v>84</v>
      </c>
      <c r="D19" s="74"/>
      <c r="E19" s="8" t="s">
        <v>85</v>
      </c>
      <c r="F19" s="74"/>
      <c r="G19" s="164" t="s">
        <v>86</v>
      </c>
      <c r="H19" s="165"/>
      <c r="I19" s="69"/>
      <c r="J19" s="8" t="s">
        <v>28</v>
      </c>
      <c r="K19" s="166"/>
      <c r="L19" s="166"/>
      <c r="M19" s="5"/>
      <c r="N19" s="21" t="s">
        <v>87</v>
      </c>
      <c r="O19" s="75"/>
    </row>
    <row r="20" spans="2:15" ht="18" customHeight="1" x14ac:dyDescent="0.25">
      <c r="B20" s="5" t="s">
        <v>89</v>
      </c>
      <c r="C20" s="8" t="s">
        <v>84</v>
      </c>
      <c r="D20" s="74"/>
      <c r="E20" s="8" t="s">
        <v>85</v>
      </c>
      <c r="F20" s="74"/>
      <c r="G20" s="164" t="s">
        <v>86</v>
      </c>
      <c r="H20" s="165"/>
      <c r="I20" s="69"/>
      <c r="J20" s="8" t="s">
        <v>28</v>
      </c>
      <c r="K20" s="166"/>
      <c r="L20" s="166"/>
      <c r="M20" s="5"/>
      <c r="N20" s="21" t="s">
        <v>87</v>
      </c>
      <c r="O20" s="75"/>
    </row>
    <row r="21" spans="2:15" ht="18" customHeight="1" x14ac:dyDescent="0.25">
      <c r="B21" s="5" t="s">
        <v>90</v>
      </c>
      <c r="C21" s="8" t="s">
        <v>84</v>
      </c>
      <c r="D21" s="74"/>
      <c r="E21" s="8" t="s">
        <v>85</v>
      </c>
      <c r="F21" s="74"/>
      <c r="G21" s="164" t="s">
        <v>86</v>
      </c>
      <c r="H21" s="165"/>
      <c r="I21" s="69"/>
      <c r="J21" s="8" t="s">
        <v>28</v>
      </c>
      <c r="K21" s="166"/>
      <c r="L21" s="166"/>
      <c r="M21" s="5"/>
      <c r="N21" s="21" t="s">
        <v>87</v>
      </c>
      <c r="O21" s="75"/>
    </row>
    <row r="22" spans="2:15" ht="18" customHeight="1" x14ac:dyDescent="0.25">
      <c r="B22" s="27" t="s">
        <v>91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2:15" ht="18" customHeight="1" x14ac:dyDescent="0.25">
      <c r="B23" s="5" t="s">
        <v>41</v>
      </c>
      <c r="C23" s="5"/>
      <c r="D23" s="8" t="s">
        <v>37</v>
      </c>
      <c r="E23" s="69"/>
      <c r="F23" s="8" t="s">
        <v>38</v>
      </c>
      <c r="G23" s="69"/>
      <c r="H23" s="8" t="s">
        <v>1</v>
      </c>
      <c r="I23" s="160" t="str">
        <f>IF(AND(ISBLANK(E23),ISBLANK(G23)),"N/A","")</f>
        <v>N/A</v>
      </c>
      <c r="J23" s="160"/>
      <c r="K23" s="160"/>
      <c r="L23" s="160"/>
      <c r="M23" s="160"/>
      <c r="N23" s="160"/>
    </row>
    <row r="24" spans="2:15" ht="18" customHeight="1" x14ac:dyDescent="0.25">
      <c r="B24" s="5" t="s">
        <v>42</v>
      </c>
      <c r="C24" s="5"/>
      <c r="D24" s="8" t="s">
        <v>37</v>
      </c>
      <c r="E24" s="69"/>
      <c r="F24" s="8" t="s">
        <v>38</v>
      </c>
      <c r="G24" s="69"/>
      <c r="H24" s="8" t="s">
        <v>1</v>
      </c>
      <c r="I24" s="160" t="str">
        <f>IF(AND(ISBLANK(E24),ISBLANK(G24)),"N/A","")</f>
        <v>N/A</v>
      </c>
      <c r="J24" s="160"/>
      <c r="K24" s="160"/>
      <c r="L24" s="160"/>
      <c r="M24" s="160"/>
      <c r="N24" s="160"/>
    </row>
    <row r="25" spans="2:15" ht="18" customHeight="1" x14ac:dyDescent="0.25">
      <c r="B25" s="5" t="s">
        <v>43</v>
      </c>
      <c r="C25" s="5"/>
      <c r="D25" s="8" t="s">
        <v>37</v>
      </c>
      <c r="E25" s="69"/>
      <c r="F25" s="8" t="s">
        <v>38</v>
      </c>
      <c r="G25" s="69"/>
      <c r="H25" s="8" t="s">
        <v>1</v>
      </c>
      <c r="I25" s="160" t="str">
        <f>IF(AND(ISBLANK(E25),ISBLANK(G25)),"N/A","")</f>
        <v>N/A</v>
      </c>
      <c r="J25" s="160"/>
      <c r="K25" s="160"/>
      <c r="L25" s="160"/>
      <c r="M25" s="160"/>
      <c r="N25" s="160"/>
    </row>
    <row r="26" spans="2:15" ht="18" customHeight="1" x14ac:dyDescent="0.25">
      <c r="B26" s="5" t="s">
        <v>44</v>
      </c>
      <c r="C26" s="5"/>
      <c r="D26" s="8" t="s">
        <v>37</v>
      </c>
      <c r="E26" s="69"/>
      <c r="F26" s="8" t="s">
        <v>38</v>
      </c>
      <c r="G26" s="69"/>
      <c r="H26" s="8" t="s">
        <v>1</v>
      </c>
      <c r="I26" s="160" t="str">
        <f t="shared" ref="I26:I41" si="0">IF(AND(ISBLANK(E26),ISBLANK(G26)),"N/A","")</f>
        <v>N/A</v>
      </c>
      <c r="J26" s="160"/>
      <c r="K26" s="160"/>
      <c r="L26" s="160"/>
      <c r="M26" s="160"/>
      <c r="N26" s="160"/>
    </row>
    <row r="27" spans="2:15" ht="18" customHeight="1" x14ac:dyDescent="0.25">
      <c r="B27" s="5" t="s">
        <v>45</v>
      </c>
      <c r="C27" s="5"/>
      <c r="D27" s="8" t="s">
        <v>37</v>
      </c>
      <c r="E27" s="69"/>
      <c r="F27" s="8" t="s">
        <v>38</v>
      </c>
      <c r="G27" s="69"/>
      <c r="H27" s="8" t="s">
        <v>1</v>
      </c>
      <c r="I27" s="160" t="str">
        <f t="shared" si="0"/>
        <v>N/A</v>
      </c>
      <c r="J27" s="160"/>
      <c r="K27" s="160"/>
      <c r="L27" s="160"/>
      <c r="M27" s="160"/>
      <c r="N27" s="160"/>
    </row>
    <row r="28" spans="2:15" ht="18" customHeight="1" x14ac:dyDescent="0.25">
      <c r="B28" s="5" t="s">
        <v>46</v>
      </c>
      <c r="C28" s="5"/>
      <c r="D28" s="8" t="s">
        <v>37</v>
      </c>
      <c r="E28" s="69"/>
      <c r="F28" s="8" t="s">
        <v>38</v>
      </c>
      <c r="G28" s="69"/>
      <c r="H28" s="8" t="s">
        <v>1</v>
      </c>
      <c r="I28" s="160" t="str">
        <f t="shared" si="0"/>
        <v>N/A</v>
      </c>
      <c r="J28" s="160"/>
      <c r="K28" s="160"/>
      <c r="L28" s="160"/>
      <c r="M28" s="160"/>
      <c r="N28" s="160"/>
    </row>
    <row r="29" spans="2:15" ht="18" customHeight="1" x14ac:dyDescent="0.25">
      <c r="B29" s="5" t="s">
        <v>47</v>
      </c>
      <c r="C29" s="5"/>
      <c r="D29" s="8" t="s">
        <v>37</v>
      </c>
      <c r="E29" s="69"/>
      <c r="F29" s="8" t="s">
        <v>38</v>
      </c>
      <c r="G29" s="69"/>
      <c r="H29" s="8" t="s">
        <v>1</v>
      </c>
      <c r="I29" s="160" t="str">
        <f t="shared" si="0"/>
        <v>N/A</v>
      </c>
      <c r="J29" s="160"/>
      <c r="K29" s="160"/>
      <c r="L29" s="160"/>
      <c r="M29" s="160"/>
      <c r="N29" s="160"/>
    </row>
    <row r="30" spans="2:15" ht="18" customHeight="1" x14ac:dyDescent="0.25">
      <c r="B30" s="5" t="s">
        <v>48</v>
      </c>
      <c r="C30" s="5"/>
      <c r="D30" s="8" t="s">
        <v>32</v>
      </c>
      <c r="E30" s="69"/>
      <c r="F30" s="8" t="s">
        <v>33</v>
      </c>
      <c r="G30" s="69"/>
      <c r="H30" s="8" t="s">
        <v>1</v>
      </c>
      <c r="I30" s="160" t="str">
        <f t="shared" si="0"/>
        <v>N/A</v>
      </c>
      <c r="J30" s="160"/>
      <c r="K30" s="160"/>
      <c r="L30" s="160"/>
      <c r="M30" s="160"/>
      <c r="N30" s="160"/>
    </row>
    <row r="31" spans="2:15" ht="18" customHeight="1" x14ac:dyDescent="0.25">
      <c r="B31" s="5" t="s">
        <v>49</v>
      </c>
      <c r="C31" s="5"/>
      <c r="D31" s="8" t="s">
        <v>37</v>
      </c>
      <c r="E31" s="69"/>
      <c r="F31" s="8" t="s">
        <v>38</v>
      </c>
      <c r="G31" s="69"/>
      <c r="H31" s="8" t="s">
        <v>1</v>
      </c>
      <c r="I31" s="160" t="str">
        <f t="shared" si="0"/>
        <v>N/A</v>
      </c>
      <c r="J31" s="160"/>
      <c r="K31" s="160"/>
      <c r="L31" s="160"/>
      <c r="M31" s="160"/>
      <c r="N31" s="160"/>
    </row>
    <row r="32" spans="2:15" ht="18" customHeight="1" x14ac:dyDescent="0.25">
      <c r="B32" s="5" t="s">
        <v>50</v>
      </c>
      <c r="C32" s="5"/>
      <c r="D32" s="8" t="s">
        <v>32</v>
      </c>
      <c r="E32" s="69"/>
      <c r="F32" s="8" t="s">
        <v>33</v>
      </c>
      <c r="G32" s="69"/>
      <c r="H32" s="8" t="s">
        <v>1</v>
      </c>
      <c r="I32" s="160" t="str">
        <f t="shared" si="0"/>
        <v>N/A</v>
      </c>
      <c r="J32" s="160"/>
      <c r="K32" s="160"/>
      <c r="L32" s="160"/>
      <c r="M32" s="160"/>
      <c r="N32" s="160"/>
    </row>
    <row r="33" spans="2:16" ht="18" customHeight="1" x14ac:dyDescent="0.25">
      <c r="B33" s="5" t="s">
        <v>51</v>
      </c>
      <c r="C33" s="5"/>
      <c r="D33" s="8" t="s">
        <v>37</v>
      </c>
      <c r="E33" s="69"/>
      <c r="F33" s="8" t="s">
        <v>38</v>
      </c>
      <c r="G33" s="69"/>
      <c r="H33" s="8" t="s">
        <v>1</v>
      </c>
      <c r="I33" s="160" t="str">
        <f t="shared" si="0"/>
        <v>N/A</v>
      </c>
      <c r="J33" s="160"/>
      <c r="K33" s="160"/>
      <c r="L33" s="160"/>
      <c r="M33" s="160"/>
      <c r="N33" s="160"/>
    </row>
    <row r="34" spans="2:16" ht="18" customHeight="1" x14ac:dyDescent="0.25">
      <c r="B34" s="5" t="s">
        <v>92</v>
      </c>
      <c r="C34" s="5"/>
      <c r="D34" s="8" t="s">
        <v>37</v>
      </c>
      <c r="E34" s="69"/>
      <c r="F34" s="8" t="s">
        <v>38</v>
      </c>
      <c r="G34" s="69"/>
      <c r="H34" s="8" t="s">
        <v>1</v>
      </c>
      <c r="I34" s="160" t="str">
        <f t="shared" si="0"/>
        <v>N/A</v>
      </c>
      <c r="J34" s="160"/>
      <c r="K34" s="160"/>
      <c r="L34" s="160"/>
      <c r="M34" s="160"/>
      <c r="N34" s="160"/>
    </row>
    <row r="35" spans="2:16" ht="18" customHeight="1" x14ac:dyDescent="0.25">
      <c r="B35" s="5" t="s">
        <v>93</v>
      </c>
      <c r="C35" s="5"/>
      <c r="D35" s="8" t="s">
        <v>37</v>
      </c>
      <c r="E35" s="69"/>
      <c r="F35" s="8" t="s">
        <v>38</v>
      </c>
      <c r="G35" s="69"/>
      <c r="H35" s="8" t="s">
        <v>1</v>
      </c>
      <c r="I35" s="160" t="str">
        <f t="shared" si="0"/>
        <v>N/A</v>
      </c>
      <c r="J35" s="160"/>
      <c r="K35" s="160"/>
      <c r="L35" s="160"/>
      <c r="M35" s="160"/>
      <c r="N35" s="160"/>
    </row>
    <row r="36" spans="2:16" ht="18" customHeight="1" x14ac:dyDescent="0.25">
      <c r="B36" s="5" t="s">
        <v>94</v>
      </c>
      <c r="C36" s="5"/>
      <c r="D36" s="8" t="s">
        <v>37</v>
      </c>
      <c r="E36" s="69"/>
      <c r="F36" s="8" t="s">
        <v>38</v>
      </c>
      <c r="G36" s="69"/>
      <c r="H36" s="8" t="s">
        <v>1</v>
      </c>
      <c r="I36" s="160" t="str">
        <f t="shared" si="0"/>
        <v>N/A</v>
      </c>
      <c r="J36" s="160"/>
      <c r="K36" s="160"/>
      <c r="L36" s="160"/>
      <c r="M36" s="160"/>
      <c r="N36" s="160"/>
    </row>
    <row r="37" spans="2:16" ht="18" customHeight="1" x14ac:dyDescent="0.25">
      <c r="B37" s="5" t="s">
        <v>95</v>
      </c>
      <c r="C37" s="5"/>
      <c r="D37" s="8" t="s">
        <v>32</v>
      </c>
      <c r="E37" s="69"/>
      <c r="F37" s="8" t="s">
        <v>33</v>
      </c>
      <c r="G37" s="69"/>
      <c r="H37" s="8" t="s">
        <v>1</v>
      </c>
      <c r="I37" s="160" t="str">
        <f t="shared" si="0"/>
        <v>N/A</v>
      </c>
      <c r="J37" s="160"/>
      <c r="K37" s="160"/>
      <c r="L37" s="160"/>
      <c r="M37" s="160"/>
      <c r="N37" s="160"/>
    </row>
    <row r="38" spans="2:16" ht="18" customHeight="1" x14ac:dyDescent="0.25">
      <c r="B38" s="5" t="s">
        <v>96</v>
      </c>
      <c r="C38" s="5"/>
      <c r="D38" s="8" t="s">
        <v>37</v>
      </c>
      <c r="E38" s="69"/>
      <c r="F38" s="8" t="s">
        <v>38</v>
      </c>
      <c r="G38" s="69"/>
      <c r="H38" s="8" t="s">
        <v>1</v>
      </c>
      <c r="I38" s="160" t="str">
        <f t="shared" si="0"/>
        <v>N/A</v>
      </c>
      <c r="J38" s="160"/>
      <c r="K38" s="160"/>
      <c r="L38" s="160"/>
      <c r="M38" s="160"/>
      <c r="N38" s="160"/>
    </row>
    <row r="39" spans="2:16" ht="18" customHeight="1" x14ac:dyDescent="0.25">
      <c r="B39" s="5" t="s">
        <v>97</v>
      </c>
      <c r="C39" s="5"/>
      <c r="D39" s="8" t="s">
        <v>37</v>
      </c>
      <c r="E39" s="69"/>
      <c r="F39" s="8" t="s">
        <v>38</v>
      </c>
      <c r="G39" s="69"/>
      <c r="H39" s="8" t="s">
        <v>1</v>
      </c>
      <c r="I39" s="160" t="str">
        <f t="shared" si="0"/>
        <v>N/A</v>
      </c>
      <c r="J39" s="160"/>
      <c r="K39" s="160"/>
      <c r="L39" s="160"/>
      <c r="M39" s="160"/>
      <c r="N39" s="160"/>
    </row>
    <row r="40" spans="2:16" ht="18" customHeight="1" x14ac:dyDescent="0.25">
      <c r="B40" s="5" t="s">
        <v>98</v>
      </c>
      <c r="C40" s="5"/>
      <c r="D40" s="8" t="s">
        <v>37</v>
      </c>
      <c r="E40" s="69"/>
      <c r="F40" s="8" t="s">
        <v>38</v>
      </c>
      <c r="G40" s="69"/>
      <c r="H40" s="8" t="s">
        <v>1</v>
      </c>
      <c r="I40" s="160" t="str">
        <f t="shared" si="0"/>
        <v>N/A</v>
      </c>
      <c r="J40" s="160"/>
      <c r="K40" s="160"/>
      <c r="L40" s="160"/>
      <c r="M40" s="160"/>
      <c r="N40" s="160"/>
    </row>
    <row r="41" spans="2:16" ht="18" customHeight="1" x14ac:dyDescent="0.25">
      <c r="B41" s="5" t="s">
        <v>99</v>
      </c>
      <c r="C41" s="5"/>
      <c r="D41" s="8" t="s">
        <v>37</v>
      </c>
      <c r="E41" s="69"/>
      <c r="F41" s="8" t="s">
        <v>38</v>
      </c>
      <c r="G41" s="69"/>
      <c r="H41" s="8" t="s">
        <v>1</v>
      </c>
      <c r="I41" s="169" t="str">
        <f t="shared" si="0"/>
        <v>N/A</v>
      </c>
      <c r="J41" s="169"/>
      <c r="K41" s="169"/>
      <c r="L41" s="169"/>
      <c r="M41" s="169"/>
      <c r="N41" s="169"/>
    </row>
    <row r="42" spans="2:16" ht="18" customHeight="1" x14ac:dyDescent="0.25">
      <c r="B42" s="5" t="s">
        <v>100</v>
      </c>
      <c r="C42" s="5"/>
      <c r="D42" s="8" t="s">
        <v>39</v>
      </c>
      <c r="E42" s="69"/>
      <c r="F42" s="8" t="s">
        <v>40</v>
      </c>
      <c r="G42" s="69"/>
      <c r="H42" s="8" t="s">
        <v>1</v>
      </c>
      <c r="I42" s="167" t="s">
        <v>229</v>
      </c>
      <c r="J42" s="168"/>
      <c r="K42" s="13"/>
      <c r="L42" s="66" t="s">
        <v>231</v>
      </c>
      <c r="M42" s="12"/>
      <c r="N42" s="13" t="s">
        <v>232</v>
      </c>
      <c r="P42" t="s">
        <v>230</v>
      </c>
    </row>
    <row r="43" spans="2:16" ht="18" customHeight="1" x14ac:dyDescent="0.25">
      <c r="B43" s="5" t="s">
        <v>101</v>
      </c>
      <c r="C43" s="5"/>
      <c r="D43" s="8" t="s">
        <v>37</v>
      </c>
      <c r="E43" s="69"/>
      <c r="F43" s="8" t="s">
        <v>38</v>
      </c>
      <c r="G43" s="69"/>
      <c r="H43" s="8" t="s">
        <v>1</v>
      </c>
      <c r="I43" s="162" t="str">
        <f t="shared" ref="I43:I45" si="1">IF(AND(ISBLANK(E43),ISBLANK(G43)),"N/A","")</f>
        <v>N/A</v>
      </c>
      <c r="J43" s="162"/>
      <c r="K43" s="162"/>
      <c r="L43" s="162"/>
      <c r="M43" s="162"/>
      <c r="N43" s="162"/>
    </row>
    <row r="44" spans="2:16" ht="18" customHeight="1" x14ac:dyDescent="0.25">
      <c r="B44" s="20" t="s">
        <v>102</v>
      </c>
      <c r="C44" s="5"/>
      <c r="D44" s="8" t="s">
        <v>32</v>
      </c>
      <c r="E44" s="69"/>
      <c r="F44" s="8" t="s">
        <v>33</v>
      </c>
      <c r="G44" s="69"/>
      <c r="H44" s="8" t="s">
        <v>1</v>
      </c>
      <c r="I44" s="160" t="str">
        <f t="shared" si="1"/>
        <v>N/A</v>
      </c>
      <c r="J44" s="160"/>
      <c r="K44" s="160"/>
      <c r="L44" s="160"/>
      <c r="M44" s="160"/>
      <c r="N44" s="160"/>
    </row>
    <row r="45" spans="2:16" ht="18" customHeight="1" x14ac:dyDescent="0.25">
      <c r="B45" s="7" t="s">
        <v>103</v>
      </c>
      <c r="C45" s="5"/>
      <c r="D45" s="8" t="s">
        <v>32</v>
      </c>
      <c r="E45" s="69"/>
      <c r="F45" s="8" t="s">
        <v>33</v>
      </c>
      <c r="G45" s="69"/>
      <c r="H45" s="8" t="s">
        <v>1</v>
      </c>
      <c r="I45" s="160" t="str">
        <f t="shared" si="1"/>
        <v>N/A</v>
      </c>
      <c r="J45" s="160"/>
      <c r="K45" s="160"/>
      <c r="L45" s="160"/>
      <c r="M45" s="160"/>
      <c r="N45" s="160"/>
    </row>
    <row r="46" spans="2:16" ht="18" customHeight="1" x14ac:dyDescent="0.25">
      <c r="B46" s="7" t="s">
        <v>145</v>
      </c>
      <c r="C46" s="7"/>
      <c r="D46" s="8"/>
      <c r="E46" s="11"/>
      <c r="F46" s="11"/>
      <c r="G46" s="11"/>
      <c r="H46" s="11"/>
      <c r="I46" s="163"/>
      <c r="J46" s="163"/>
      <c r="K46" s="163"/>
      <c r="L46" s="163"/>
      <c r="M46" s="163"/>
      <c r="N46" s="163"/>
      <c r="O46" s="25"/>
    </row>
    <row r="47" spans="2:16" ht="18" customHeight="1" x14ac:dyDescent="0.25">
      <c r="B47" s="7"/>
      <c r="C47" s="7"/>
      <c r="D47" s="8"/>
      <c r="E47" s="11"/>
      <c r="F47" s="11"/>
      <c r="G47" s="11"/>
      <c r="H47" s="11"/>
      <c r="I47" s="12"/>
      <c r="J47" s="12"/>
      <c r="K47" s="12"/>
      <c r="L47" s="12"/>
      <c r="M47" s="12"/>
      <c r="N47" s="12"/>
      <c r="O47" s="25"/>
    </row>
    <row r="48" spans="2:16" ht="30.75" customHeight="1" x14ac:dyDescent="0.25">
      <c r="B48" s="7"/>
      <c r="C48" s="7"/>
      <c r="D48" s="8"/>
      <c r="E48" s="8"/>
      <c r="F48" s="8"/>
      <c r="G48" s="8"/>
      <c r="H48" s="8"/>
      <c r="I48" s="6"/>
      <c r="J48" s="6"/>
      <c r="K48" s="6"/>
      <c r="L48" s="6"/>
      <c r="M48" s="6"/>
      <c r="N48" s="6"/>
      <c r="O48" s="25"/>
    </row>
    <row r="49" spans="2:15" ht="18" customHeight="1" x14ac:dyDescent="0.25">
      <c r="B49" s="7" t="s">
        <v>152</v>
      </c>
      <c r="C49" s="77"/>
      <c r="D49" s="77" t="s">
        <v>245</v>
      </c>
      <c r="E49" s="77"/>
      <c r="F49" s="77"/>
      <c r="G49" s="5"/>
      <c r="H49" s="7" t="s">
        <v>153</v>
      </c>
      <c r="I49" s="7"/>
      <c r="J49" s="9"/>
      <c r="K49" s="9"/>
      <c r="L49" s="10"/>
      <c r="M49" s="10" t="s">
        <v>246</v>
      </c>
      <c r="N49" s="10"/>
      <c r="O49" s="26"/>
    </row>
    <row r="50" spans="2:15" ht="18" customHeight="1" x14ac:dyDescent="0.25">
      <c r="B50" s="5"/>
      <c r="C50" s="5"/>
      <c r="D50" s="5"/>
      <c r="E50" s="5"/>
      <c r="F50" s="5"/>
      <c r="G50" s="7"/>
      <c r="H50" s="5"/>
      <c r="I50" s="7"/>
      <c r="J50" s="22"/>
      <c r="K50" s="23"/>
      <c r="L50" s="23"/>
      <c r="M50" s="23"/>
      <c r="N50" s="23"/>
    </row>
    <row r="51" spans="2:15" ht="15.75" x14ac:dyDescent="0.25">
      <c r="B51" s="5" t="s">
        <v>4</v>
      </c>
      <c r="C51" s="161"/>
      <c r="D51" s="161"/>
      <c r="E51" s="161"/>
      <c r="F51" s="161"/>
      <c r="G51" s="5"/>
      <c r="H51" s="5" t="s">
        <v>4</v>
      </c>
      <c r="I51" s="5"/>
      <c r="J51" s="5"/>
      <c r="K51" s="9"/>
      <c r="L51" s="10"/>
      <c r="M51" s="10"/>
      <c r="N51" s="10"/>
    </row>
    <row r="53" spans="2:15" x14ac:dyDescent="0.25">
      <c r="O53" s="34" t="s">
        <v>148</v>
      </c>
    </row>
  </sheetData>
  <protectedRanges>
    <protectedRange sqref="C49:F49 J49:O49 C51:F51 K50:N51" name="pd76f2506e825e80154285506ac3cb46a"/>
  </protectedRanges>
  <mergeCells count="47">
    <mergeCell ref="G19:H19"/>
    <mergeCell ref="C15:H15"/>
    <mergeCell ref="C16:F16"/>
    <mergeCell ref="J16:K16"/>
    <mergeCell ref="C17:F17"/>
    <mergeCell ref="G18:H18"/>
    <mergeCell ref="K18:L18"/>
    <mergeCell ref="K19:L19"/>
    <mergeCell ref="J13:K13"/>
    <mergeCell ref="C5:F5"/>
    <mergeCell ref="C6:H6"/>
    <mergeCell ref="C8:F8"/>
    <mergeCell ref="C13:F13"/>
    <mergeCell ref="C7:H7"/>
    <mergeCell ref="K6:N6"/>
    <mergeCell ref="K7:N7"/>
    <mergeCell ref="C12:E12"/>
    <mergeCell ref="F12:H12"/>
    <mergeCell ref="G20:H20"/>
    <mergeCell ref="K20:L20"/>
    <mergeCell ref="G21:H21"/>
    <mergeCell ref="K21:L21"/>
    <mergeCell ref="I42:J42"/>
    <mergeCell ref="I23:N23"/>
    <mergeCell ref="I38:N38"/>
    <mergeCell ref="I39:N39"/>
    <mergeCell ref="I40:N40"/>
    <mergeCell ref="I29:N29"/>
    <mergeCell ref="I24:N24"/>
    <mergeCell ref="I25:N25"/>
    <mergeCell ref="I26:N26"/>
    <mergeCell ref="I27:N27"/>
    <mergeCell ref="I28:N28"/>
    <mergeCell ref="I41:N41"/>
    <mergeCell ref="C51:F51"/>
    <mergeCell ref="I43:N43"/>
    <mergeCell ref="I44:N44"/>
    <mergeCell ref="I46:N46"/>
    <mergeCell ref="I45:N45"/>
    <mergeCell ref="I35:N35"/>
    <mergeCell ref="I36:N36"/>
    <mergeCell ref="I37:N37"/>
    <mergeCell ref="I30:N30"/>
    <mergeCell ref="I31:N31"/>
    <mergeCell ref="I32:N32"/>
    <mergeCell ref="I33:N33"/>
    <mergeCell ref="I34:N34"/>
  </mergeCells>
  <dataValidations count="3">
    <dataValidation type="list" allowBlank="1" showInputMessage="1" sqref="C17:F17" xr:uid="{DB4C070B-07EE-4FFD-A23A-26FBAD3F1A5B}">
      <formula1>"1,2,3,4,N/A,NOT ACCESSIBLE"</formula1>
    </dataValidation>
    <dataValidation type="list" allowBlank="1" showInputMessage="1" sqref="D18:D21" xr:uid="{301887C4-DECC-4B49-981D-13EADF2398CD}">
      <formula1>"H/S,C/T"</formula1>
    </dataValidation>
    <dataValidation type="list" allowBlank="1" showInputMessage="1" sqref="N1" xr:uid="{29D02F8A-F36D-4E30-9BE0-33AE71C29AC7}">
      <formula1>"PCE,SS,CS"</formula1>
    </dataValidation>
  </dataValidations>
  <printOptions horizontalCentered="1" verticalCentered="1"/>
  <pageMargins left="0" right="0.70866141732283505" top="0.39370078740157499" bottom="0.39370078740157499" header="0.31496062992126" footer="0.31496062992126"/>
  <pageSetup scale="6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xr:uid="{7056B5DF-1106-4FD5-913B-DD53B5600DD6}">
          <x14:formula1>
            <xm:f>vi_library!$B$2:$B$3</xm:f>
          </x14:formula1>
          <xm:sqref>D9:D11 E23:E45 G23:G45 I9:I11 G9:G11 K9 K11 M9 M11 O9 O11 D14 G14 I14 K14 M14</xm:sqref>
        </x14:dataValidation>
        <x14:dataValidation type="list" allowBlank="1" showInputMessage="1" xr:uid="{C567D45A-298E-4D66-BAC6-23499832E1B6}">
          <x14:formula1>
            <xm:f>equipment_library!$H$2:$H$5</xm:f>
          </x14:formula1>
          <xm:sqref>J13:K13 J16:K16</xm:sqref>
        </x14:dataValidation>
        <x14:dataValidation type="list" allowBlank="1" showInputMessage="1" xr:uid="{FBE23C6F-0417-418E-A41F-181DB3F1A22F}">
          <x14:formula1>
            <xm:f>equipment_library!$K$2:$K$8</xm:f>
          </x14:formula1>
          <xm:sqref>F18:F21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4E0FD-348E-4D77-8358-79EBE1BA9B19}">
  <sheetPr>
    <tabColor theme="2"/>
  </sheetPr>
  <dimension ref="A1:C3"/>
  <sheetViews>
    <sheetView workbookViewId="0">
      <selection activeCell="D4" sqref="D4"/>
    </sheetView>
  </sheetViews>
  <sheetFormatPr defaultRowHeight="15" x14ac:dyDescent="0.25"/>
  <sheetData>
    <row r="1" spans="1:3" x14ac:dyDescent="0.25">
      <c r="B1" t="s">
        <v>242</v>
      </c>
      <c r="C1" t="s">
        <v>243</v>
      </c>
    </row>
    <row r="2" spans="1:3" x14ac:dyDescent="0.25">
      <c r="A2" t="s">
        <v>240</v>
      </c>
    </row>
    <row r="3" spans="1:3" x14ac:dyDescent="0.25">
      <c r="A3" t="s">
        <v>241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68FE8-1D40-47F9-8068-F81252A39BA9}">
  <sheetPr>
    <tabColor theme="4"/>
  </sheetPr>
  <dimension ref="A1:B8"/>
  <sheetViews>
    <sheetView workbookViewId="0">
      <selection activeCell="B2" sqref="B2"/>
    </sheetView>
  </sheetViews>
  <sheetFormatPr defaultRowHeight="15" x14ac:dyDescent="0.25"/>
  <cols>
    <col min="1" max="1" width="25.140625" bestFit="1" customWidth="1"/>
    <col min="2" max="2" width="23.85546875" bestFit="1" customWidth="1"/>
    <col min="3" max="3" width="14.42578125" bestFit="1" customWidth="1"/>
    <col min="4" max="4" width="20.140625" bestFit="1" customWidth="1"/>
    <col min="5" max="5" width="20" bestFit="1" customWidth="1"/>
    <col min="6" max="6" width="16.7109375" bestFit="1" customWidth="1"/>
    <col min="7" max="7" width="14.5703125" bestFit="1" customWidth="1"/>
    <col min="8" max="8" width="14.85546875" bestFit="1" customWidth="1"/>
    <col min="9" max="9" width="18.85546875" bestFit="1" customWidth="1"/>
  </cols>
  <sheetData>
    <row r="1" spans="1:2" x14ac:dyDescent="0.25">
      <c r="A1" t="s">
        <v>201</v>
      </c>
      <c r="B1" t="s">
        <v>227</v>
      </c>
    </row>
    <row r="2" spans="1:2" x14ac:dyDescent="0.25">
      <c r="A2" t="s">
        <v>61</v>
      </c>
      <c r="B2" t="s">
        <v>228</v>
      </c>
    </row>
    <row r="3" spans="1:2" x14ac:dyDescent="0.25">
      <c r="A3" t="s">
        <v>62</v>
      </c>
    </row>
    <row r="4" spans="1:2" x14ac:dyDescent="0.25">
      <c r="A4" t="s">
        <v>65</v>
      </c>
    </row>
    <row r="5" spans="1:2" x14ac:dyDescent="0.25">
      <c r="A5" t="s">
        <v>63</v>
      </c>
    </row>
    <row r="6" spans="1:2" x14ac:dyDescent="0.25">
      <c r="A6" t="s">
        <v>165</v>
      </c>
    </row>
    <row r="7" spans="1:2" x14ac:dyDescent="0.25">
      <c r="A7" t="s">
        <v>166</v>
      </c>
    </row>
    <row r="8" spans="1:2" x14ac:dyDescent="0.25">
      <c r="A8" t="s">
        <v>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57BA-7456-4C94-8508-88C9DA46F69C}">
  <dimension ref="A1:B2"/>
  <sheetViews>
    <sheetView workbookViewId="0">
      <selection activeCell="C1" sqref="C1:F8"/>
    </sheetView>
  </sheetViews>
  <sheetFormatPr defaultRowHeight="15" x14ac:dyDescent="0.25"/>
  <cols>
    <col min="1" max="1" width="13.7109375" bestFit="1" customWidth="1"/>
    <col min="3" max="3" width="18" bestFit="1" customWidth="1"/>
    <col min="4" max="4" width="6.5703125" bestFit="1" customWidth="1"/>
    <col min="5" max="5" width="18.28515625" bestFit="1" customWidth="1"/>
    <col min="6" max="6" width="17.7109375" bestFit="1" customWidth="1"/>
  </cols>
  <sheetData>
    <row r="1" spans="1:2" x14ac:dyDescent="0.25">
      <c r="A1" t="s">
        <v>162</v>
      </c>
      <c r="B1" t="s">
        <v>163</v>
      </c>
    </row>
    <row r="2" spans="1:2" x14ac:dyDescent="0.25">
      <c r="A2" t="s">
        <v>199</v>
      </c>
      <c r="B2" t="s">
        <v>164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BBD1-C235-4885-9749-77A74656522D}">
  <dimension ref="A1:Q8"/>
  <sheetViews>
    <sheetView workbookViewId="0">
      <selection activeCell="K6" sqref="K6"/>
    </sheetView>
  </sheetViews>
  <sheetFormatPr defaultRowHeight="15" x14ac:dyDescent="0.25"/>
  <cols>
    <col min="1" max="1" width="18" bestFit="1" customWidth="1"/>
    <col min="2" max="2" width="12.85546875" bestFit="1" customWidth="1"/>
    <col min="3" max="3" width="18.28515625" bestFit="1" customWidth="1"/>
    <col min="4" max="4" width="17.7109375" bestFit="1" customWidth="1"/>
    <col min="5" max="5" width="17.85546875" bestFit="1" customWidth="1"/>
    <col min="6" max="7" width="21.140625" bestFit="1" customWidth="1"/>
    <col min="8" max="8" width="12.85546875" bestFit="1" customWidth="1"/>
    <col min="10" max="10" width="10.42578125" bestFit="1" customWidth="1"/>
    <col min="11" max="11" width="15.5703125" bestFit="1" customWidth="1"/>
    <col min="12" max="12" width="14.7109375" bestFit="1" customWidth="1"/>
    <col min="13" max="13" width="19.140625" bestFit="1" customWidth="1"/>
    <col min="14" max="14" width="10.42578125" bestFit="1" customWidth="1"/>
    <col min="16" max="16" width="21.5703125" bestFit="1" customWidth="1"/>
  </cols>
  <sheetData>
    <row r="1" spans="1:17" x14ac:dyDescent="0.25">
      <c r="A1" t="s">
        <v>200</v>
      </c>
      <c r="B1" t="s">
        <v>205</v>
      </c>
      <c r="C1" t="s">
        <v>209</v>
      </c>
      <c r="D1" t="s">
        <v>213</v>
      </c>
      <c r="E1" t="s">
        <v>211</v>
      </c>
      <c r="F1" t="s">
        <v>214</v>
      </c>
      <c r="G1" t="s">
        <v>215</v>
      </c>
      <c r="H1" t="s">
        <v>216</v>
      </c>
      <c r="I1" t="s">
        <v>217</v>
      </c>
      <c r="J1" t="s">
        <v>218</v>
      </c>
      <c r="K1" t="s">
        <v>219</v>
      </c>
      <c r="L1" t="s">
        <v>179</v>
      </c>
      <c r="M1" t="s">
        <v>220</v>
      </c>
      <c r="N1" t="s">
        <v>190</v>
      </c>
      <c r="O1" t="s">
        <v>193</v>
      </c>
      <c r="P1" t="s">
        <v>221</v>
      </c>
      <c r="Q1" t="s">
        <v>222</v>
      </c>
    </row>
    <row r="2" spans="1:17" x14ac:dyDescent="0.25">
      <c r="A2" t="s">
        <v>72</v>
      </c>
      <c r="B2" t="s">
        <v>172</v>
      </c>
      <c r="C2" t="s">
        <v>206</v>
      </c>
      <c r="D2" t="s">
        <v>175</v>
      </c>
      <c r="E2" t="s">
        <v>177</v>
      </c>
      <c r="H2" t="s">
        <v>171</v>
      </c>
      <c r="J2" t="s">
        <v>180</v>
      </c>
      <c r="K2" t="s">
        <v>186</v>
      </c>
      <c r="L2" t="s">
        <v>56</v>
      </c>
      <c r="N2" t="s">
        <v>191</v>
      </c>
      <c r="O2" t="s">
        <v>194</v>
      </c>
      <c r="P2" t="s">
        <v>223</v>
      </c>
      <c r="Q2" t="s">
        <v>198</v>
      </c>
    </row>
    <row r="3" spans="1:17" x14ac:dyDescent="0.25">
      <c r="A3" t="s">
        <v>168</v>
      </c>
      <c r="B3" t="s">
        <v>173</v>
      </c>
      <c r="C3" t="s">
        <v>207</v>
      </c>
      <c r="D3" t="s">
        <v>176</v>
      </c>
      <c r="E3" t="s">
        <v>178</v>
      </c>
      <c r="H3" t="s">
        <v>202</v>
      </c>
      <c r="J3" t="s">
        <v>181</v>
      </c>
      <c r="K3" t="s">
        <v>185</v>
      </c>
      <c r="L3" t="s">
        <v>187</v>
      </c>
      <c r="N3" t="s">
        <v>192</v>
      </c>
      <c r="O3" t="s">
        <v>195</v>
      </c>
      <c r="P3" t="s">
        <v>224</v>
      </c>
    </row>
    <row r="4" spans="1:17" x14ac:dyDescent="0.25">
      <c r="A4" t="s">
        <v>71</v>
      </c>
      <c r="C4" t="s">
        <v>208</v>
      </c>
      <c r="D4" t="s">
        <v>210</v>
      </c>
      <c r="E4" t="s">
        <v>34</v>
      </c>
      <c r="H4" t="s">
        <v>203</v>
      </c>
      <c r="K4" t="s">
        <v>184</v>
      </c>
      <c r="L4" t="s">
        <v>188</v>
      </c>
      <c r="O4" t="s">
        <v>196</v>
      </c>
    </row>
    <row r="5" spans="1:17" x14ac:dyDescent="0.25">
      <c r="A5" t="s">
        <v>74</v>
      </c>
      <c r="C5" t="s">
        <v>174</v>
      </c>
      <c r="D5" t="s">
        <v>34</v>
      </c>
      <c r="E5" t="s">
        <v>212</v>
      </c>
      <c r="H5" t="s">
        <v>204</v>
      </c>
      <c r="K5" t="s">
        <v>183</v>
      </c>
      <c r="L5" t="s">
        <v>53</v>
      </c>
      <c r="O5" t="s">
        <v>197</v>
      </c>
    </row>
    <row r="6" spans="1:17" x14ac:dyDescent="0.25">
      <c r="A6" t="s">
        <v>169</v>
      </c>
      <c r="K6" t="s">
        <v>182</v>
      </c>
      <c r="L6" t="s">
        <v>189</v>
      </c>
      <c r="O6" t="s">
        <v>34</v>
      </c>
    </row>
    <row r="7" spans="1:17" x14ac:dyDescent="0.25">
      <c r="A7" t="s">
        <v>170</v>
      </c>
      <c r="K7" t="s">
        <v>34</v>
      </c>
      <c r="L7" t="s">
        <v>137</v>
      </c>
    </row>
    <row r="8" spans="1:17" x14ac:dyDescent="0.25">
      <c r="A8" t="s">
        <v>65</v>
      </c>
      <c r="K8" t="s">
        <v>212</v>
      </c>
      <c r="L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PCE Testsheet</vt:lpstr>
      <vt:lpstr>PCE VI</vt:lpstr>
      <vt:lpstr>RAW DATA</vt:lpstr>
      <vt:lpstr>vi_library</vt:lpstr>
      <vt:lpstr>substation_library</vt:lpstr>
      <vt:lpstr>equipment_library</vt:lpstr>
      <vt:lpstr>'PCE Testsheet'!Print_Area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2026-07-16T14:20:55Z</dcterms:modified>
</cp:coreProperties>
</file>